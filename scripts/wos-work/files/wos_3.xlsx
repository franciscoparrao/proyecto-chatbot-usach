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<sst xmlns="http://schemas.openxmlformats.org/spreadsheetml/2006/main" count="66038" uniqueCount="8335">
  <si>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</si>
  <si>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</si>
  <si>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</si>
  <si>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</si>
  <si>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</si>
  <si>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</si>
  <si>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</si>
  <si>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</si>
  <si>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</si>
  <si>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</si>
  <si>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</si>
  <si>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</si>
  <si>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</si>
  <si>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</si>
  <si>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</si>
  <si>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</si>
  <si>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</si>
  <si>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</si>
  <si>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</si>
  <si>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</si>
  <si>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</si>
  <si>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</si>
  <si>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</si>
  <si>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</si>
  <si>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</si>
  <si>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</si>
  <si>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</si>
  <si>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</si>
  <si>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</si>
  <si>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</si>
  <si>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</si>
  <si>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</si>
  <si>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</si>
  <si>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</si>
  <si>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</si>
  <si>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</si>
  <si>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</si>
  <si>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</si>
  <si>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</si>
  <si>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</si>
  <si>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</si>
  <si>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</si>
  <si>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</si>
  <si>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</si>
  <si>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</si>
  <si>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</si>
  <si>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</si>
  <si>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</si>
  <si>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</si>
  <si>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</si>
  <si>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</si>
  <si>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</si>
  <si>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</si>
  <si>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</si>
  <si>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</si>
  <si>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</si>
  <si>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</si>
  <si>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</si>
  <si>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</si>
  <si>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</si>
  <si>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</si>
  <si>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</si>
  <si>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</si>
  <si>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</si>
  <si>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</si>
  <si>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</si>
  <si>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</si>
  <si>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</si>
  <si>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</si>
  <si>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</si>
  <si>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</si>
  <si>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</si>
  <si>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</si>
  <si>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ALSamman, MT; Sánchez, J</t>
  </si>
  <si>
    <t/>
  </si>
  <si>
    <t>ALSamman, Mohammad T.; Sanchez, Julio</t>
  </si>
  <si>
    <t>Recent advances on hydrogels based on chitosan and alginate for the adsorption of dyes and metal ions from water</t>
  </si>
  <si>
    <t>ARABIAN JOURNAL OF CHEMISTRY</t>
  </si>
  <si>
    <t>In contemporary times, water resources have become increasingly scarce and suffer from anthropogenic pollution sources with an organic and inorganic origin that are products of industrial, agricultural, and everyday waste. Contamination with heavy metals and dyes in wastewater is considered a risk for water sources that can leak into underground and surface sources, leading to increased biological and chemical contamination. The pollutant removal process is performed by adsorption treatment methods, which is the most common method, and it is considered an effective method with a high and economical removal rate. In this review, we discuss the use of biobased hydrogel adsorbents in the removal of organic dyes and metal ions from water. The literature indicates that hydrogels exhibit rapid absorption kinetics and a dye removal absorption capacity that can reach more than 100 mg/g and sometimes more than 2000 mg/g, with a metal adsorption capacity ranging from 38 mg/g to more than 440 mg/g. These results are discussed and compared by taking into account hydrogel materials that contain biopolymers such as alginate, chitosan or both. In general, absorption depends mainly on biobased materials, which have a natural origin and can be utilized to synthesize hydrogels to remove pollutants, dyes and heavy metals. Chitosan and alginate are prominent materials for this use and they can be incorporated with other components to obtain hydrogels or nanocomposite materials with different efficacies to remove dyes and metal ions. (C) 2021 The Author(s). Published by Elsevier B.V. on behalf of King Saud University.</t>
  </si>
  <si>
    <t>Sanchez, Julio/AEO-4360-2022</t>
  </si>
  <si>
    <t>1878-5352</t>
  </si>
  <si>
    <t>1878-5379</t>
  </si>
  <si>
    <t>DEC</t>
  </si>
  <si>
    <t>10.1016/j.arabjc.2021.103455</t>
  </si>
  <si>
    <t>OCT 2021</t>
  </si>
  <si>
    <t>WOS:000725051800027</t>
  </si>
  <si>
    <t>Pichón, CG</t>
  </si>
  <si>
    <t>Godoy Pichon, Camilo</t>
  </si>
  <si>
    <t>Rapa Nui. A wound in the ocean</t>
  </si>
  <si>
    <t>ATENEA</t>
  </si>
  <si>
    <t>0718-0462</t>
  </si>
  <si>
    <t>JUL</t>
  </si>
  <si>
    <t>10.29393/At523-426CGAM10426</t>
  </si>
  <si>
    <t>WOS:000678083400020</t>
  </si>
  <si>
    <t>Barbieri, S</t>
  </si>
  <si>
    <t>Barbieri, Sebastian</t>
  </si>
  <si>
    <t>On the entropies of subshifts of finite type on countable amenable groups</t>
  </si>
  <si>
    <t>GROUPS GEOMETRY AND DYNAMICS</t>
  </si>
  <si>
    <t>Let G; H be two countable amenable groups. We introduce the notion of group charts, which gives us a tool to embed an arbitrary H-subshift into a G-subshift. Using an entropy addition formula derived from this formalism we prove that whenever H is finitely presented and admits a subshift of finite type (SFT) on which H acts freely, then the set of real numbers attained as topological entropies of H-SFTs is contained in the set of topological entropies of G-SFTs modulo an arbitrarily small additive constant for any finitely generated group G which admits a translation-like action of H. In particular, we show that the set of topological entropies of G-SFTs on any such group which has decidable word problem and admits a translation-like action of Z(2) coincides with the set of non-negative upper semi-computable real numbers. We use this result to give a complete characterization of the entropies of SFTs in several classes of groups.</t>
  </si>
  <si>
    <t>Barbieri, Sebastián/HTS-1654-2023</t>
  </si>
  <si>
    <t>Barbieri, Sebastian/0000-0001-9567-2085</t>
  </si>
  <si>
    <t>1661-7207</t>
  </si>
  <si>
    <t>1661-7215</t>
  </si>
  <si>
    <t>10.4171/GGD/608</t>
  </si>
  <si>
    <t>WOS:000682199700008</t>
  </si>
  <si>
    <t>B</t>
  </si>
  <si>
    <t>Labarca, M</t>
  </si>
  <si>
    <t>Labarca, Mariana</t>
  </si>
  <si>
    <t>Spaces and itineraries of madness</t>
  </si>
  <si>
    <t>ITINERARIES AND LANGUAGES OF MADNESS IN THE EARLY MODERN WORLD: Family Experience, Legal Practice, and Medical Knowledge in Eighteenth-Century Tuscany</t>
  </si>
  <si>
    <t>Routledge Studies in Renaissance and Early Modern Worlds of Knowledge</t>
  </si>
  <si>
    <t>978-0-367-52829-4; 978-1-003-05855-7; 978-0-367-52828-7</t>
  </si>
  <si>
    <t>10.4324/9781003058557</t>
  </si>
  <si>
    <t>WOS:000807304300005</t>
  </si>
  <si>
    <t>Ruz, O; Castillo, E; Cruchaga, M; Aguirre, A</t>
  </si>
  <si>
    <t>Ruz, O.; Castillo, E.; Cruchaga, M.; Aguirre, A.</t>
  </si>
  <si>
    <t>Numerical study of the effect of blockage ratio on the flow past one and two cylinders in tandem for different power-law fluids</t>
  </si>
  <si>
    <t>APPLIED MATHEMATICAL MODELLING</t>
  </si>
  <si>
    <t>In this work, the rheological behavior of power-law fluids on the flow dynamics is studied numerically. Studied cases include confined and non-confined problems that involve a single and two cylinders in tandem for 2-D and 3-D. For 2-D cases, the critical Reynolds numbers that define the Hopf bifurcation and its relation between the blockage ratio and the nature of the fluid are analyzed, including a complete CFD analysis. Results show that the blockage ratio, the addition of a second cylinder, and the rheological properties directly influence the flow's behavior. In this respect, the critical Reynolds number decreases by decreasing the power-law index and increasing the blockage ratio using shear-thinning fluids, and by increasing the power-law index in unconfined cases of shear-thickening fluids. For the 3-D case, different fluids are compared for a fixed Reynolds number and blockage ratio, proving that pseudoplastic fluids increase mixing capacity. (C) 2020 Elsevier Inc. All rights reserved.</t>
  </si>
  <si>
    <t>Cruchaga, Marcela/M-7522-2014</t>
  </si>
  <si>
    <t>Aguirre, Alejandro/0000-0003-0638-5258</t>
  </si>
  <si>
    <t>0307-904X</t>
  </si>
  <si>
    <t>1872-8480</t>
  </si>
  <si>
    <t>JAN</t>
  </si>
  <si>
    <t>10.1016/j.apm.2020.08.033</t>
  </si>
  <si>
    <t>WOS:000591175200011</t>
  </si>
  <si>
    <t>C</t>
  </si>
  <si>
    <t>Zamorano-Illanes, R; Soto, I; Toledo-Mercado, E; Pereira-Mendoza, J; Adasme, P</t>
  </si>
  <si>
    <t>IEEE</t>
  </si>
  <si>
    <t>Zamorano-Illanes, Raul; Soto, Ismael; Toledo-Mercado, Esteban; Pereira-Mendoza, Jonathan; Adasme, Pablo</t>
  </si>
  <si>
    <t>Computer Vision detection and classification of emitters for visible light communication</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</si>
  <si>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</si>
  <si>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</si>
  <si>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</si>
  <si>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</si>
  <si>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</si>
  <si>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This paper presents a methodology for the generation of detection and classification models of light emitters in digital video frames for indoor and outdoor visible light communication applications, including the generation of a user interface for the generation of Datasets of light emitter characteristics. Showing that is possible to analyze the frames of video by applying a classification model, allowing the development of new models to decrease the processing time per frame.</t>
  </si>
  <si>
    <t>Adasme, Pablo/U-1735-2019</t>
  </si>
  <si>
    <t>Zamorano-Illanes, Raul/0000-0002-3995-697X; Pereira-Mendoza, Jonathan/0009-0006-9752-7555</t>
  </si>
  <si>
    <t>978-1-6654-4225-1</t>
  </si>
  <si>
    <t>10.1109/SACVLC53127.2021.9652297</t>
  </si>
  <si>
    <t>WOS:000760247000001</t>
  </si>
  <si>
    <t>Saavedra, FE</t>
  </si>
  <si>
    <t>Estenssoro Saavedra, Fernando</t>
  </si>
  <si>
    <t>HEGEMONY AND SOFT POWER OF THE UNITED STATES IN THE XXI CENTURY: THE CHINESE CHALLENGE ON THE SUBJECT OF CLIMATE CHANGE</t>
  </si>
  <si>
    <t>REVISTA ESTUDIOS HEMISFERICOS Y POLARES</t>
  </si>
  <si>
    <t>The article states that the historical internal political discrepancies in the United States facing the problem of climate change have meant that this power has been giving up world leadership on this important issue on the international public agenda. This situation would be taken advantage of by China, which, as a rising global power, has decided to dispute the world leadership in the fight against climate change, under the exercise of what is considered the use of soft power in International Relations. This loss of leadership on the issue of climate change is viewed with concern by US politicians and analysts who believe that the soft power of the country is being significantly affected, which could end up affecting the intentions of pre-eminence and hegemony of the United States in the international order during this 21st century.</t>
  </si>
  <si>
    <t>0718-9230</t>
  </si>
  <si>
    <t>JUL-DEC</t>
  </si>
  <si>
    <t>WOS:000606328800001</t>
  </si>
  <si>
    <t>Zagal, JH</t>
  </si>
  <si>
    <t>Zagal, Jose H.</t>
  </si>
  <si>
    <t>Electrochemistry, past, present, and future: energy conversion, sensors, and beyond</t>
  </si>
  <si>
    <t>JOURNAL OF SOLID STATE ELECTROCHEMISTRY</t>
  </si>
  <si>
    <t>zagal, jose/L-9648-2014</t>
  </si>
  <si>
    <t>Zagal, Jose/0000-0002-5276-1042</t>
  </si>
  <si>
    <t>1432-8488</t>
  </si>
  <si>
    <t>1433-0768</t>
  </si>
  <si>
    <t>SEP</t>
  </si>
  <si>
    <t>SI</t>
  </si>
  <si>
    <t>10.1007/s10008-020-04707-x</t>
  </si>
  <si>
    <t>JUN 2020</t>
  </si>
  <si>
    <t>WOS:000542733700002</t>
  </si>
  <si>
    <t>Tec-López, RA</t>
  </si>
  <si>
    <t>Tec-Lopez, Rene A.</t>
  </si>
  <si>
    <t>Evangelicals and politics in Chile 1960-1990. Politics, apoliticism and anti-politics</t>
  </si>
  <si>
    <t>ESTUDIOS AVANZADOS</t>
  </si>
  <si>
    <t>Tec-Lopez, Rene A./JJF-2309-2023</t>
  </si>
  <si>
    <t>Tec-Lopez, Rene A./0000-0003-0958-6629</t>
  </si>
  <si>
    <t>0718-5022</t>
  </si>
  <si>
    <t>0718-5014</t>
  </si>
  <si>
    <t>JUN</t>
  </si>
  <si>
    <t>WOS:000552088400006</t>
  </si>
  <si>
    <t>Valdés, RAA</t>
  </si>
  <si>
    <t>Alvarez Valdes, Rodrigo A.</t>
  </si>
  <si>
    <t>Asian Policy of the Chilean Military Regime (1973-1979): the communication strategy against isolation, the case of China</t>
  </si>
  <si>
    <t>IZQUIERDAS</t>
  </si>
  <si>
    <t>This paper studies the Communication Strategy of Chile' Foreign Policy towards China, in the period 1973-1979. With this aims, through the collection of primary data product of work with secret, reserved and ordinary documents, as well as telex and notes of archive, the study from a multidisciplinary approach (International Relations, Present Time and Communication) analyzes the bilateral relations of these countries. It has been concluded that bilateral relations in the 70s was not a continuum, but was subdivided into two stages, which represented a complex scenario to be solved for the Communicational Strategies of Chile's foreign policy; in which China was central so that the Civic-Military Dictatorship would not be completely isolated from the international system. In the same way, it was possible to determine the subjects on which both States exchanged ideas, visions and positions for the categories of Internal Policy of Chile, Bilateral Relations Chile-China and Regional and International Policy of Chile. In this way, the research, thinking about current and future bilateral relations, allows us to look at a historical moment in which the tensions and problems of the Chilean Communicational Strategy towards China had not been visualized; and it is a contribution to understand how this country was relating and establishing its position to determine the way it communicated with Chile.</t>
  </si>
  <si>
    <t>0718-5049</t>
  </si>
  <si>
    <t>WOS:000614864700005</t>
  </si>
  <si>
    <t>Baeza, NG</t>
  </si>
  <si>
    <t>Gomez Baeza, Nicolas</t>
  </si>
  <si>
    <t>Surveillance, repression and labor discipline in the Sociedad Explotadora of Tierra del Fuego (1910-1919)</t>
  </si>
  <si>
    <t>This paper seeks to deepen the analysis of violence executed against workers during the decade of 1910, in the spaces of the Sociedad Explotadora de Tierra del Fuego, the most important sheep farming company at that period on the Territory of Magallanes. After reviewing different sources, it is proposed that such violence, far from being exceptional, were escalations that responded to objectives of labour discipline and maintenance of employer power, facing the agency developed from the local working class, and contributing to the configuration of conflict scenarios.</t>
  </si>
  <si>
    <t>WOS:000451966900008</t>
  </si>
  <si>
    <t>Traverso, DB</t>
  </si>
  <si>
    <t>Barria Traverso, Diego</t>
  </si>
  <si>
    <t>An Honourable Profession: Public Employees and Identity Construction in Chile, 1880-1920</t>
  </si>
  <si>
    <t>BULLETIN OF LATIN AMERICAN RESEARCH</t>
  </si>
  <si>
    <t>This paper analyses how public employees at two Chilean government offices constructed their occupational identities. In contrast to the vast majority of previous work, which took the 1920s as its starting point, this study focuses on the period between 1880 and 1920. Additionally, the construction of identity is analysed in direct relation to performance in the workplace. The paper asserts that public criticism of their performance prompted public employees to develop an image of themselves based on the concept of their honourability as competent and honest workers.</t>
  </si>
  <si>
    <t>Barria Traverso, Diego/0000-0001-8906-9220</t>
  </si>
  <si>
    <t>0261-3050</t>
  </si>
  <si>
    <t>1470-9856</t>
  </si>
  <si>
    <t>APR</t>
  </si>
  <si>
    <t>10.1111/blar.12836</t>
  </si>
  <si>
    <t>WOS:000471320100006</t>
  </si>
  <si>
    <t>Contreras-Salinas, S; Bambague-Ruiz, C; Barrera-Ruiz, Y</t>
  </si>
  <si>
    <t>Contreras-Salinas, Sylvia; Bambague-Ruiz, Cristina; Barrera-Ruiz, Yolima</t>
  </si>
  <si>
    <t>Knowledge that shapes Migratory Trajectories: Narratives of Colombian Migrant Women in Chile</t>
  </si>
  <si>
    <t>CONVERGENCIA-REVISTA DE CIENCIAS SOCIALES</t>
  </si>
  <si>
    <t>The objective of this research is to disclose the knowledge that six Colombian professional women display in their migratory trajectories in Chile, particularly in upbringing process. From the narrative approach, a case study method was resorted to through interviews. Among the results obtained, it is revealed that the legitimacy of migrant women is conditional on fulfilling their role as workers, with merit and effort gaining strength. Likewise, knowledge that resists the colonial matrix is recognized, displaying diverse strategies recreated in the processes of upbringing, considering them necessary for the welfare of the children. It is concluded that the discovery of knowledge triggers a multiplicity of experiences that put tension in the prevailing forms of neo-capitalism, warn about the subtle disciplinary practices and reveal resistance practices, contributing to scientific thinking with the possibility of distancing oneself from a binary and hierarchical ideology regarding the local and universal.</t>
  </si>
  <si>
    <t>CONTRERAS-SALINAS, SYLVIA/0000-0003-2297-2399</t>
  </si>
  <si>
    <t>2448-5799</t>
  </si>
  <si>
    <t>JAN-APR</t>
  </si>
  <si>
    <t>10.29101/crcs.v0i79.9496</t>
  </si>
  <si>
    <t>WOS:000452033300004</t>
  </si>
  <si>
    <t>Villena, VR; Reyes, RJ; Rojas, CB</t>
  </si>
  <si>
    <t>Rocamora Villena, Veronica; Jara Reyes, Rene; Broitman Rojas, Claudio</t>
  </si>
  <si>
    <t>HOW EXPERTS UNDERSTAND THE PUBLIC IN VACCINATION CONTROVERSIES IN CHILE</t>
  </si>
  <si>
    <t>ARBOR-CIENCIA PENSAMIENTO Y CULTURA</t>
  </si>
  <si>
    <t>The socio-scientific controversies regarding vaccination that have emerged in Chile in recent years have exposed new tensions between experts and citizens. Numerous research studies about these controversies have focused on analyzing the viewpoints of citizens who oppose vaccination, but have overlooked other relevant actors, such as the experts. Based on a qualitative approach, this article analyzes the discourse, strategies and communication practices of health experts, in order to understand their standpoint in relation to citizens who oppose vaccination. The research shows that in spite of unanimous agreement about the relevance of vaccination as a preventive policy, expert positions about these citizens differ. This is reflected in different Public Communication of Science and Technology models, with a clear prevalence of the deficit model.</t>
  </si>
  <si>
    <t>jara reyes, rene/JAZ-0211-2023</t>
  </si>
  <si>
    <t>Rocamora Villena, Veronica/0000-0001-7611-8820; Jara Reyes, Rene Eduardo/0000-0001-8203-5917; Broitman, Claudio/0000-0002-7192-0512</t>
  </si>
  <si>
    <t>0210-1963</t>
  </si>
  <si>
    <t>1988-303X</t>
  </si>
  <si>
    <t>a530</t>
  </si>
  <si>
    <t>10.3989/arbor.2019.794n4004</t>
  </si>
  <si>
    <t>WOS:000503376400004</t>
  </si>
  <si>
    <t>Vallejos, JP</t>
  </si>
  <si>
    <t>Pinto Vallejos, Julio</t>
  </si>
  <si>
    <t>The Cry of the Renegade: Politics and Poetry in Interwar Chile</t>
  </si>
  <si>
    <t>JOURNAL OF LATIN AMERICAN STUDIES</t>
  </si>
  <si>
    <t>0022-216X</t>
  </si>
  <si>
    <t>1469-767X</t>
  </si>
  <si>
    <t>MAY</t>
  </si>
  <si>
    <t>10.1017/S0022216X1800007X</t>
  </si>
  <si>
    <t>WOS:000430135400014</t>
  </si>
  <si>
    <t>Muñoz, CM; Hernández, FJ</t>
  </si>
  <si>
    <t>Univ Santiago Chile, Fac Tecnologica</t>
  </si>
  <si>
    <t>Moreno Munoz, Cristobal; Jeno Hernandez, Fabian</t>
  </si>
  <si>
    <t>Projectual methodology: Learn through making in the workshop in Industrial Design, Usach</t>
  </si>
  <si>
    <t>OBRA COMPLETA: IMPACTO EN EL SABER Y SENTIR DOCENTE, VOL 2: ABORDANDO DESAFIOS, FORMACION PARA EL ENTORNO SOCIO PRODUCTIVIO</t>
  </si>
  <si>
    <t>At the Universidad de Santiago de Chile (USACH) the fundamental aspects for a capable, creative and methodological professional are developed. To make this possible, the workshop classes that belong to the career of Industrial Design of Department of Management Technologies of Technological Faculty are based on a projectual methodological model which, in turn, is supported by projectual didactics. These didactics differs from traditional methods by guiding its students towards an innovative proposal in which teaching and learning are fused together in the experience of creation. Each workshop carries out projects of diverse complexity, in direct relation to the level of depth that corresponds to the rising difficulty in the career, in order to learn by making and creating as a team, receiving feedback through the knowledge that the teachers impart, for the benefit of the generation of new knowledge that reaches further than a simple passing on and reproduction of theoretical content. This chapter details said methodology along with the results that the teaching and learning strategies have shown, which are applied in the Industrial Design workshops of the usach; the innovative factors that have been incorporated; their evaluation methods and the advantages that this has given to the different levels of formation.</t>
  </si>
  <si>
    <t>978-956-303-397-7</t>
  </si>
  <si>
    <t>WOS:000480327100011</t>
  </si>
  <si>
    <t>Quijada-Maldonado, E; Torres, MJ; Romero, J</t>
  </si>
  <si>
    <t>Quijada-Maldonado, E.; Torres, M. J.; Romero, J.</t>
  </si>
  <si>
    <t>Solvent extraction of molybdenum (VI) from aqueous solution using ionic liquids as diluents</t>
  </si>
  <si>
    <t>SEPARATION AND PURIFICATION TECHNOLOGY</t>
  </si>
  <si>
    <t>This work deals with the recovery of Molybdenum (VI) (Mo) from aqueous solutions carried out by solvent extraction (SX) using the bis(2-ethylhexyl) phosphoric acid (D2EHPA) diluted in kerosene and compared with two hydrophobic room temperature ionic liquids (RTILs) as potential replacements of the kerosene. These RTILs were 1-butyl-3-methyl-imidazolium bis (trifluoromethylsulfonyl) imide, [bmim] [Tf2N], and 1-octyl-3-methyl-imidazolium bis(trifluoromethylsulfonyl)imide [omim][Tf2N], because of its excellent properties such as negligible vapor pressure, high hydrophobicity and better extraction capacity than conventional organic diluents. Experimental results indicate that the extraction stoichiometry agrees with a cation exchange with formation of a neutral complex. The use of the selected RTILs as diluents involves higher extraction percentages for the whole measured range of extractant concentration and aqueous-organic ratios, reducing four times the required volume of diluent compared to the experiments carried out with kerosene. Furthermore, the proposed extraction medium offers excellent stripping capacity when a solution of ammonium carbonate is used as a stripping phase. (C) 2016 Elsevier B.V. All rights reserved.</t>
  </si>
  <si>
    <t>Romero, Julio/I-6705-2013</t>
  </si>
  <si>
    <t>Quijada-Maldonado, Esteban/0000-0003-1411-4327; Romero, Julio/0000-0002-1229-1592</t>
  </si>
  <si>
    <t>1383-5866</t>
  </si>
  <si>
    <t>1873-3794</t>
  </si>
  <si>
    <t>APR 28</t>
  </si>
  <si>
    <t>10.1016/j.seppur.2016.12.045</t>
  </si>
  <si>
    <t>WOS:000393534600022</t>
  </si>
  <si>
    <t>Zapata, C; Paillavil, B; Chávez, R; Alamos, P; Levicán, G</t>
  </si>
  <si>
    <t>Zapata, Claudia; Paillavil, Braulio; Chavez, Renato; Alamos, Pamela; Levican, Gloria</t>
  </si>
  <si>
    <t>Cytochrome c peroxidase (CcP) is a molecular determinant of the oxidative stress response in the extreme acidophilic Leptospirillum sp CF-1</t>
  </si>
  <si>
    <t>FEMS MICROBIOLOGY ECOLOGY</t>
  </si>
  <si>
    <t>Bioleaching processes are used to recover metals from sulfidic ores. Biofilm formation on ores is important for bioleaching because the attached microorganisms start the leaching process by concentrating ferric ions in the extracellular matrix. It has been shown that hydrogen peroxide is spontaneously generated on the surface of ores and that it negatively influences the growth and activity of microorganisms. However, the mechanism by which bioleaching microorganisms tolerate exogenous H2O2 as an adaptive trait remains elusive. Herein, we demonstrate that the gene yhjA, encoding a predicted periplasmic cytochrome c peroxidase (CcP), is important for the response to exogenously generated oxidative stress in the iron-oxidizing acidophilic bacterium Leptospirillum sp. CF-1. Our results show that yhjA is co-transcribed with the genes encoding the peroxide-responsive transcription regulator PerR and peroxiredoxin AhpC. CcP activity, but not yhjA mRNA level, significantly increased in response to hydrogen peroxide and ferric ion exposure, suggesting a post-translational regulation. In agreement with these results, challenging planktonic cells with hydrogen peroxide significantly increased their attachment to pyrite surfaces. In summation, our results suggest that CcP is important to cope with exogenous H2O2, thus favoring the early steps of attachment to mineral substrates.</t>
  </si>
  <si>
    <t>Levican, Gloria/R-5191-2019</t>
  </si>
  <si>
    <t>Chavez, Renato/0000-0003-1754-3610; Levican, Gloria/0000-0002-1275-7399</t>
  </si>
  <si>
    <t>0168-6496</t>
  </si>
  <si>
    <t>1574-6941</t>
  </si>
  <si>
    <t>MAR</t>
  </si>
  <si>
    <t>fix001</t>
  </si>
  <si>
    <t>10.1093/femsec/fix001</t>
  </si>
  <si>
    <t>WOS:000397434400007</t>
  </si>
  <si>
    <t>Flores, C</t>
  </si>
  <si>
    <t>Flores, Catherine</t>
  </si>
  <si>
    <t>Beginning teachers' induction in Chile: the perspective of principals</t>
  </si>
  <si>
    <t>JOURNAL OF EDUCATION FOR TEACHING</t>
  </si>
  <si>
    <t>This case study investigated the role of school principals in the induction of beginning teachers in Copiapo, Chile. Building upon group and individual interviews, and review of extant literature, the following findings were established: (a) principals in this study expect beginning teachers to be fully formed as classroom teachers; (b) principals were unlikely to talk about induction practices that might help beginning teachers to learn pedagogical strategies for classrooms; and (c) principals' induction practices focused on the symbolic role that principals play as the highest authority within the school which has little practical influence on helping beginning teachers to develop their pedagogy. Implications for policy and practice are discussed.</t>
  </si>
  <si>
    <t>0260-7476</t>
  </si>
  <si>
    <t>1360-0540</t>
  </si>
  <si>
    <t>10.1080/02607476.2017.1355032</t>
  </si>
  <si>
    <t>WOS:000415636100003</t>
  </si>
  <si>
    <t>Navas, A</t>
  </si>
  <si>
    <t>Navas, Andres</t>
  </si>
  <si>
    <t>A remark concerning bi-Lipschitz equivalence of Delone sets</t>
  </si>
  <si>
    <t>COMPTES RENDUS MATHEMATIQUE</t>
  </si>
  <si>
    <t>Linearly repetitive Delone sets are shown to be rectifiable by a bi-Lipschitz homeomorphism of the Euclidean space sending it to the standard lattice. (C) 2016 Publie par Elsevier Masson SAS au nom de Academie des sciences.</t>
  </si>
  <si>
    <t>1631-073X</t>
  </si>
  <si>
    <t>1778-3569</t>
  </si>
  <si>
    <t>OCT</t>
  </si>
  <si>
    <t>10.1016/j.crma.2016.08.010</t>
  </si>
  <si>
    <t>WOS:000385849400003</t>
  </si>
  <si>
    <t>Urrea, C; Morales, C; Muñoz, R</t>
  </si>
  <si>
    <t>Urrea, Claudio; Morales, Claudio; Munoz, Rodrigo</t>
  </si>
  <si>
    <t>Design and implementation of an error detection and correction method compatible with MODBUS-RTU by means of systematic codes</t>
  </si>
  <si>
    <t>MEASUREMENT</t>
  </si>
  <si>
    <t>The design and implementation of an error detection and correction scheme in a MODBUS-RTU network based on the REED-SOLOMON code is presented. The transmission of the parity bits is made respecting the parameters of the MODBUS protocol, so the bus can be used by common devices without the error detection/correction scheme. The error detection-correction is performed by means of specialized repeating devices in the receiver and transmitter. This method respects the parameters of the MODBUS-RTU protocol, so the bus enhanced with retransmitter devices can be used along with common devices. Finally, the implementation of an experimental network is described and the practical results obtained are given. (C) 2016 Elsevier Ltd. All rights reserved.</t>
  </si>
  <si>
    <t>Claudio, URREA/KWU-1600-2024</t>
  </si>
  <si>
    <t>Urrea, Claudio/0000-0001-7197-8928; Morales Diaz, Claudio/0000-0003-0030-9828</t>
  </si>
  <si>
    <t>0263-2241</t>
  </si>
  <si>
    <t>1873-412X</t>
  </si>
  <si>
    <t>10.1016/j.measurement.2016.05.055</t>
  </si>
  <si>
    <t>WOS:000379507400032</t>
  </si>
  <si>
    <t>Acuña, G; Möller, H</t>
  </si>
  <si>
    <t>Rodriguez, C; Gomez, JB</t>
  </si>
  <si>
    <t>Acuna, Gonzalo; Moller, Hans</t>
  </si>
  <si>
    <t>Indirect Training of Gray-Box Models using LS-SVM and Genetic Algorithms</t>
  </si>
  <si>
    <t>2016 IEEE LATIN AMERICAN CONFERENCE ON COMPUTATIONAL INTELLIGENCE (LA-CCI)</t>
  </si>
  <si>
    <t>3rd IEEE Latin American Conference on Computational Intelligence (LA-CCI)</t>
  </si>
  <si>
    <t>NOV 02-04, 2016</t>
  </si>
  <si>
    <t>Cartagena, COLOMBIA</t>
  </si>
  <si>
    <t>IEEE,Inst Elect &amp; Elect Engineers Colombia Sect,IEEE Computat Intelligence Soc</t>
  </si>
  <si>
    <t>Gray-Box Models which combine a phenomenological model with a black box tool are useful for determining the values of not well known parameters of the model. In this work an indirect strategy for training these gray box models using least-square support vector machine and genetic algorithms is presented. The gray box model was tested in a Continuous Stirred Tank Reactor process with good results (Index of Agreement for the model output variable and the estimated time-varying parameter &gt; 0.90).</t>
  </si>
  <si>
    <t>978-1-5090-5105-2</t>
  </si>
  <si>
    <t>WOS:000402174700025</t>
  </si>
  <si>
    <t>Andreasen, E</t>
  </si>
  <si>
    <t>Andreasen, Eugenia</t>
  </si>
  <si>
    <t>Sovereign default, enforcement and the private cost of capital</t>
  </si>
  <si>
    <t>INTERNATIONAL REVIEW OF ECONOMICS &amp; FINANCE</t>
  </si>
  <si>
    <t>This paper develops a signaling model for a small open economy in which the government's sovereign debt repayment decision gives lenders new information regarding the state's capacity to enforce contracts. Contract enforcement affects the expected repayment of private loans. Therefore, if lenders receive negative information from the sovereign default about the state's capacity to enforce contracts, they worsen the financial conditions offered to local firms, triggering a sharp reduction in credit and investment. The key contribution of this paper is to rationalize the worsened private-sector financial conditions observed after default episodes by modeling the price effect of the informational channel. (C) 2015 Elsevier Inc. All rights reserved.</t>
  </si>
  <si>
    <t>1059-0560</t>
  </si>
  <si>
    <t>1873-8036</t>
  </si>
  <si>
    <t>10.1016/j.iref.2015.07.008</t>
  </si>
  <si>
    <t>WOS:000362148400029</t>
  </si>
  <si>
    <t>Becker, C; Ojeda, O; Verdejo, H</t>
  </si>
  <si>
    <t>Becker, C.; Ojeda, O.; Verdejo, H.</t>
  </si>
  <si>
    <t>Labeling And Efficiency Of Induction Motors, IEC On Chilean Case</t>
  </si>
  <si>
    <t>IEEE LATIN AMERICA TRANSACTIONS</t>
  </si>
  <si>
    <t>This article presents the historical development of a labeling program, particularly in Chile, the criteria chosen for the experiments, the participants of the process and the difficulties found during its execution. It also discussed the methodology used, which considered the IEC 60034-2-1 norm for direct and indirect measurements of the performance of three-phase induction motors. Finally, the results obtained by measuring the performance of one motor. Furthermore, not only the results are presented in a labeling context but also the criteria that they should meet for this class of program are suggested.</t>
  </si>
  <si>
    <t>1548-0992</t>
  </si>
  <si>
    <t>10.1109/TLA.2015.7111993</t>
  </si>
  <si>
    <t>WOS:000355213400019</t>
  </si>
  <si>
    <t>Matute, EA</t>
  </si>
  <si>
    <t>Matute, Ernesto A.</t>
  </si>
  <si>
    <t>Neutrino mass generation with extra right-handed fields in a Dirac scenario via the type-I seesaw mechanism</t>
  </si>
  <si>
    <t>MODERN PHYSICS LETTERS A</t>
  </si>
  <si>
    <t>An extension of the Standard Model (SM) is studied in which two right-handed (RH) neutrinos per generation are incorporated, but considering the hypothesis of the symmetry of lepton and quark contents in order to deprive the number of RH neutrinos of freedom, generate Dirac neutrinos and accommodate naturally tiny values for their masses. The high scale type-I seesaw regime is applied to the first, ordinary RH neutrino, whereas a low scale pseudo-Dirac scenario is used for the second, adulterant RH neutrino, implying that the first RH neutrino decouples at the high scale, while the second RH neutrino survives down to the low scale to pair off in a Dirac-like form with the corresponding left-handed (LH) neutrino. The small mass and couplings of this extra RH neutrino are explained by means of the statement of the symmetry of fermionic content, only regarded as a guideline to the natural choice of parameters since it is not a proper symmetry in the Lagrangian.</t>
  </si>
  <si>
    <t>0217-7323</t>
  </si>
  <si>
    <t>1793-6632</t>
  </si>
  <si>
    <t>DEC 28</t>
  </si>
  <si>
    <t>10.1142/S0217732314502125</t>
  </si>
  <si>
    <t>WOS:000347073800003</t>
  </si>
  <si>
    <t>Cárcamo, D; Riveros, A; Gamboa, J</t>
  </si>
  <si>
    <t>Carcamo, D.; Riveros, A.; Gamboa, J.</t>
  </si>
  <si>
    <t>Analogies between nuclear physics and dark matter</t>
  </si>
  <si>
    <t>A fermionic description of dark matter using analogies with nuclear physics is developed. At tree level, scalar and vector processes are considered and the two-body potential are explicitly calculated using the Breit approximation. We show that the total cross-sections in both cases exhibit Sommerfeld enhancement.</t>
  </si>
  <si>
    <t>Gamboa, Jorge/R-8744-2019; Rodríguez, Alejandro/R-4062-2019</t>
  </si>
  <si>
    <t>Gamboa, Jorge/0000-0001-7992-7199; Riveros, Alejandro/0000-0002-4924-663X</t>
  </si>
  <si>
    <t>DEC 21</t>
  </si>
  <si>
    <t>10.1142/S0217732314502095</t>
  </si>
  <si>
    <t>WOS:000346706200007</t>
  </si>
  <si>
    <t>Lacoste, P; Jiménez, D; Soto, N</t>
  </si>
  <si>
    <t>Lacoste, Pablo; Jimenez, Diego; Soto, Natalia</t>
  </si>
  <si>
    <t>Genesis and identity of Chanco cheese (Chile 1750-1860). A contribution to studies on Appellations of Origin in Latin America</t>
  </si>
  <si>
    <t>CIENCIA E INVESTIGACION AGRARIA</t>
  </si>
  <si>
    <t>The origin of Chanco cheese in Chile, between 1750 and 1860, is discussed. The inventories of eight cheese factories from the 18th and 19th centuries as well as additional documentary sources from the time period are studied. Chanco cheese was a cooked and matured cheese from cow and, mainly, sheep milk. The original productive zone was limited by the Maule and Itata rivers, in the Central Valley. In the 18th and 19th centuries, Chanco cheese was recognized as the best cheese in Chile; its production and marketing were well established during the first two thirds of the 19th century, and it commanded good market prices based on its fame. Chanco cheese was eaten throughout almost the entire country, from Copiapo to Valdivia. Chanco cheese was also significantly exported during the middle of the 19th century.</t>
  </si>
  <si>
    <t>Cabrera, Diego/U-2906-2018</t>
  </si>
  <si>
    <t>Jimenez, Diego/0000-0002-7408-1398; Lacoste, Pablo/0000-0003-1876-8141</t>
  </si>
  <si>
    <t>0718-1620</t>
  </si>
  <si>
    <t>OCT-DEC</t>
  </si>
  <si>
    <t>10.4067/S0718-16202014000300004</t>
  </si>
  <si>
    <t>WOS:000348254700004</t>
  </si>
  <si>
    <t>Palma, SC</t>
  </si>
  <si>
    <t>Chova, LG; Martinez, AL; Torres, IC</t>
  </si>
  <si>
    <t>Contreras Palma, Saul</t>
  </si>
  <si>
    <t>SELECTION AND USE OF ICT RESOURCES FOR TEACHING SCIENCE. STUDY OF HIGH SCHOOL TEACHERS PEDAGOGIC-CURRICULAR BELIEFS AND PRACTICES</t>
  </si>
  <si>
    <t>EDULEARN14: 6TH INTERNATIONAL CONFERENCE ON EDUCATION AND NEW LEARNING TECHNOLOGIES</t>
  </si>
  <si>
    <t>EDULEARN Proceedings</t>
  </si>
  <si>
    <t>6th International Conference on Education and New Learning Technologies (EDULEARN)</t>
  </si>
  <si>
    <t>JUL 07-09, 2014</t>
  </si>
  <si>
    <t>Barcelona, SPAIN</t>
  </si>
  <si>
    <t>In order to explore and describe the pedagogic-curricular thinking and practice about practical activities and resources for teaching science, we performed a study about curricular beliefs with mixed approach. Specifically we focus on the methodological aspects of the curriculum: planning; teaching development and resources used to teach experimental sciences (biology, physics, and chemistry). Information sources include questionnaire, interviews, planning and classroom observation. Overall, what teachers think is not equal to what they do, being more constructivist in thinking and traditional in the practice. As part of a government project in Chile (Fondecyt-11130150), we consider these findings and reflect about how we can use these results into initial training teacher to explore the pedagogic-curricular thinking and knowledge of future teachers.</t>
  </si>
  <si>
    <t>2340-1117</t>
  </si>
  <si>
    <t>978-84-617-0557-3</t>
  </si>
  <si>
    <t>WOS:000366837200043</t>
  </si>
  <si>
    <t>Azócar, MI; Gómez, G; Levín, P; Paez, M; Muñoz, H; Dinamarca, N</t>
  </si>
  <si>
    <t>Ignacio Azocar, M.; Gomez, Grace; Levin, Pedro; Paez, Maritza; Munoz, Hugo; Dinamarca, Nicole</t>
  </si>
  <si>
    <t>Review: Antibacterial behavior of carboxylate silver( complexes</t>
  </si>
  <si>
    <t>JOURNAL OF COORDINATION CHEMISTRY</t>
  </si>
  <si>
    <t>Since ancient times, silver ions have been known to be effective against a broad range of micro-organisms but in the last decade, this metal has been greatly studied because of their antimicrobial capability against a wide range of bacteria, viruses, and fungi. For the same reason, it is the most extensively studied metal with antibacterial applications in medicine. Besides applications, the antimicrobial activity is associated with high effectiveness, low toxicity, and virtually no resistance of micro-organisms to the presence of this metal. The appearance of new bacterial strains resistant to antibiotics is a serious health problem; so, there is a strong incentive to develop new bactericides. This makes current research in bactericidal silver complexes particularly important. This review summarizes the most important aspect related to coordination chemistry of Ag(I) carboxylate complexes and their influence as antibacterial agents.</t>
  </si>
  <si>
    <t>Muñoz, Hugo/HMV-5842-2023; Levín, Pedro/ABG-4500-2020; Paez, Maritza/M-2010-2014; Azocar, Manuel/I-1226-2013</t>
  </si>
  <si>
    <t>Levin, Pedro/0000-0001-5932-9001; paez, maritza/0000-0001-5881-884X; Azocar Guzman, Manuel/0000-0003-1098-4659; Munoz, Hugo/0000-0001-5091-0457</t>
  </si>
  <si>
    <t>0095-8972</t>
  </si>
  <si>
    <t>1029-0389</t>
  </si>
  <si>
    <t>23-24</t>
  </si>
  <si>
    <t>10.1080/00958972.2014.974582</t>
  </si>
  <si>
    <t>WOS:000345454600007</t>
  </si>
  <si>
    <t>Llorca-Jaña, M</t>
  </si>
  <si>
    <t>Llorca-Jana, Manuel</t>
  </si>
  <si>
    <t>A REAPPRAISAL OF MAPUCHE TEXTILE PRODUCTION AND SHEEP RAISING DURING THE NINETEENTH CENTURY</t>
  </si>
  <si>
    <t>HISTORIA-SANTIAGO</t>
  </si>
  <si>
    <t>This paper is about Mapuche sheep raising and woollens production during the first three quarters of the nineteenth century, as well as about the perception customers had of Mapuche wool manufactures. Based on the British consular reports and travellers' diaries written after Chile gained independence, this article provides new and stronger evidence to support the case that Mapuche textile production was of high-quality and very important for their entire economy; that the Mapuche woollens trade was comparable to European industries before the 1850s; and that the Mapuche wool industry was certainly more developed than the one existing in Chile, the main market for Mapuche exports. This article also shows that this superiority over the Chilean woollens industry included the production of the main raw material used to produce woollens, namely raw wool.</t>
  </si>
  <si>
    <t>Llorca-Jaña, Manuel/AAB-9317-2020</t>
  </si>
  <si>
    <t>Llorca-Jana, Manuel/0000-0002-3937-6035</t>
  </si>
  <si>
    <t>0717-7194</t>
  </si>
  <si>
    <t>JAN-JUN</t>
  </si>
  <si>
    <t>10.4067/S0717-71942014000100004</t>
  </si>
  <si>
    <t>WOS:000339599700004</t>
  </si>
  <si>
    <t>Lizama, C</t>
  </si>
  <si>
    <t>Lizama, C.</t>
  </si>
  <si>
    <t>Some operators acting on weighted sequence spaces and applications</t>
  </si>
  <si>
    <t>SCIENTIA IRANICA</t>
  </si>
  <si>
    <t>This paper considers the problem of constructing an evolution family for the linear nonautonomous Cauchy problem: (*) partial derivative/partial derivative tu(t) - A(t)u(t) = 0, u(-1) = x is an element of R-N, where A is an element of C([-1, 1], R-NxN). The essence of the method is that the evolution family is sought in the form of a series of Chebyshev polynomials. Then, by defining appropriate weighted sequence spaces and matrices of linear operators, we are able to obtain a sufficient condition - based only in the given data - for the representation of the solution of the initial value problem (*). The method is motivated for practical considerations in the context of Magnetic Resonance Imaging. (C) 2013 Sharif University of Technology. All rights reserved.</t>
  </si>
  <si>
    <t>Lizama, Carlos/E-5909-2011</t>
  </si>
  <si>
    <t>Lizama, Carlos/0000-0002-9807-1100</t>
  </si>
  <si>
    <t>1026-3098</t>
  </si>
  <si>
    <t>WOS:000330813300006</t>
  </si>
  <si>
    <t>Urrea, C; Kern, J</t>
  </si>
  <si>
    <t>Urrea, C.; Kern, J.</t>
  </si>
  <si>
    <t>Fault-Tolerant Controllers in Robotic Manipulators. Performance Evaluations</t>
  </si>
  <si>
    <t>A performance evaluation of three fault-tolerant controllers based on hyperbolic sine and cosine, computed torque, and adaptive inertia control techniques applied to manipulator robots is presented. Various tests are carried out in a simulation environment developed by means of MatLab/Simulink programming tools, in which the manipulator must follow a desired trajectory and one of its actuators is blocked. The results are obtained by means of curves and rms index of joint and Cartesian errors for each controller.</t>
  </si>
  <si>
    <t>Urrea, Claudio/0000-0001-7197-8928</t>
  </si>
  <si>
    <t>10.1109/TLA.2013.6710378</t>
  </si>
  <si>
    <t>WOS:000330219400007</t>
  </si>
  <si>
    <t>César, H; Silvio, M</t>
  </si>
  <si>
    <t>Cesar, Huilinir; Silvio, Montalvo</t>
  </si>
  <si>
    <t>Modeling of an anoxic/methanogenic biofilm: effect of pH calculation within the biofilm</t>
  </si>
  <si>
    <t>BIOPROCESS AND BIOSYSTEMS ENGINEERING</t>
  </si>
  <si>
    <t>The models of anoxic/methanogenic processes in biofilm reactors published until now have supposed that pH does not change between the bulk liquid and biofilm. These assumptions are not necessarily valid for processes in reactors with biofilms. The present work studied an anoxic/methanogenic biofilm reactor incorporating the pH variation in both bulk and biofilm. Two dynamic models, one including the calculation of pH throughout the biofilm, were solved numerically and compared with each other. The results showed that the inclusion of a pH algorithm calculation produces different profiles and efficiencies on an anoxic/methanogenic biofilm system. Values of C/N ratio higher than 20 mg TOC/mg NO3-N and values of HRT lower than 4.5 h produce differences of up to 46 % with a traditional model that does not include pH calculation inside the biofilm. Thus, the assumption of a constant pH within the biofilm when using the traditional model does not accurately describe the performance of the system under these conditions, and pH calculation inside the biofilm should be included.</t>
  </si>
  <si>
    <t>Huilinir, Cesar/IYS-6899-2023</t>
  </si>
  <si>
    <t>Huilinir, Cesar/0000-0002-3487-684X</t>
  </si>
  <si>
    <t>1615-7591</t>
  </si>
  <si>
    <t>1615-7605</t>
  </si>
  <si>
    <t>NOV</t>
  </si>
  <si>
    <t>10.1007/s00449-013-0942-2</t>
  </si>
  <si>
    <t>WOS:000325772600015</t>
  </si>
  <si>
    <t>Henríquez, HR</t>
  </si>
  <si>
    <t>Henriquez, Hernan R.</t>
  </si>
  <si>
    <t>Existence of solutions of the nonautonomous abstract Cauchy problem of second order</t>
  </si>
  <si>
    <t>SEMIGROUP FORUM</t>
  </si>
  <si>
    <t>In this paper the existence of solutions of a nonautonomous abstract Cauchy problem of second order is considered. Assuming appropriate conditions on the operator of the equation, we establish the existence of mild solutions and, in some cases, we construct an evolution operator associated to the homogeneous equation. Using this evolution operator we obtain existence of solutions for the inhomogeneous equation. Finally, we apply our results to study the existence of solutions of the nonautonomous wave equation.</t>
  </si>
  <si>
    <t>0037-1912</t>
  </si>
  <si>
    <t>1432-2137</t>
  </si>
  <si>
    <t>10.1007/s00233-013-9485-8</t>
  </si>
  <si>
    <t>WOS:000325259400001</t>
  </si>
  <si>
    <t>Gamboa, GA</t>
  </si>
  <si>
    <t>Alvarez Gamboa, Gabriela</t>
  </si>
  <si>
    <t>THE ETHNOGRAPHIC TEXT AND INDIGENOUS ISSUES. THE POSSIBILITIES OF A HANDWRITING DIFFERENTIATED IN THE ANTHROPOLOGICAL RESEARCH BY ANNE CHAPMAN</t>
  </si>
  <si>
    <t>The ethnographic text was predominant in the late nineteenth century, where the defeated were re-positioned as an object of study to show the world a reality which was fragmented into pieces. These are discourses, manifested through formal resources,that constitute the conventions of the genre. According to the above, the objective of this paper is to review the discourse of anthropologist Anne Chapman and compare it to traditional ethnographic discourse as well as to the incorporation of other textual mechanics in order to glimpse a differentiated writing.</t>
  </si>
  <si>
    <t>WOS:000334150500007</t>
  </si>
  <si>
    <t>Tarride, MI</t>
  </si>
  <si>
    <t>Ivan Tarride, Mario</t>
  </si>
  <si>
    <t>The complexity of measuring complexity</t>
  </si>
  <si>
    <t>KYBERNETES</t>
  </si>
  <si>
    <t>Purpose - The purpose of this paper is to present a reflection that can contribute to the discussion of the possibility, or not, of measuring the complexity of any given system. Design/methodology/approach - The reflection takes place considering three aspects: the first one, of an etymological character, with the purpose to specify the semantics of complexity. The second, epistemological, refers to the forms of complexity measuring in different domains. And the third, of an ontological character, refers to the essential in the complexity of reality, which contains to the observer who observes and that is observes himself. Findings - It is proposed to reserve the word complex to refer to systems that are treated as an undecomposed and irreducible totality and the act of measuring does not take place; while the expression complicated may be used when the act of reduction takes place by measuring the system. Research limitations/implications - The statement made claims to be revised, criticized, questioned, confronted ..., with the aim to enrich it and accept it, or else to reject it and discard it. Originality/value - There is some degree of originality, with respect to other works, that deals with the measurement of complexity, but which does not refer to the distinction that it is possible to establish between complexity and complication, with its epistemological implications and in particular with the challenge of its quantification.</t>
  </si>
  <si>
    <t>0368-492X</t>
  </si>
  <si>
    <t>1-2</t>
  </si>
  <si>
    <t>10.1108/03684921311310558</t>
  </si>
  <si>
    <t>WOS:000316432900012</t>
  </si>
  <si>
    <t>Arce, R; del Río, R; Ruiz-León, D; Velez, J; Isaacs, M; del Valle, MA; Aguirre, MJ</t>
  </si>
  <si>
    <t>Arce, Roxana; del Rio, Rodrigo; Ruiz-Leon, Domingo; Velez, Jorge; Isaacs, Mauricio; del Valle, Maria A.; Aguirre, Maraia J.</t>
  </si>
  <si>
    <t>Evidence for the Formation of a Copolymer by Simultaneous Electropolymerization of p-Tetraaminophenyl Porphyrin Cobalt (II)) and o-Phenylenediamine on Glassy Carbon</t>
  </si>
  <si>
    <t>INTERNATIONAL JOURNAL OF ELECTROCHEMICAL SCIENCE</t>
  </si>
  <si>
    <t>There is relatively little research about the simultaneous electropolymerization of porphyrins and aniline derivatives in aqueous media. Normally, the copolymerization studies are focused in the polymerization of two conducting monomers without a redox metal center. It is interesting to study a probable synergic effect among very different species as metalled porphyrins and aniline derivatives. The synergic effect of a real co-polymerization would affect the electrochemical and mechanical properties. Electropolymerization of p-tetra-aminophenyl porphyrin of cobalt (II), polyCoTAPP, generates thin and fragile films that crystallize on some electrode surfaces in aqueous media. They are very electroactive but unstable in aqueous media. On the other hand, the electropolymerization of o-phenylenediamine, PoPD, generates stable and thick films with electroactivity to some reduction reactions and without redox response in the positive range between ca. 0.0 and 0.8V vs Ag/AgCl. In this research we electropolymerize both species dissolved in acid aqueous media obtaining a new film that has different properties compared to the homopolymers. Raman and XPS studies demonstrate the copolymerization and the synergic effect on the growing of the film.</t>
  </si>
  <si>
    <t>Aguirre, Maria/A-3935-2013; Isaacs, Mauricio/N-3027-2013; Arce, Roxana/V-8140-2019; Ruiz, Domingo/H-3818-2011; Cifuentes, Jorge/P-7533-2018; Del Rio, Rodrigo/B-2440-2008</t>
  </si>
  <si>
    <t>Aguirre, Maria/0000-0003-1134-4469; ARCE, ROXANA/0000-0002-1387-9232; Del Rio, Rodrigo/0000-0003-0315-6660; Isaacs Casanova, Mauricio/0000-0003-0503-0949</t>
  </si>
  <si>
    <t>1452-3981</t>
  </si>
  <si>
    <t>WOS:000312934600104</t>
  </si>
  <si>
    <t>Pino, E; Encinas, MV</t>
  </si>
  <si>
    <t>Pino, Eduardo; Victoria Encinas, Maria</t>
  </si>
  <si>
    <t>Photocatalytic degradation of chlorophenols on TiO2-325mesh and TiO2-P25. An extended kinetic study of photodegradation under competitive conditions</t>
  </si>
  <si>
    <t>JOURNAL OF PHOTOCHEMISTRY AND PHOTOBIOLOGY A-CHEMISTRY</t>
  </si>
  <si>
    <t>The photodegradation kinetics UV/TiO2-mediated of 4-chlorophenol (4-CP) and 2,6-dichlorophenol (2,6-DCP) mixtures were analyzed and compared under the same experimental conditions with both individual chlorophenols. The aim of this study was to get a more realistic approach to the critical processes involved in the photoinduced heterogeneous catalysis of systems containing more than one contaminant in competitive conditions, and also evaluate the influence of the particle size using the commercial TiO2-325mesh and TiO2-P25 as catalysts. The determination of the equilibrium adsorption constants in dark showed that the adsorption of the 2.6-DCP is considerably higher with respect to the 4-CP in both TiO2 particles, but this relation decreases in the mixture of these pollutants. Several parameters influencing the reaction rate were studied including initial phenol concentration, catalyst loading, pH change, and particle size distribution. The degradation kinetics of individual phenols at low conversion showed a similar reactivity towards photogenerate hydroxyl radicals. In agreement with the reduced adsorption in the mixture, degradation rate of phenols was markedly lower in the mixture than that observed for the individual compounds. On the other hand, the photodegradation rate was higher on the TiO2-325mesh than on TiO2-P25, this is opposite to surface area of these particles indicating that other surface properties as pore size play an important role. The photoinduced degradation of these chlorophenols showed two main intermediate products that correspond to the degradation of each individual chlorophenols. (C) 2012 Elsevier B.V. All rights reserved.</t>
  </si>
  <si>
    <t>Encinas, Maria/L-9686-2014</t>
  </si>
  <si>
    <t>Pino, Eduardo Francisco/0000-0002-7851-3952</t>
  </si>
  <si>
    <t>1010-6030</t>
  </si>
  <si>
    <t>1873-2666</t>
  </si>
  <si>
    <t>AUG 15</t>
  </si>
  <si>
    <t>10.1016/j.jphotochem.2012.05.019</t>
  </si>
  <si>
    <t>WOS:000307035600003</t>
  </si>
  <si>
    <t>Letelier, MF; Siginer, DA; Stockle, JS; Huilcan, A</t>
  </si>
  <si>
    <t>ASME</t>
  </si>
  <si>
    <t>Letelier, Mario F.; Siginer, Dennis A.; Stockle, Juan S.; Huilcan, Andy</t>
  </si>
  <si>
    <t>LAMINAR FLOW MODEL IN DUCTS OF CIRCULAR SECTION WITH ARBITRARY AXIAL VARIATION</t>
  </si>
  <si>
    <t>PROCEEDINGS OF THE ASME INTERNATIONAL MECHANICAL ENGINEERING CONGRESS AND EXPOSITION - 2010, VOL 7, PTS A AND B</t>
  </si>
  <si>
    <t>ASME International Mechanical Engineering Congress and Exposition (IMECE)</t>
  </si>
  <si>
    <t>NOV 12-18, 2010</t>
  </si>
  <si>
    <t>Vancouver, CANADA</t>
  </si>
  <si>
    <t>Amer Soc Mech Engineers</t>
  </si>
  <si>
    <t>Laminar flow inside a circular duct of variable section in the axial direction is modeled, assuming that the working fluid is Newtonian, incompressible, with laminar flow, a permanent state, and constant properties. The results describe the behavior of the stream function, the velocity field, and the pressure field, and graphic results are presented for each of those functions. The method used to solve the problem makes use of regular perturbations around the shape factor epsilon parameter. This research can be used for the design of new technological devices important to industry, optimizing processes in which fluids are transported, energy is transferred, etc.</t>
  </si>
  <si>
    <t>978-0-7918-4444-1</t>
  </si>
  <si>
    <t>WOS:000320625900071</t>
  </si>
  <si>
    <t>Magaña, I; Calquín, C; Silva, S; García, M</t>
  </si>
  <si>
    <t>Magana, Irene; Calquin, Claudia; Silva, Sebastian; Garcia, Makarena</t>
  </si>
  <si>
    <t>Family Diversity, Gender Relations and Health Care in the Familiy Health Approach: Case Study in CESFAM in the Chilean Metropolitan Area</t>
  </si>
  <si>
    <t>TERAPIA PSICOLOGICA</t>
  </si>
  <si>
    <t>We have analyzed the role of women and their families regarding the health group speeches and the analysis of the family records from CESFAM in an urban rural place in the Metropolitan region. It is concluded that in spite of the modern reforms boosted by the state health department the traditional role of women and their genre condition remains the same as well as their way of living supported by the classical sex division in their jobs. At the same time it is observed that in spite of the central role of women in maintaining the family health, this remains unseen and it is only observed in their responsibilities in the family circumstances</t>
  </si>
  <si>
    <t>CALQUIN, CLAUDIA ALEJANDRA/B-9630-2019</t>
  </si>
  <si>
    <t>CALQUIN, CLAUDIA ALEJANDRA/0000-0002-4420-5927; CALQUIN DONOSO, CLAUDIA/0000-0002-1102-648X</t>
  </si>
  <si>
    <t>0718-4808</t>
  </si>
  <si>
    <t>10.4067/S0718-48082011000100004</t>
  </si>
  <si>
    <t>WOS:000293210800004</t>
  </si>
  <si>
    <t>Henríquez-Vargas, L; Bubnovich, V; Cubillos, F</t>
  </si>
  <si>
    <t>Pistikopoulos, EN; Georgiadis, MC; Kokossis, AC</t>
  </si>
  <si>
    <t>Henriquez-Vargas, Luis; Bubnovich, Valeri; Cubillos, Francisco</t>
  </si>
  <si>
    <t>Dynamic optimization of porous media combustor using a greybox neural model and NMPC technique</t>
  </si>
  <si>
    <t>21ST EUROPEAN SYMPOSIUM ON COMPUTER AIDED PROCESS ENGINEERING</t>
  </si>
  <si>
    <t>Computer-Aided Chemical Engineering</t>
  </si>
  <si>
    <t>21st European Symposium on Computer Aided Process Engineering (ESCAPE-21)</t>
  </si>
  <si>
    <t>MAY 29-JUN 01, 2010-2011</t>
  </si>
  <si>
    <t>Chalkidiki, GREECE</t>
  </si>
  <si>
    <t>In this work we study by simulations the dynamic optimization of the burner power and positioning of the combustion front in a uniform porous media combustor by using a non linear model predictive control (NMPC) scheme. In this approach the combustion front can be fixed to a desired value by changing the velocity of the combustion wave by the manipulation of the operational variables: filtration velocity and composition of the gas mixture. The NMPC control strategy was a receding horizon control scheme. A grey-box neural type model (GNM) was used to describe the combustion wave dynamics as inner model in the NMPC strategy. The GNM is based on fundamental conservation laws associated with neural networks (NN) used to model uncertain parameters. In this case, the NN was used to estimate the gain factor in a 2 degrees order prediction mode. The study was carried out by means of simulations considering an experimental filtration combustion (FC) burner (CH4/air mixtures) manipulating the gas filtration velocity and fuel equivalence ration. Controlled variable was the flame position along the burner and the firing rate. Results show that confinement of the combustion front and firing rate setpoint can be achieved by manipulating operational variables giving two operation modes for the combustion front: cyclic and setpoint tracking schemes.</t>
  </si>
  <si>
    <t>Henríquez-Vargas, Luis/Q-3617-2019</t>
  </si>
  <si>
    <t>CUBILLOS, FRANCISCO/0000-0001-7863-4394</t>
  </si>
  <si>
    <t>1570-7946</t>
  </si>
  <si>
    <t>978-0-444-53895-6</t>
  </si>
  <si>
    <t>WOS:000294218900137</t>
  </si>
  <si>
    <t>Ramírez, C; Acuña, G</t>
  </si>
  <si>
    <t>Martin, CS; Kim, SW</t>
  </si>
  <si>
    <t>Ramirez, Cristian; Acuna, Gonzalo</t>
  </si>
  <si>
    <t>Forecasting Cash Demand in ATM Using Neural Networks and Least Square Support Vector Machine</t>
  </si>
  <si>
    <t>PROGRESS IN PATTERN RECOGNITION, IMAGE ANALYSIS, COMPUTER VISION, AND APPLICATIONS</t>
  </si>
  <si>
    <t>Lecture Notes in Computer Science</t>
  </si>
  <si>
    <t>16th Iberoamerican Congress on Pattern Recognition</t>
  </si>
  <si>
    <t>NOV 15-18, 2011</t>
  </si>
  <si>
    <t>Pucon, CHILE</t>
  </si>
  <si>
    <t>Univ Frontera,Int Assoc Pattern Recognit (IAPR),Assoc Chilena Reconocimiento Patrones,Assoc Cubana Reconocimiento Patrones,Mexican Assoc Comp Vision, Neural Comp &amp; Robot,Brazilian Comp Soc, Special Interest Grp,Assoc Espanola Reconocimientos Formas &amp; Anal Imagenes,Portuguese Assoc Pattern Recognit,Sociedad Argentina Reconocimiento Patrones,Assoc Reconocimiento Patrones Uruguay,Assoc Peruana Reconocimiento Patrones</t>
  </si>
  <si>
    <t>In this work we forecast the daily ATM cash demand using dynamic models of type Nonlinear Autoregressive Exogeneous inputs (NARX) and Nonlinear Autoreggressive Moving Average with Exogeneous Inputs (NARMAX) performed by Neural Networks (NN) and Least Square Support Vector Machine (LS-SVM) and used to predict one step (OSA) or multistep (WO). The aim is to compare which model perform better results. We found that the Multi layer Perceptron NN presented the best index of agreement with an average of 0.87 in NARX-OSA and 0.85 in NARX-MPO. After, Radial Basis Function NN was 0.82 for both cases. Finally, LS-SVM obtained the worst results with 0.78 for NARX-OSA and 0.70 for NARX-MPO. No significant differences between NARX and NARMAX structures were found. Our contribution would have obtained the 2nd place in the NN5 competition of computational methods.</t>
  </si>
  <si>
    <t>Acuna Leiva, Gonzalo Pedro/0000-0002-0519-7792</t>
  </si>
  <si>
    <t>0302-9743</t>
  </si>
  <si>
    <t>1611-3349</t>
  </si>
  <si>
    <t>978-3-642-25084-2</t>
  </si>
  <si>
    <t>+</t>
  </si>
  <si>
    <t>WOS:000307257600061</t>
  </si>
  <si>
    <t>Reyes, A; Pérez, N; Mahn, A</t>
  </si>
  <si>
    <t>Reyes, Alejandro; Perez, Natalia; Mahn, Andrea</t>
  </si>
  <si>
    <t>Theoretical and Experimental Study of Freeze-Drying of loco (Concholepas concholepas)</t>
  </si>
  <si>
    <t>DRYING TECHNOLOGY</t>
  </si>
  <si>
    <t>The loco is a mollusk somewhat similar to abalone that exists exclusively in Chile and Peru. Given the high commercial value of loco, preservation through freeze-drying seems economically viable. In this work, the freeze-drying process of loco meat was analyzed theoretically and experimentally. The effects of particle size, freeze-drying pressure, and intermittent use or not of microwave in the secondary drying stage, on the extent of the freeze-drying period, rehydration properties, shrinkage and texture were investigated by using a 2(3) factorial design. Drying and rehydration kinetics were adjusted to phenomenological models in order to determine mass transfer parameters. Freeze-drying pressure significantly affects the extent of the drying process. Freeze-drying pressure results in shrinkage, while microwave produces a volume increase. The effective moisture diffusivity (D(eff)) estimated form drying curves fluctuated between 10(-10) and 10 (11) (m(2)/s), agreeing with values reported for other meat products. The adjustment of the rehydration kinetics to the Constant Diffusivity Model gave the best fit, resulting in D(eff) in the order of 10(-10) (m(2)/s). Particle size and freeze-drying pressure significantly affected rehydration capacity.</t>
  </si>
  <si>
    <t>0737-3937</t>
  </si>
  <si>
    <t>10.1080/07373937.2011.586479</t>
  </si>
  <si>
    <t>WOS:000294804800005</t>
  </si>
  <si>
    <t>Godoy, LS</t>
  </si>
  <si>
    <t>Saez Godoy, Leopoldo</t>
  </si>
  <si>
    <t>Exemplified New Dictionary of Chileans. Consolidated and updated edition</t>
  </si>
  <si>
    <t>RLA-REVISTA DE LINGUISTICA TEORICA Y APLICADA</t>
  </si>
  <si>
    <t>0033-698X</t>
  </si>
  <si>
    <t>WOS:000294582700008</t>
  </si>
  <si>
    <t>Mahn, A; Reyes, A; Zamorano, M; Cifuentes, W; Ismail, M</t>
  </si>
  <si>
    <t>Mahn, Andrea; Reyes, Alejandro; Zamorano, Mauricio; Cifuentes, Wildo; Ismail, Maritza</t>
  </si>
  <si>
    <t>Depletion of highly abundant proteins in blood plasma by hydrophobic interaction chromatography for proteomic analysis</t>
  </si>
  <si>
    <t>JOURNAL OF CHROMATOGRAPHY B-ANALYTICAL TECHNOLOGIES IN THE BIOMEDICAL AND LIFE SCIENCES</t>
  </si>
  <si>
    <t>The proteomic analysis of plasma is extremely complex due to the presence of few highly abundant proteins. These proteins have to be depleted in order to detect low abundance proteins, which are likely to be of biomedical interest. In this work it was investigated the applicability of hydrophobic interaction chromatography (HIC) as a plasma fractionation method prior to two-dimensional gel electrophoresis (2DGE). The average hydrophobicity of the 56 main plasma proteins was calculated. Plasma proteins were classified as low, medium and highly hydrophobic through a cluster analysis. The highly abundant proteins showed a medium hydrophobicity, and therefore a HIC step was designed to deplete them from plasma. HIC performance was assessed by 2DGE, and it was compared to that obtained by a commercial immuno-affinity (IA) column for albumin depletion. Both methods showed similar reproducibility. HIC allowed partially depleting alpha-1-antitrypsin and albumin, and permitted to detect twice the number of spots than IA. Since albumin depletion by HIC was incomplete, it should be further optimized for its use as a complementary or alternative method to IA. (C) 2010 Elsevier B.V. All rights reserved.</t>
  </si>
  <si>
    <t>Zamorano, Mauricio/AAZ-7331-2020</t>
  </si>
  <si>
    <t>Zamorano, Mauricio/0000-0002-4559-4653</t>
  </si>
  <si>
    <t>1570-0232</t>
  </si>
  <si>
    <t>MAY 1</t>
  </si>
  <si>
    <t>15-16</t>
  </si>
  <si>
    <t>10.1016/j.jchromb.2010.03.006</t>
  </si>
  <si>
    <t>WOS:000277672000003</t>
  </si>
  <si>
    <t>Basilio, N; García-Río, L; Martín-Pastor, M</t>
  </si>
  <si>
    <t>Basilio, Nuno; Garcia-Rio, Luis; Martin-Pastor, Manuel</t>
  </si>
  <si>
    <t>NMR Evidence of Slow Monomer-Micelle Exchange in a Calixarene-Based Surfactant</t>
  </si>
  <si>
    <t>JOURNAL OF PHYSICAL CHEMISTRY B</t>
  </si>
  <si>
    <t>The self-aggregation of amphiphilic p-sulfonatocalix[4]arene was studied by fluorescence and NMR techniques. Pyrene fluorescence spectra were used to determine the critical micelle concentration and the value obtained was confirmed using Diffusion-Ordered NMR Spectroscopy (DOSY). It was found from the H-1 NMR spectra that exchange between the monomers in the bulk and in the micelles is slow on the NMR time scale. This finding was confirmed by 2D EXSY experiments and the rate constants of the process at different temperatures were extracted using the latter technique.</t>
  </si>
  <si>
    <t>Garcia-Rio, Luis/L-5882-2014; Perez-Castillo, Ana/A-9505-2015; Basilio, Nuno/F-2389-2012</t>
  </si>
  <si>
    <t>Martin-Pastor, Manuel/0000-0001-6024-1656; Basilio, Nuno/0000-0002-0121-3695</t>
  </si>
  <si>
    <t>1520-6106</t>
  </si>
  <si>
    <t>APR 15</t>
  </si>
  <si>
    <t>10.1021/jp910984g</t>
  </si>
  <si>
    <t>WOS:000276341500010</t>
  </si>
  <si>
    <t>de los Ríos, V</t>
  </si>
  <si>
    <t>de los Rios, Valeria</t>
  </si>
  <si>
    <t>Cinema and the invention of modern life in the chronicles of Roberto Arlt</t>
  </si>
  <si>
    <t>MLN</t>
  </si>
  <si>
    <t>0026-7910</t>
  </si>
  <si>
    <t>WOS:000265624500007</t>
  </si>
  <si>
    <t>Lizama, C; Prado, H</t>
  </si>
  <si>
    <t>Lizama, Carlos; Prado, Humberto</t>
  </si>
  <si>
    <t>On duality and spectral properties of (a, k)-regularized resolvents</t>
  </si>
  <si>
    <t>PROCEEDINGS OF THE ROYAL SOCIETY OF EDINBURGH SECTION A-MATHEMATICS</t>
  </si>
  <si>
    <t>We construct a duality theory for (a, k)-regularized resolvents, extending some of the known theorems for dual semigroups. We present several classes of spaces, which ill the, semigroup case correspond to the Farvard class and the sun-dual space. By duality arguments spectral inclusion theorems for regularized resolvents are also obtained.</t>
  </si>
  <si>
    <t>0308-2105</t>
  </si>
  <si>
    <t>1473-7124</t>
  </si>
  <si>
    <t>10.1017/S0308210507000364</t>
  </si>
  <si>
    <t>WOS:000267386900004</t>
  </si>
  <si>
    <t>Contreras, ML; Alvarez, J; Guajardo, D; Rozas, R</t>
  </si>
  <si>
    <t>Contreras, M. L.; Alvarez, J.; Guajardo, D.; Rozas, R.</t>
  </si>
  <si>
    <t>Understanding topological symmetry: A heuristic approach to its determination</t>
  </si>
  <si>
    <t>JOURNAL OF COMPUTATIONAL CHEMISTRY</t>
  </si>
  <si>
    <t>An algorithm based on heuristic rules for topological symmetry perception of organic structures having heteroatoms, multiple bonds, and any kind of cycle, and configuration, is presented. This algorithm identifies topological symmetry planes and sets of equivalent atoms in the structure, named symmetry atom groups (SAGs). This approach avoids both the need to explore the entire graph automorphism groups, and to encompass cycle determination, resulting in a very effective computer processing. Applications to several structures, some of them highly symmetrical such as dendrimers, are presented. (c) 2007 Wiley Periodicals, Inc.</t>
  </si>
  <si>
    <t>0192-8651</t>
  </si>
  <si>
    <t>10.1002/jcc.20816</t>
  </si>
  <si>
    <t>WOS:000253648500009</t>
  </si>
  <si>
    <t>Rodrigues, DC</t>
  </si>
  <si>
    <t>Rodrigues, Davi C.</t>
  </si>
  <si>
    <t>Anisotropic cosmological constant and the CMB quadrupole anomaly</t>
  </si>
  <si>
    <t>PHYSICAL REVIEW D</t>
  </si>
  <si>
    <t>There are evidences that the cosmic microwave background (CMB) large-angle anomalies imply a departure from statistical isotropy and hence from the standard cosmological model. We propose a Lambda CDM model extension whose dark energy component preserves its nondynamical character but wields anisotropic vacuum pressure. Exact solutions for the cosmological scale factors are presented, upper bounds for the deformation parameter are evaluated and its value is estimated considering the elliptical universe proposal to solve the quadrupole anomaly. This model can be constructed from a Bianchi I cosmology with a cosmological constant from two different ways: (i) a straightforward anisotropic modification of the vacuum pressure consistently with energy-momentum conservation; (ii) a Poisson structure deformation between canonical momenta such that the dynamics remain invariant under scale factors rescalings.</t>
  </si>
  <si>
    <t>Rodrigues, Davi/MZQ-7519-2025</t>
  </si>
  <si>
    <t>Rodrigues, Davi/0000-0003-1683-5443</t>
  </si>
  <si>
    <t>1550-7998</t>
  </si>
  <si>
    <t>1550-2368</t>
  </si>
  <si>
    <t>10.1103/PhysRevD.77.023534</t>
  </si>
  <si>
    <t>WOS:000252864000049</t>
  </si>
  <si>
    <t>Sepúlveda-Cuevas, LA; Contreras-Villacura, EG; Palma-Toloza, CL</t>
  </si>
  <si>
    <t>Sepulveda-Cuevas, Luisa A.; Contreras-Villacura, Elsa G.; Palma-Toloza, Carolyn L.</t>
  </si>
  <si>
    <t>MAGELLAN PEAT (Sphagnum magallanicum) AS NATURAL ADSORBENT OF RECALCITRAN SYNTHETIC DYES.</t>
  </si>
  <si>
    <t>REVISTA DE LA CIENCIA DEL SUELO Y NUTRICION VEGETAL</t>
  </si>
  <si>
    <t>2nd International Symposium of Soil, Ecology and Environment</t>
  </si>
  <si>
    <t>NOV 08-09, 2007</t>
  </si>
  <si>
    <t>Temuco, CHILE</t>
  </si>
  <si>
    <t>Univ La Frontera</t>
  </si>
  <si>
    <t>Colour abatement is a complex problem because the synthetic origin of the dyes used in the industry. The purpose of this study is to evaluate the feasibility of using Magellan peat (Sphagnum magallanicum) as an adsorbent of textile dyes, determining the physical-chemical characteristics of the peat by measuring the adsorptive capacity of the dyes as well as exploring the degrading potential of the native microorganisms they contain. The results obtained indicate that the peat has a specific surface area (BET) and a volume of 144.3 m(2) g(-1) and 60% of meso-and macropores, respectively. The basicity of the peat surface is superior to acidity and the pH in which the neutrality is reached is about 3.1. Equilibrium concentrations for the basic, acid and reactive dyes in the solid and liquid phases were appropriately interpreted by the Langmuir model; however the maximum adsorption capacities of the first ones were significantly higher. If the solution pH is lower to pzpc, the absorption capacity of the acid dyes increases. Three different bacteria colonies with decolourization capacity were isolated. In conclusion, results indicate that the peat may be successfully applied in the detoxification of textile effluents.</t>
  </si>
  <si>
    <t>0717-635X</t>
  </si>
  <si>
    <t>0718-2791</t>
  </si>
  <si>
    <t>WOS:000261492400005</t>
  </si>
  <si>
    <t>Alfaro, MD; Sepulveda, JM; Casorzo, CA</t>
  </si>
  <si>
    <t>Bhatt, B; Tewarie, B; Lazakidou, A; Siasiakos, K</t>
  </si>
  <si>
    <t>Alfaro, Miguel D.; Sepulveda, Juan M.; Casorzo, Carlo A.</t>
  </si>
  <si>
    <t>A fuzzy decision making model for determining company profile in allocation of public funding for industrial development projects</t>
  </si>
  <si>
    <t>PROCEEDINGS OF THE 9TH WSEAS INTERNATIONAL CONFERENCE ON MATHEMATICAL AND COMPUTATIONAL METHODS IN SCIENCE AND ENGINEERING (MACMESE '07)/ DNCOCO '07</t>
  </si>
  <si>
    <t>Electrical and Computer Engineering Series</t>
  </si>
  <si>
    <t>Joint Conference 9th WSEAS Int Conf on Mathematical and Computational Methods in Sci and Engineering/6th WSEAS Int Conf on Data Networks, Commununications, Computers</t>
  </si>
  <si>
    <t>NOV 05-07, 2007</t>
  </si>
  <si>
    <t>Port Spain, TRINID &amp; TOBAGO</t>
  </si>
  <si>
    <t>WSEAS</t>
  </si>
  <si>
    <t>In this article, a model for classifying companies according to size measures is presented along with an application to Chilean industry. Current variables, such as Yearly Net Sales, Number of Workers, and Total Assets, as well as current classification sets, namely Micro-enterprise, Small and Medium - Enterprise (SME), and Large-Enterprise, are used. The model was applied on a sample of 330 companies and the results show differences with current classification methods used by a public agency in charge of funding industrial development and research projects. By validating the model against the outcomes of current decision making, a better public's perception of a right classification decision for allocating funds was obtained. A fuzzy logic classification model of this kind may useful for allocating funds either to companies or individuals when traditional crisp numbers and criteria are difficult to handle.</t>
  </si>
  <si>
    <t>978-960-6766-11-4</t>
  </si>
  <si>
    <t>WOS:000254146000044</t>
  </si>
  <si>
    <t>Contreras, EG; Martinez, BE; Sepúlveda, LA; Palma, CL</t>
  </si>
  <si>
    <t>Contreras, Elsa G.; Martinez, Boris E.; Sepulveda, Luisa A.; Palma, Carolyn L.</t>
  </si>
  <si>
    <t>Kinetics of basic dye adsorption onto sphagnum magellanicum peat</t>
  </si>
  <si>
    <t>ADSORPTION SCIENCE &amp; TECHNOLOGY</t>
  </si>
  <si>
    <t>6th Brazilian Meeting on Adsorption</t>
  </si>
  <si>
    <t>AUG 13-16, 2006</t>
  </si>
  <si>
    <t>Maringa, BRAZIL</t>
  </si>
  <si>
    <t>The purpose of this study was to investigate the adsorption of two Basic dyes, i.e. Basic Blue 3 (BB3) and Basic Orange 2 (BO2), onto Sphagnum Magellanicum peat. The equilibrium studies were carried out at 30 degrees C and 45 degrees C, respectively. The equilibrium experimental results were fitted to the Langmuir model to obtain the characteristic parameters. The maximum sorption capacities for each dye were 41 mg/g for BB3 and 92 mg/g for BO2. The magnitude of the at. parameter increased with temperature for both dyes. The batch kinetic studies of Basic dye adsorption onto peat considered the effect of the initial concentrations of the dyes and the peat dosage. The models fitted were first order (Lagergren equation), pseudo-second order (chemisorption mechanism) and intra-particle diffusion. For all the systems studied, the pseudo-second-order model provided the best correlation. The intra-particle diffusion model provided good correlations over the intermediate and final steps of the adsorption process.</t>
  </si>
  <si>
    <t>Toloza, C/H-5501-2015</t>
  </si>
  <si>
    <t>0263-6174</t>
  </si>
  <si>
    <t>2048-4038</t>
  </si>
  <si>
    <t>10.1260/026361707785082396</t>
  </si>
  <si>
    <t>WOS:000257833200003</t>
  </si>
  <si>
    <t>Cubillos, FA; Acuña, G</t>
  </si>
  <si>
    <t>Liu, D; Fei, S; Hou, ZG; Zhang, HG; Sun, CY</t>
  </si>
  <si>
    <t>Cubillos, Francisco A.; Acuna, Gonzalo</t>
  </si>
  <si>
    <t>Adaptive control using a grey box neural model:: An experimental application</t>
  </si>
  <si>
    <t>ADVANCES IN NEURAL NETWORKS - ISNN 2007, PT 1, PROCEEDINGS</t>
  </si>
  <si>
    <t>4th International Symposium on Neural Networks (ISNN 2007)</t>
  </si>
  <si>
    <t>JUN 03-07, 2007</t>
  </si>
  <si>
    <t>Nanjing, PEOPLES R CHINA</t>
  </si>
  <si>
    <t>Natl Nat Sci Fdn China,KC Wong Educ Fdn,SE Univ China,Chinese Univ Hong Kong,Univ Illinois, Chicago</t>
  </si>
  <si>
    <t>This paper presents the application of a Grey Box Neural Model (GNM) in adaptive-predictive control of the combustion chamber temperature of a pilot-scale vibrating fluidized dryer. The GNM is based upon a phenomenological model of the process and a neural network that estimates uncertain parameters. The GNM was synthesized considering the energy balance and a radial basis function neural network (RBF) trained on-line to estimate heat losses. This predictive model was then incorporated into a predictive control strategy with one step look-ahead. The proposed system shows excellent results with regard to adaptability, predictability and control when subject to setpoint and disturbances changes.</t>
  </si>
  <si>
    <t>CUBILLOS, FRANCISCO/0000-0001-7863-4394; Acuna Leiva, Gonzalo Pedro/0000-0002-0519-7792</t>
  </si>
  <si>
    <t>978-3-540-72382-0</t>
  </si>
  <si>
    <t>WOS:000247063100037</t>
  </si>
  <si>
    <t>Garin, JL; Mannheim, RL</t>
  </si>
  <si>
    <t>Garin, Jorge L.; Mannheim, Rodolfo L.</t>
  </si>
  <si>
    <t>X-ray Powder Diffraction Analysis of Sigma-Phase in Welded Fe-Cr-Ni Alloys</t>
  </si>
  <si>
    <t>ACTA CRYSTALLOGRAPHICA A-FOUNDATION AND ADVANCES</t>
  </si>
  <si>
    <t>2053-2733</t>
  </si>
  <si>
    <t>S</t>
  </si>
  <si>
    <t>MS46 P03</t>
  </si>
  <si>
    <t>S282</t>
  </si>
  <si>
    <t>S283</t>
  </si>
  <si>
    <t>10.1107/S0108767307093592</t>
  </si>
  <si>
    <t>WOS:000478082400636</t>
  </si>
  <si>
    <t>Comman, H</t>
  </si>
  <si>
    <t>Comman, Henri</t>
  </si>
  <si>
    <t>Upper regularization for extended self-adjoint operators</t>
  </si>
  <si>
    <t>JOURNAL OF OPERATOR THEORY</t>
  </si>
  <si>
    <t>We show that the complete lattice of (R) over bar -valued sup-preserving maps on a complete lattice G of projections of a von Neumann algebra M, is isomorphic to some complete lattice M-(R) over bar(G) of extended spectral families in M, provided with the spectral order. We get various classes of (not necessarily densely defined) self-adjoint operators affiliated with M as conditionally complete lattices with completion M-(R) over bar(G), extending the Olson's results. When M is the universal enveloping von Neumann algebra of a C*-algebra A, and G the set of open projections, the elements of M-(R) over bar(G) are said to be extended q-upper semicontinuous, generalizing the Usual notions. The q-upper regularization map is defined using the spectral order, and characterized in terms of the above isomorphism. When A is commutative with spectrum X, we give an isomorphism Pi of complete lattices from (R) over bar (X) into the set of extended self-adjoint operators affiliated with M. By means of Pi, the above characterizations appear as generalizations of well-known properties of the upper regularization of (R) over bar -valued functions on X. A noncommutative version of the Dini-Cartan's lemma is given. An application is sketched.</t>
  </si>
  <si>
    <t>0379-4024</t>
  </si>
  <si>
    <t>1841-7744</t>
  </si>
  <si>
    <t>WIN</t>
  </si>
  <si>
    <t>WOS:000239034200004</t>
  </si>
  <si>
    <t>Tobar, I; Rivas-Pardo, JA; Arenas, F; Jabalquinto, AM; Cardemil, E</t>
  </si>
  <si>
    <t>Tobar, Ivan; Rivas-Pardo, Jaime A.; Arenas, Felipe; Jabalquinto, Ana M.; Cardemil, Emilio</t>
  </si>
  <si>
    <t>BIOL 184 - Saccharomyces cerevisiae phosphoenolpyruvate carboxykinase: Relevance of Thr463 and Arg457 for nucleotide binding and catalysis</t>
  </si>
  <si>
    <t>ABSTRACTS OF PAPERS OF THE AMERICAN CHEMICAL SOCIETY</t>
  </si>
  <si>
    <t>0065-7727</t>
  </si>
  <si>
    <t>SEP 10</t>
  </si>
  <si>
    <t>184-BIOL</t>
  </si>
  <si>
    <t>WOS:000207781600818</t>
  </si>
  <si>
    <t>Bazarra-Fernandez, A; Bazarra-Castro, MA</t>
  </si>
  <si>
    <t>Bazarra-Fernandez, A.; Bazarra-Castro, M. A.</t>
  </si>
  <si>
    <t>Teriparatide performance in women's bone formation</t>
  </si>
  <si>
    <t>OSTEOPOROSIS INTERNATIONAL</t>
  </si>
  <si>
    <t>7th International Symposium on Osteoporosis</t>
  </si>
  <si>
    <t>APR 18-22, 2007</t>
  </si>
  <si>
    <t>Washington, DC</t>
  </si>
  <si>
    <t>Natl Osteoporosis Fdn</t>
  </si>
  <si>
    <t>0937-941X</t>
  </si>
  <si>
    <t>S259</t>
  </si>
  <si>
    <t>WOS:000245980600410</t>
  </si>
  <si>
    <t>Singular perturbations of integro-differential equations</t>
  </si>
  <si>
    <t>APPLIED MATHEMATICS AND COMPUTATION</t>
  </si>
  <si>
    <t>We study the singular perturbation problem (E-epsilon) epsilon(2)u(epsilon)()(t) + u(epsilon)(')(t) = Au-epsilon(t) + (K * Au-epsilon) (t) + f(epsilon)(t), t &gt;= 0, epsilon &gt; 0 for the integro-differential equation (E) w'(t) = Aw(t) + (K * Aw)(t) + f(t), t &gt;= 0, in a Banach space, when epsilon -&gt; 0(+). We assume that A is the generator of a strongly continuous cosine family. Then under some regularity conditions on the scalar-valued kernel K we show that problem (E-epsilon) has a unique solution u(epsilon)(t) for each small epsilon &gt; 0. Moreover u(epsilon)(t) converges to u(t) as epsilon -&gt; 0(+), the unique solution of equation (E). (c) 2005 Elsevier Inc. All rights reserved.</t>
  </si>
  <si>
    <t>0096-3003</t>
  </si>
  <si>
    <t>10.1016/j.amc.2005.09.005</t>
  </si>
  <si>
    <t>WOS:000237568000048</t>
  </si>
  <si>
    <t>Aylwin, MDL; Díaz, E; Maldonado, PE</t>
  </si>
  <si>
    <t>Simultaneous single unit recording in the mitral cell layer of the rat olfactory bulb under nasal and tracheal breathing</t>
  </si>
  <si>
    <t>BIOLOGICAL RESEARCH</t>
  </si>
  <si>
    <t>Odor perception depends on the odorant-evoked changes on Mitral/Tufted cell firing pattern within the olfactory bulb (OB). The OB exhibits a significant ongoing or spontaneous activity in the absence of sensory stimulation. We characterized this ongoing activity by simultaneously recording several single neurons in the mitral cell layer (MCL) of anesthetized rats and determined the extent of synchrony and oscillations under nasal and tracheal breathing. We recorded 115 neurons and found no significant differences in the mean firing rates between both breathing conditions. Surprisingly, nearly all single units exhibited a long refractory Period averagina 14.4 ins during nasal respiration that was not different under tracheal breathing. We found a small incidence (2% of neurons) of gamma band oscillations and a low incidence (8.1%) of correlated firing between adjacent MCL cells. During nasal respiration, a significant oscillation at the respiratory rate was observed in 12% of cells that disappeared during tracheal breathing. Thus, in the absence of odorants. MCL cells exhibit a long refractory period, probably reflecting the intrinsic OB network properties. Furthermore, in the absence of sensory stimulation, MCL cell discharge does not oscillate in the,gamma band and the respiratory cycle can modulate the firing of these cells.</t>
  </si>
  <si>
    <t>Maldonado, Pedro/AAH-7670-2019</t>
  </si>
  <si>
    <t>Maldonado, Pedro E./0000-0001-9895-7684</t>
  </si>
  <si>
    <t>0716-9760</t>
  </si>
  <si>
    <t>WOS:000229899100003</t>
  </si>
  <si>
    <t>Cabezas, EE; Celentano, DJ</t>
  </si>
  <si>
    <t>Experimental and numerical analysis of the tensile test using sheet specimens</t>
  </si>
  <si>
    <t>FINITE ELEMENTS IN ANALYSIS AND DESIGN</t>
  </si>
  <si>
    <t>This paper presents an experimental and numerical study of the mechanical behaviour of SAE 1045 steel sheet specimens during the conventional tensile test. Due to the complex stress state that develops at the neck for high levels of axial deformation, an experimental-numerical methodology is proposed in order to derive the elastic and hardening parameters which characterize the material response. Such methodology is essentially an extension to sheet samples of the well established procedure used for cylindrical ones. The simulation of the deformation process during the whole test is performed with a finite element large strain elastoplasticity-based formulation. Finally, the experimental validation of the obtained numerical results allows to assess the performance of the proposed methodology for the 3D analysis of sheet specimens and, in addition, to discuss the range of applicability of plane stress conditions. (C) 2003 Elsevier B.V. All rights reserved.</t>
  </si>
  <si>
    <t>Celentano, Diego/JQW-5027-2023</t>
  </si>
  <si>
    <t>0168-874X</t>
  </si>
  <si>
    <t>1872-6925</t>
  </si>
  <si>
    <t>5-6</t>
  </si>
  <si>
    <t>10.1016/S0168-874X(03)00096-9</t>
  </si>
  <si>
    <t>WOS:000188506500006</t>
  </si>
  <si>
    <t>Modak, B; Torres, R; Wilkens, M; Urzúa, A</t>
  </si>
  <si>
    <t>Antibacterial activity of compounds isolated of the resinous exudate from Heliotropium sinuatum on phytopathogenic bacteria.</t>
  </si>
  <si>
    <t>JOURNAL OF THE CHILEAN CHEMICAL SOCIETY</t>
  </si>
  <si>
    <t>From the resinous exudates of Heliotropium sinuatum have been isolated and characterized two compounds, pentaeicosanol 1 and 1-hydroxy-3-doeicosanone 2. Those structures and previously isolated pure compounds have been tested in their antibacterial activity on phytopathogenic bacteria. Ketone 2 and the flavonoid hesperetine 10 showed antibacterial activity on Erwinia carotovora subsp. carotovora, while the flavonoid 3-O-methylgalangine 4 showed activity on Clavibacter michiganensis subsp. michiganensis.</t>
  </si>
  <si>
    <t>Wilkens, Marcela/G-5928-2019</t>
  </si>
  <si>
    <t>Urzua, Alejandro/0000-0003-2638-0921</t>
  </si>
  <si>
    <t>0717-9707</t>
  </si>
  <si>
    <t>WOS:000189308600001</t>
  </si>
  <si>
    <t>Strain-induced martensite in ADI alloys</t>
  </si>
  <si>
    <t>JOURNAL OF MATERIALS PROCESSING TECHNOLOGY</t>
  </si>
  <si>
    <t>International Conference on Advanced Materials Processing Technologies</t>
  </si>
  <si>
    <t>SEP 18-21, 2001</t>
  </si>
  <si>
    <t>MADRID, SPAIN</t>
  </si>
  <si>
    <t>The remarkable mechanical properties of austempered ductile irons arise from their microstructure, which is composed of a high-carbon stabilized austenite matrix filled with small isles of ferrite platelets, appropriately called ausferrite. Cold work imposed on the material yields a partial transformation of retained austenite into martensite, which can strongly influence the mechanical behavior of the alloy. The present study deals with the determination of transformed austenite upon plastic deformation in the range from 0 to 25% thickness reduction of the samples. The analyzed material was a Cu-Mo-Ni-alloyed ADI, obtained by austempering at 400degreesC for 90 min after austenization at 900degreesC for 80 min under Ar-protecting atmosphere. The determination of retained austenite and induced martensite made use of the classical X-ray diffraction technique and Rietveld refinement of the intensity data, with all experimental profile modeled by non-linear least-squares fitting, using pseudo-Voigt functions. The overall results showed that the starting contents of retained austenite in three groups of samples, i.e. 43.20, 35.79 and 44.05 vol.%, gradually evolved to 18.23, 13.02 and 18.59%, respectively, after 20% cold work, while formation of martensite increased from nearly zero to 24.95, 24.01 and 25.52% under the same deformation process. These results are further analyzed on the basis of some classical transformation theories. (C) 2003 Elsevier Science B.V. All rights reserved.</t>
  </si>
  <si>
    <t>0924-0136</t>
  </si>
  <si>
    <t>1873-4774</t>
  </si>
  <si>
    <t>DEC 20</t>
  </si>
  <si>
    <t>10.1016/S0924-0136(03)00452-7</t>
  </si>
  <si>
    <t>WOS:000187510100067</t>
  </si>
  <si>
    <t>Rabagliati, FM; Pérez, MA; Cancino, RA; Soto, MA; Rodríguez, FJ; Caro, CJ</t>
  </si>
  <si>
    <t>Styrene copolymerization using diphenylzinc-additive initiator systems:: Styrene/p-substituted styrenes</t>
  </si>
  <si>
    <t>MACROMOLECULAR SYMPOSIA</t>
  </si>
  <si>
    <t>7th Pacific Polymer Conference</t>
  </si>
  <si>
    <t>DEC 03-07, 2001</t>
  </si>
  <si>
    <t>OAXACA, MEXICO</t>
  </si>
  <si>
    <t>Combined systems including. diphenylzinc (Ph2Zn), a metallocene, and methylaluminoxane (MAO), have been employed to initiate the copolymerization of styrene (S) with p-alkylsubstituted styrenes and with alpha-olefins. The copolymerization processes depend largely on the comonomer, the nature of the metallocene included in the initiator system, the presence of Ph2Zn, the polymerization temperature and the solvent used. Titanocenes produced true copolymers for S/p-substituted styrene, but not in S/alpha-olefin copolymerization. On the other hand zirconocenes either did not copolymerize S/p-substituted styrene or produced very low conversions, while they succeeded in copolymerizing S/alpha-olefin, depending on the particular zirconocene employed. A low p-methylstyrene (p-MeS) content in the S/p-MeS copolymer and a low p-tertbutylstyrene (p-(BuS)-S-t) content in the S/p-(BuS)-S-t copolymer decreased Tm, making them easier to process material than s-PS.</t>
  </si>
  <si>
    <t>Rodríguez, Francisco/I-5283-2018</t>
  </si>
  <si>
    <t>Rodriguez-Mercado, Francisco/0000-0002-0530-6653</t>
  </si>
  <si>
    <t>1022-1360</t>
  </si>
  <si>
    <t>10.1002/masy.200390023</t>
  </si>
  <si>
    <t>WOS:000182798000003</t>
  </si>
  <si>
    <t>Chandía, GS</t>
  </si>
  <si>
    <t>Guerri, JC; Pajares, A; Palau, C</t>
  </si>
  <si>
    <t>Teaching construction steps by using VR</t>
  </si>
  <si>
    <t>1st International Industrial Simulation Conference 2003</t>
  </si>
  <si>
    <t>1st International Industrial Simulation Conference</t>
  </si>
  <si>
    <t>JUN 09-11, 2003</t>
  </si>
  <si>
    <t>Univ Politecn Valencia, Valencia, SPAIN</t>
  </si>
  <si>
    <t>European Simulat Soc,Ghent Univ,ENSAIT</t>
  </si>
  <si>
    <t>Univ Politecn Valencia</t>
  </si>
  <si>
    <t>Use of Virtual Reality (VR) applications in the construction industry in many countries is poor and many times inexistent by many reasons. One-way to introduce VR in this context in a definitively way, consist in the introduction of the VR tools in the undergraduate studies in the A/E/C (Architectural, Engineering and Construction) careers. In a learning by doing process, civil engineering (c.e.) students gain a direct appreciation of the advantages of use VR tools in the construction industry. As an academic experience, these tools are introduced to obtain a better knowledge retention as explained in the paper.</t>
  </si>
  <si>
    <t>90-77381-03-1</t>
  </si>
  <si>
    <t>WOS:000230139700027</t>
  </si>
  <si>
    <t>Celentano, DJ</t>
  </si>
  <si>
    <t>Thermomechanical analysis of the tensile test: simulation and experimental validation</t>
  </si>
  <si>
    <t>STRUCTURAL ENGINEERING AND MECHANICS</t>
  </si>
  <si>
    <t>This paper presents experimental and numerical analyses of the thermomechanical behaviour that takes place in SAE1020 mild steel cylindrical specimens during the conventional tensile test. A set of experiments has been carried out in order to obtain the stress-strain curve and the diameter evolution at the neck which allow, in turn, to derive the elastic and hardening parameters characterizing the material response. Temperature evolutions have also been measured for a high strain rate situation. Moreover, a finite element large strain thermoelastoplasticity-based formulation is proposed and used to simulate the deformation process during the whole test. Some important aspects of this formulation are discussed. Finally, the results provided by the simulation are experimentally validated.</t>
  </si>
  <si>
    <t>1225-4568</t>
  </si>
  <si>
    <t>10.12989/sem.2002.13.6.591</t>
  </si>
  <si>
    <t>WOS:000175657200001</t>
  </si>
  <si>
    <t>Rabagliati, FM; Caro, CJ; Perez, MA</t>
  </si>
  <si>
    <t>Copolymerization of styrene by diphenylzinc-additive systems.: Part III.: Copolymerization of styrene/para-methylstyrene using CpTiCl3-MAO and Ph2Zn-CpTiCl3-MAO initiator systems.</t>
  </si>
  <si>
    <t>BOLETIN DE LA SOCIEDAD CHILENA DE QUIMICA</t>
  </si>
  <si>
    <t>The copolymerization of styrene with p-methylstyrene has been tested using combined diphenylzinc-additive initiator systems, including diphenylzinc, Ph2Zn, a metallocene: cyclopentadienyltitanium trichloride, CpTiCl3, and methylalumoxane, MAO, as well as the binary CpTiCl3-MAO initiator system. Both combined initiator systems were able to induce S/p-MeS copolymerization and the corresponding homopolymerizations. Conversion to copolymer increases with an increase of p-MeS in the initial feed, while p-MeS homopolymerization led to greater conversion than that of S. From the copolymers obtained using these initiator systems only those produced from S/p-MeS = 95/5 (mol/mol) in the feed showed to be crystalline, with Tm values lower than that of pure s-PS, making them easier to process.</t>
  </si>
  <si>
    <t>0366-1644</t>
  </si>
  <si>
    <t>WOS:000176814300008</t>
  </si>
  <si>
    <t>Cotoras, M; García, C; Lagos, C; Folch, C; Mendoza, L</t>
  </si>
  <si>
    <t>Antifungal activity on Botrytis cinerea of flavonoids and diterpenoids isolated from the surface of Pseudognaphalium spp.</t>
  </si>
  <si>
    <t>The activity of the extracts obtained from the resinous exudates of the plants Pseudognaphalium cheiranthifolium, P. heterotrichium, P. robustum and P. vira vira on mycelial growth of the phytopathogenic fungus Botrytis cinerea was analyzed. Ten flavones, two flavanones and three diterpenoids isolated from these extracts were also tested for antifungal activity against B. cinerea. The extracts reduced mycelial growth and the inhibitory activity of the pure compounds was higher. Flavones with two hydroxyl groups on ring-A showed higher antifungal activity. Flavanones were inactive. The diterpenoid, 3beta-hydroxykaurenoic acid was the most active compound of this set against mycelial growth of B. cinerea. This compound also retarded the germination of conidia of the fungus.</t>
  </si>
  <si>
    <t>Folch-Cano, Christian/I-2549-2013</t>
  </si>
  <si>
    <t>WOS:000173712000006</t>
  </si>
  <si>
    <t>Cid, C; Yarur, CS</t>
  </si>
  <si>
    <t>A sharp existence result for a Dirichlet mixed problem: the superlinear case</t>
  </si>
  <si>
    <t>NONLINEAR ANALYSIS-THEORY METHODS &amp; APPLICATIONS</t>
  </si>
  <si>
    <t>0362-546X</t>
  </si>
  <si>
    <t>10.1016/S0362-546X(99)00429-0</t>
  </si>
  <si>
    <t>WOS:000170392000003</t>
  </si>
  <si>
    <t>Cárdenas-Jirón, GI; Zagal, JH</t>
  </si>
  <si>
    <t>Donor-acceptor intermolecular hardness on charge transfer reactions of substituted cobalt phthalocyanines</t>
  </si>
  <si>
    <t>JOURNAL OF ELECTROANALYTICAL CHEMISTRY</t>
  </si>
  <si>
    <t>We present a theoretical study of the donor-acceptor intermolecular hardness (eta (DA)) associated with the interaction between substituted cobalt phthalocyanines (CoPc(X)(n)) and donors such as molecular oxygen (O-2) or acceptor species such as 2-mercaptoethanol (OHCH2CH2SH), hydrazine (NH2NH2) and hydroxylamine (NH2OH). Semiempirical (PM3) and ab initio (ROHF/ CEP-31G and ROHF/6-31G) theoretical methods were used to determine lit,, for the four charge transfer interactions. Theoretical results of eta (DA) correlate well with rate constants for electro-oxidation of 2-mercaptoethanol, hydrazine and hydroxylamine and for electro-reduction of O-2 for processes occurring on phthalocyanines confined on a graphite electrode. The lower eta (DA) the higher is the reactivity. We also determined the molecular hardness (eta), as defined in density functional theory, of CoPc(X)(n). Linear correlations obtained between eta (DA) and of CoPc(X)(n) for each of the charge transfer reactions studied indicate that the donor-acceptor intermolecular hardness is a reactivity index and possesses a predictive value in determining the catalytic activity of macrocyclic complexes confined on electrode surfaces. (C) 2001 Elsevier Science B.V. All rights reserved.</t>
  </si>
  <si>
    <t>zagal, jose/L-9648-2014; Cardenas-Jiron, Gloria/H-9508-2012</t>
  </si>
  <si>
    <t>Cardenas-Jiron, Gloria/0000-0003-4305-8088</t>
  </si>
  <si>
    <t>0022-0728</t>
  </si>
  <si>
    <t>FEB 2</t>
  </si>
  <si>
    <t>10.1016/S0022-0728(00)00434-4</t>
  </si>
  <si>
    <t>WOS:000167193100006</t>
  </si>
  <si>
    <t>Salgado, L; Filho, FA; Muccilo, R</t>
  </si>
  <si>
    <t>Sintering and characterization of intermediate phases in the Mo-Re alloys</t>
  </si>
  <si>
    <t>ADVANCED POWDER TECHNOLOGY II</t>
  </si>
  <si>
    <t>KEY ENGINEERING MATERIALS</t>
  </si>
  <si>
    <t>2nd International Latin-American Conference on Power Technology</t>
  </si>
  <si>
    <t>NOV, 1999</t>
  </si>
  <si>
    <t>FOZ DO IGUACU, BRAZIL</t>
  </si>
  <si>
    <t>Air Liquide,Belgo Brasileira,brassinter,CCDM,Cofap,Combusto Metalpo,CCP,Degussa Huls,Forjisnter,Gasbarre Sinterite,Hoeganaes,Hoganas,Mahle Metal Leve Miba,OMG Amer,Osterwalder,Penn Team,Zoz</t>
  </si>
  <si>
    <t>According to the binary alloy phase diagram of the Mo-Re system, the solubility of Re in Mo has an upper limit of about 29 % at room temperature; compositions above that limit yield the phases sigma and chi, which have received much attention because of the important effects that their formation has on the properties of the industrial alloys; in fact, the presence of sigma -phase is expected to increase strength and decrease toughness of the Mo-Re alloys. Therefore, the structural features of those intermediate components provide useful information for the technical aspects of the alloys processing. In order to update old crystallographic data, an structural characterization of sigma and chi was conducted by means of X-ray powder diffraction analysis. The samples were synthesized by sintering of compacted mixtures of Mo and Re powders in the composition range of 10 to 87% Re, at elevated temperatures under controlled Ar-H-2 atmosphere. Both sigma -phase (MoRe2, D8(5)) and chi -phase (Mo13Re45, A12) are structurally characterized by a disordered arrangement of Mo and Re atoms in space groups P42/mnm and I-43m respectively; owing to these facts the occupation factors were also varied to determine the right stoichiometry of each compound.</t>
  </si>
  <si>
    <t>1013-9826</t>
  </si>
  <si>
    <t>0-87849-864-8</t>
  </si>
  <si>
    <t>189-1</t>
  </si>
  <si>
    <t>10.4028/www.scientific.net/KEM.189-191.394</t>
  </si>
  <si>
    <t>WOS:000168303300062</t>
  </si>
  <si>
    <t>Moenne, A</t>
  </si>
  <si>
    <t>Eucaryotic metallothioneins: proteins, gene regulation and copper homeostasis.</t>
  </si>
  <si>
    <t>CAHIERS DE BIOLOGIE MARINE</t>
  </si>
  <si>
    <t>International Workshop on Current Approaches in Basic and Applied Phycology</t>
  </si>
  <si>
    <t>DEC 05-13, 1998</t>
  </si>
  <si>
    <t>PONTIFICIA UNIV CATOLICA CHILE, LAS CRUCES, CHILE</t>
  </si>
  <si>
    <t>FONDAP,CONYCIT,Minist Affaires Etrangeres,CNRS PICS,Soc Biol Chile,Soc Ecol Chile,Int Seaweed Assoc,CIMM PUC,Univ Los Lagos,Univ Austral Chile</t>
  </si>
  <si>
    <t>PONTIFICIA UNIV CATOLICA CHILE</t>
  </si>
  <si>
    <t>Heavy metals such as copper, iron and zinc are essential for eucaryotic cell viability and they are required only in trace amounts. High concentrations of these metals are toxic for the cells and they trigger different molecular response mechanisms. One of the best studied of such responses involves the synthesis of metallothioneins (MTs) which are low molecular weight, cysteine-rich proteins that bind heavy metals by means of their cysteine residues. MTs have been purified from different eucaryotic cells and their structural and heavy metal binding properties have been determined. MT genes have been cloned from animal cells, fungi, plants and algae and their transcriptional activation by heavy metals has been characterized. The overexpression of MTs results in the accumulation of heavy metals in the cells. The best studied model for copper tolerance and homeostasis is the yeast Saccharomyces cerevisiae. In this fungus, high concentrations of copper activate transcription of the gene coding for CUP1 MT. This process involves the binding of ACE1 transcription factor to the promoter of cup-1 gene. ACE1 directly binds copper ions and undergoes a conformational change that allows its binding to the promoter region. On the other hand, copper starvation triggers the transcriptional activation of at least two copper transporter genes and a copper reductase gene. This activation involves the binding of MAC1 factor to the promoter region of these genes. MAC1 is stable in the absence of copper but is degraded when it binds copper ions via its carboxy terminal domain. Therefore, ACE1 and MAC1 are transcription factors which are able to sense intracellular concentrations of copper and they are crucial for copper homeostasis mechanisms. The above mentioned are probably not the only mechanisms involved in copper tolerance and homeostasis. Therefore, additional effort will be required to elucidate other complementary mechanisms involved in these processes.</t>
  </si>
  <si>
    <t>0007-9723</t>
  </si>
  <si>
    <t>2262-3094</t>
  </si>
  <si>
    <t>WOS:000168120500013</t>
  </si>
  <si>
    <t>Cruchaga, MA; Celentano, DJ</t>
  </si>
  <si>
    <t>A finite element thermally coupled flow formulation for phase-change problems</t>
  </si>
  <si>
    <t>INTERNATIONAL JOURNAL FOR NUMERICAL METHODS IN FLUIDS</t>
  </si>
  <si>
    <t>A finite element, thermally coupled incompressible flow formulation considering phase-change effects is presented. This formulation accounts for natural convection, temperature-dependent material properties and isothermal and non-isothermal phase-change models. In this context, the full Navier-Stokes equations are solved using a generalized streamline operator (GSO) technique. The highly non-linear phase-change effects are treated with a temperature-based algorithm, which provides stability and convergence of the numerical solution. The Boussinesq approximation is used in order to consider the temperature-dependent density variation. Furthermore, the numerical solution of the coupled problem is approached with a staggered incremental-iterative solution scheme, such that the convergence criteria are written in terms of the residual vectors. Finally, this formulation is used for the solutions of solidification and melting problems validating some numerical results with other existing solutions obtained with different methodologies. Copyright (C) 2000 John Wiley &amp; Sons, Ltd.</t>
  </si>
  <si>
    <t>Celentano, Diego/JQW-5027-2023; Cruchaga, Marcela/M-7522-2014</t>
  </si>
  <si>
    <t>Cruchaga, Marcela/0000-0002-8708-2402</t>
  </si>
  <si>
    <t>0271-2091</t>
  </si>
  <si>
    <t>OCT 30</t>
  </si>
  <si>
    <t>10.1002/1097-0363(20001030)34:4&lt;279::AID-FLD58&gt;3.3.CO;2-L</t>
  </si>
  <si>
    <t>WOS:000090001900001</t>
  </si>
  <si>
    <t>Microstructural characterization of ADI and AVI alloys by means of Rietveld analysis</t>
  </si>
  <si>
    <t>ZEITSCHRIFT FUR METALLKUNDE</t>
  </si>
  <si>
    <t>Retained austenite and other microstructural components in a series of Cu-Mo-Ni-alloyed austempered ductile iron, ADI, and V-Cu-bearing austempered vermicular iron, AVI, have been determined by means of Rietveld analysis, as a promising alternative to the usual technique based on the integrated intensities of X-ray diffraction patterns. The Rietveld method utilizes all measured points of the diffraction pattern and minimizes the residual S = w(i) (y(i) - y(c))(2) with w(i) = 1/y(i), y(i) = observed intensity and y(c) = calculated intensity. For the sake of this research the analytical reflection profiles were modeled according to the Pearson VIT and pseudo-Voigt functions. The described refinement procedure yielded highly precise results, as compared with the traditional techniques; besides, very useful corrections for preferred orientations, background and micro displacement of the specimen can be mathematically modeled.</t>
  </si>
  <si>
    <t>0044-3093</t>
  </si>
  <si>
    <t>WOS:000165530600009</t>
  </si>
  <si>
    <t>Barro, M; Vásquez, M; Spencer, E</t>
  </si>
  <si>
    <t>Letter sent to the authors mentioned, who answer the following</t>
  </si>
  <si>
    <t>REVISTA MEDICA DE CHILE</t>
  </si>
  <si>
    <t>0034-9887</t>
  </si>
  <si>
    <t>FEB</t>
  </si>
  <si>
    <t>WOS:000086371900016</t>
  </si>
  <si>
    <t>Martinez, MM; Balocchi, EC; Ceron, RF</t>
  </si>
  <si>
    <t>Formative evaluation of a module in general chemistry to be used in a cooperative environment.</t>
  </si>
  <si>
    <t>Martínez, Mª/R-9675-2019</t>
  </si>
  <si>
    <t>AUG 22</t>
  </si>
  <si>
    <t>360-CHED</t>
  </si>
  <si>
    <t>U339</t>
  </si>
  <si>
    <t>U340</t>
  </si>
  <si>
    <t>WOS:000082033901007</t>
  </si>
  <si>
    <t>Blasco, R; Alvarez, PI</t>
  </si>
  <si>
    <t>Flash drying of fish meals with superheated steam: Isothermal process</t>
  </si>
  <si>
    <t>The work considers the application of the flash drying to the moisture removal of fishmeal using superheated steam as transport medium. Heat, momentum and mass transfer equations were applied and an algorithm based on these equations was developed and solved. The model was validated using experimental data obtained in a pilot pneumatic dryer (total length 60 m), provided with a steam jacket to maintain the superheated steam at a constant temperature. The drying time was less than 10 s to decrease the fish meals moisture content from 53.5% to 28% d.b. and in a second pass by the dryer the moisture down to 16.9%, using superheated steam at 111 degrees C and 130 degrees C in the jacket. The computational results are in agreement with the experimental data.</t>
  </si>
  <si>
    <t>4-5</t>
  </si>
  <si>
    <t>10.1080/07373939908917569</t>
  </si>
  <si>
    <t>WOS:000080188000008</t>
  </si>
  <si>
    <t>Mateo, JM; Cubillos, FA; Alvarez, PI</t>
  </si>
  <si>
    <t>Hybrid neural approaches for modelling drying processes for particulate solids</t>
  </si>
  <si>
    <t>This work presents methods for synthesizing drying process models for particulate solids that combine prior knowledge with artificial neural networks. The inclusion of prior knowledge is investigated by developing two applications with the data from two indirect rotary steam dryers. The first application consisted in the modelling of the drying process of soya meal in a batch indirect rotary dryer. The external and internal mass transfer resistances were associated in the hidden layer of the network to linear and sigmoidal nodes, respectively. The second application consisted in the modelling of the drying process of soya meal in a continuos indirect rotary dryer. The model was constructed using the Semi-parametric Design Approach. The model predicts the evolution of solid moisture content and temperature as a function of the solid position in the dryer. The results show that the hybrid model performs better than the pure black box neural network and default models. They also shows that prior knowledge enhances the extrapolation capabilities of a neural network model.</t>
  </si>
  <si>
    <t>Mateo-Sanz, Josep/Q-8081-2016</t>
  </si>
  <si>
    <t>10.1080/07373939908917571</t>
  </si>
  <si>
    <t>WOS:000080188000010</t>
  </si>
  <si>
    <t>Hernandez, E; Henriquez, HR</t>
  </si>
  <si>
    <t>Existence of periodic solutions of partial neutral functional differential equations with unbounded delay</t>
  </si>
  <si>
    <t>JOURNAL OF MATHEMATICAL ANALYSIS AND APPLICATIONS</t>
  </si>
  <si>
    <t>In this article we establish a result of existence of periodic solutions for the class of quasi-linear partial neutral functional differential equations with unbounded delay that can be described as the abstract functional differential equation (d/dt)(x(t) + F(t, x(t))) = Ax(t) + G(t, x(t)), where A is the infinitesimal generator of a strongly continuous semigroup of linear operators on a Banach space and F and G are appropriate functions defined on a phase space. (C) 1998 Academic Press.</t>
  </si>
  <si>
    <t>Hernández, Eduardo/N-4531-2013</t>
  </si>
  <si>
    <t>Hernandez, Eduardo/0000-0002-4279-8570</t>
  </si>
  <si>
    <t>0022-247X</t>
  </si>
  <si>
    <t>MAY 15</t>
  </si>
  <si>
    <t>10.1006/jmaa.1997.5899</t>
  </si>
  <si>
    <t>WOS:000073589100006</t>
  </si>
  <si>
    <t>Perez, P; Trier, A; Silva, C; Montano, R</t>
  </si>
  <si>
    <t>Kasabov, N; Kozma, R; Ko, K; OShea, R; Coghill, G; Gedeon, T</t>
  </si>
  <si>
    <t>Prediction of atmospheric pollution by particulate matter using a neural network</t>
  </si>
  <si>
    <t>PROGRESS IN CONNECTIONIST-BASED INFORMATION SYSTEMS, VOLS 1 AND 2</t>
  </si>
  <si>
    <t>1997 International Conference on Neural Information Processing and Intelligent Information Systems</t>
  </si>
  <si>
    <t>SEP, 1997</t>
  </si>
  <si>
    <t>DUNEDIN, NEW ZEALAND</t>
  </si>
  <si>
    <t>Asian Pacific Neural Network Assembly,Air New Zealand,TELECOM New Zealand,New Zealand Comp Soc,SAS Inst,Fisher &amp; Paykel,Univ Otago, Dept Informat Sci,IEEE, Neural Network Council,Int Neural Network Soc</t>
  </si>
  <si>
    <t>Based on data of particulate matter pollutants (PM2.5) recorded hourly for six months in the city of Santiago, we show that after filtering the noise, feedforward neural networks may be used in order to predict particle concentration in the atmosphere several hours in advance. The predictions with the neural net are better than those using an ARIMA model and persistence.</t>
  </si>
  <si>
    <t>Perez, Patricio/AAS-7390-2020</t>
  </si>
  <si>
    <t>981-3083-64-6</t>
  </si>
  <si>
    <t>WOS:000085593600243</t>
  </si>
  <si>
    <t>Chaieb, S; Melo, F</t>
  </si>
  <si>
    <t>Experimental study of crease formation in an axially compressed sheet</t>
  </si>
  <si>
    <t>PHYSICAL REVIEW E</t>
  </si>
  <si>
    <t>In our study of crease formation in a cylindrical panel subject to axial compression, we found that the maximum vertical deflection zeta increases in the orthoradial direction l and saturates when the panel is larger than half a cylinder. The length of the crease X decreases by increasing the panel opening angle, and saturates to a constant value when the opening angle is close to 2 pi. The stress corresponding to initial crease formation goes as 1/R, where R is the radius of curvature of the panel. Profilometric measurements reveal the presence of a region around the singularity where the stress is focused and when the deformation is plastic.</t>
  </si>
  <si>
    <t>c, sahraoui/H-1272-2015; Melo, Francisco/M-3923-2014</t>
  </si>
  <si>
    <t>Melo, Francisco Esteban/0000-0001-6818-5476; chaieb, sahraoui/0000-0002-8053-3610</t>
  </si>
  <si>
    <t>1063-651X</t>
  </si>
  <si>
    <t>10.1103/PhysRevE.56.4736</t>
  </si>
  <si>
    <t>WOS:A1997YC32200121</t>
  </si>
  <si>
    <t>Mendoza, L; Wilkens, M; Urzua, A</t>
  </si>
  <si>
    <t>Antimicrobial study of the resinous exudates and of diterpenoids and flavonoids isolated from some Chilean Pseudognaphalium (Asteraceae)</t>
  </si>
  <si>
    <t>JOURNAL OF ETHNOPHARMACOLOGY</t>
  </si>
  <si>
    <t>The antimicrobial properties of the resinous exudates from twigs and leaves of four Chilean species of Pseudognaphalium: P. viravira, P. robustum, P. heterotrichium and P. cheiranthifolium were tested against six Gram negative bacteria and five Gram positive bacteria. The extracts share similar antimicrobial activities against the Gram positive bacteria. The antimicrobial activity correlated very well with the presence in the resinous exudates of ent-16-kauren-19-oic acid and to a lesser extent with the presence of ent-9(11),16-kauradien-19-oic. Introduction of an hydrophilic 3 beta-OH drastically reduced the antimicrobial activity of these compound. The activity was not correlated with the flavonoid content of those resinous exudates. (C) 1997 Elsevier Science Ireland Ltd.</t>
  </si>
  <si>
    <t>0378-8741</t>
  </si>
  <si>
    <t>10.1016/S0378-8741(97)00084-6</t>
  </si>
  <si>
    <t>WOS:A1997YF75700002</t>
  </si>
  <si>
    <t>Urzua, A; Mendoza, L; Andrade, L; Miranda, B</t>
  </si>
  <si>
    <t>Diterpenoids in the trichome resinous exudate from Haplopappus shumannii</t>
  </si>
  <si>
    <t>BIOCHEMICAL SYSTEMATICS AND ECOLOGY</t>
  </si>
  <si>
    <t>0305-1978</t>
  </si>
  <si>
    <t>10.1016/S0305-1978(97)00071-9</t>
  </si>
  <si>
    <t>WOS:A1997YF32500015</t>
  </si>
  <si>
    <t>Escudey, M; Diaz, P; Foerster, JE; Galindo, G</t>
  </si>
  <si>
    <t>Comparative study of K-Ca selectivity on volcanic material derived soils, their fractions, and similar synthetic compounds.</t>
  </si>
  <si>
    <t>Samples of allophane, iron oxide coated allophane and iron oxide and organic matter coated allophane, and samples of similar synthetic aluminosilicates showed a remarkable K selectivity in K-Ca binary cation exchange equilibria, carried out at 25 degrees C and studied th rough the Gaines-Thomas thermodynamic approach. The cation exchange capacity (CEC) of synthetic compounds is 3 to 12 times higher than CEC of equivalent natural samples. Both synthetic and natural samples showed the same selectivity sequence, related with the surface coating present. The thermodynamic constants of equilibria (Ke) of aluminosilicate and iron oxide coated aluminosilicate are almost one order higher than those of equivalent natural samples, which is consistent with the higher selectivity for K showed by synthetic samples. On the other side, synthetic and natural iron oxide and organic matter coated samples showed similar Ke values. It is concluded that iron oxide and organic matter coated synthetic samples may be used as soil models to study the binary cation exchange equilibria under more controled conditions.</t>
  </si>
  <si>
    <t>WOS:A1997YA06800006</t>
  </si>
  <si>
    <t>Aspee, A; Campos, AM; Ulloa, Y; Lissi, E</t>
  </si>
  <si>
    <t>Humeres, JJE</t>
  </si>
  <si>
    <t>Solubilization in micelles and vesicles. Influence of the hydrophobicity and topology of the solute</t>
  </si>
  <si>
    <t>ATUALIDADES DE FISICO-QUIMICA ORGANICA - 1995</t>
  </si>
  <si>
    <t>3rd Latin-American Conference on Organic Physical Chemistry</t>
  </si>
  <si>
    <t>APR 09-14, 1995</t>
  </si>
  <si>
    <t>FLORIANOPOLIS, BRAZIL</t>
  </si>
  <si>
    <t>The solubility in ''oil in water'' microaggregates, such as micelles and vesicles, is mainly determined by the hydrophobicity of the solute. However, other factors such as the topology of the solute can contribute to its solubilization. In the present work, the partition between l-octanol and water, the solubility in water, the free energy of transfer from the solution to the water/air interface, the partition constant between micelles of SDS and water, and the partition constant between giant DPPC unilamellar vesicles and water are measured for a series of alkanols of widely different hydrophobicity and topology. Furthermore, the effect that their incorporation produces upon the properties of DPPC vesicles is analyzed employing two alkanols (l-octanol and 2,6-dimethyl-4-heptanol) of similar hydrophobicity and different topology. The results indicate that, although the hydrophobicity is the main factor determining the degree of incorporation into the microphases, the shape of the molecule is also a factor that must be taken into account. In particular, branching decreases the degree of incorporation into the vesicles. Also, the effects produced by the solute incorporation are different for solutes of different topology.</t>
  </si>
  <si>
    <t>WOS:A1995BH62G00022</t>
  </si>
  <si>
    <t>WATTS, BR</t>
  </si>
  <si>
    <t>Beer, J; Lawton, B; Hart, P</t>
  </si>
  <si>
    <t>Some characteristics of the Chilean in the works of Alberto Blest Gana (1830-1920)</t>
  </si>
  <si>
    <t>RLA - ROMANCE LANGUAGES ANNUAL 1994, VOL VI</t>
  </si>
  <si>
    <t>ROMANCE LANGUAGES ANNUAL</t>
  </si>
  <si>
    <t>6th Annual Purdue University Conference on Romance Languages, Literatures, and Films</t>
  </si>
  <si>
    <t>LAFAYETTE, IN</t>
  </si>
  <si>
    <t>Purdue Res Fdn</t>
  </si>
  <si>
    <t>1050-0774</t>
  </si>
  <si>
    <t>WOS:A1995BD51C00110</t>
  </si>
  <si>
    <t>BARBATO, S; GAUTIER, JL</t>
  </si>
  <si>
    <t>A FLOW BALANCE IMPLICIT FINITE-DIFFERENCE ALGORITHM FOR THE DIGITAL-SIMULATION OF CYCLIC VOLTAMMETRIES - APPLICATION TO ELECTROCHEMICAL-BEHAVIOR OF CO3O4 AND 1-PHENYL-1-HEXYNE</t>
  </si>
  <si>
    <t>Cyclic voltammograms resulting from redox reactions in solid state and ECEC-type mechanisms in non aqueous medium have been simulated using flow balance implicit finite difference (FBIFD) method, a new algorithm for the digital simulation of electrochemical processes. The electrochemical behaviour of Co3O4-spinel in alkaline medium and the electrolytical isomerization of 1-phenyl-1-hexyne in DMF have been studied by means of simulation technique. The presence of different Co-containing species responsible of the principal anodic current peak of the spinel and consequent electrochemical reduction has been suggested by the simulation results. The effect of the residual water concentration on the cyclic voltammetric behaviour of hexyne has been successfully simulated. Kinetics constants evaluation from simulated alkyne reduction reaction and the electroactive products formed during this reduction has served to accept the proposed mechanism and to compare the results obtained by EFD and FBIFD algorithms.</t>
  </si>
  <si>
    <t>WOS:A1993MQ92900005</t>
  </si>
  <si>
    <t>VILLARROEL, L; TORRES, R; URZUA, A</t>
  </si>
  <si>
    <t>PHENOLIC-COMPOUNDS IN THE RESINUOS EXUDATE OF HELIOTROPIUM-STENOPHYLLUM - STRUCTURAL DETERMINATION AND SOME BIOLOGICAL PROPERTIES</t>
  </si>
  <si>
    <t>From the resinous exudate of Heliotropium stenophyllum the following phenolic compounds were isolated: 2-geranyl-4-hydroxyphenyl acetate 1, 5,7-dihydroxy flavanone 2, 5,7,4'-trihydroxyflavanone 3, (-)-5,4'-dihydroxy-7-methoxyflavanone 4,(-)-4'-acetoxy-5-hydroxy-7-methoxyflavanone 5, 5,3',4'-trihydroxy-7-methoxyflavanone 6, 3,5,7-trihydroxyflavone 7, 5,7-dihydroxy-3-methoxyflavone 8, 3,7,4'-trihydroxy-5,3'-dimethoxy-flavone 9. This is the first time that 4'-acetoxy-5-hydroxy-7-methoxy-flavanone 5 is reported. Some of the suggested biological roles of the resinous exudates of plants are correlated with the chemical composition of the Heliotropium stenophyllum exudate, with the results of the no choice test with Pieris brassicae L. larvae, and the beta-carotene qualitative test for antioxidant activity.</t>
  </si>
  <si>
    <t>WOS:A1991GG30500005</t>
  </si>
  <si>
    <t>URETAZANARTU, MS</t>
  </si>
  <si>
    <t>STUDY ABOUT THE PROPERTIES OF IRIDIUM ELECTRODE COATED WITH VARIOUS OXIDE LAYER THICKNESSES</t>
  </si>
  <si>
    <t>AFINIDAD</t>
  </si>
  <si>
    <t>Ureta-Zañartu, Maria/G-5239-2019</t>
  </si>
  <si>
    <t>0001-9704</t>
  </si>
  <si>
    <t>JAN-FEB</t>
  </si>
  <si>
    <t>WOS:A1989T706900012</t>
  </si>
  <si>
    <t>ARANDA, M; AGUIRRE, S; SALAS, C</t>
  </si>
  <si>
    <t>DETECTION OF CHEMICAL CARCINOGENS IN HUMAN AMNIOTIC-FLUID CELLS</t>
  </si>
  <si>
    <t>ARCHIVOS DE BIOLOGIA Y MEDICINA EXPERIMENTALES</t>
  </si>
  <si>
    <t>0004-0533</t>
  </si>
  <si>
    <t>R173</t>
  </si>
  <si>
    <t>WOS:A1986F093100100</t>
  </si>
  <si>
    <t>ENCINA, MV; LISSI, EA; KOCH, V; ELORZA, E</t>
  </si>
  <si>
    <t>POLYMERIZATION PHOTOINITIATED BY CARBONYL-COMPOUNDS .4. ALPHA-DIKETONES AND ALPHA-SUBSTITUTED ALKANONES</t>
  </si>
  <si>
    <t>JOURNAL OF POLYMER SCIENCE PART A-POLYMER CHEMISTRY</t>
  </si>
  <si>
    <t>0887-624X</t>
  </si>
  <si>
    <t>10.1002/pol.1982.170200108</t>
  </si>
  <si>
    <t>WOS:A1982MX76100008</t>
  </si>
  <si>
    <t>ENCINAS, MV; LISSI, EA</t>
  </si>
  <si>
    <t>QUENCHING OF BIACETYL SINGLETS BY OLEFINS - DEPENDENCE ON THE SOLVENT ACCEPTOR NUMBER</t>
  </si>
  <si>
    <t>JOURNAL OF PHOTOCHEMISTRY</t>
  </si>
  <si>
    <t>0047-2670</t>
  </si>
  <si>
    <t>10.1016/0047-2670(81)80035-4</t>
  </si>
  <si>
    <t>WOS:A1981MB57000009</t>
  </si>
  <si>
    <t>TORRES, R; CASSELS, BK</t>
  </si>
  <si>
    <t>COUMARINS FROM FAGARA-MAYU LEAVES</t>
  </si>
  <si>
    <t>ANALES DE LA ASOCIACION QUIMICA ARGENTINA</t>
  </si>
  <si>
    <t>Cassels, Bruce/H-6937-2013</t>
  </si>
  <si>
    <t>0365-0375</t>
  </si>
  <si>
    <t>3-4</t>
  </si>
  <si>
    <t>WOS:A1975CA02200005</t>
  </si>
  <si>
    <t>Riquelme, D; Juanchuto-Viertel, N; Alamos, C; Leiva-Salcedo, E</t>
  </si>
  <si>
    <t>Riquelme, Denise; Juanchuto-Viertel, Nicole; Alamos, Carlos; Leiva-Salcedo, Elias</t>
  </si>
  <si>
    <t>TRPM4 inhibition slows neuritogenesis progression of cortical neurons</t>
  </si>
  <si>
    <t>MOLECULAR BRAIN</t>
  </si>
  <si>
    <t>TRPM4 is a non-selective cation channel activated by intracellular Ca2+ but only permeable to monovalent cations, its activation regulates membrane potential and intracellular calcium. This channel participates in the migration and adhesion of non-excitable cells and forms an integral part of the focal adhesion complex. In neurons, TRPM4 expression starts before birth and its function at this stage is not clear, but it may function in processes such as neurite development. Here we investigate the role of TRPM4 in neuritogenesis. We found that neurons at DIV 0 express TRPM4, the inhibition of TRPM4 using 9-Ph reduces neurite number and slows the progression of neurite development, keeping neurons in stage 1. The genetic suppression of TRPM4 using an shRNA at later stages (DIV2) reduces neurite length. Conversely, at DIV 0, TRPM4 inhibition augments the Cch-induced Ca2 + i increase, altering the calcium homeostasis. Together, these results show that TRPM4 participates in progression of neurite development and suggest a critical role of the calcium modulation during this stage of neuronal development.</t>
  </si>
  <si>
    <t>1756-6606</t>
  </si>
  <si>
    <t>SEP 12</t>
  </si>
  <si>
    <t>10.1186/s13041-024-01140-3</t>
  </si>
  <si>
    <t>WOS:001310898200001</t>
  </si>
  <si>
    <t>Urrea, C; Garcia-Garcia, Y; Kern, J</t>
  </si>
  <si>
    <t>Urrea, Claudio; Garcia-Garcia, Yainet; Kern, John</t>
  </si>
  <si>
    <t>Closed-Form Continuous-Time Neural Networks for Sliding Mode Control with Neural Gravity Compensation</t>
  </si>
  <si>
    <t>ROBOTICS</t>
  </si>
  <si>
    <t>This study proposes the design of a robust controller based on a Sliding Mode Control (SMC) structure. The proposed controller, called Sliding Mode Control based on Closed-Form Continuous-Time Neural Networks with Gravity Compensation (SMC-CfC-G), includes the development of an inverse model of the UR5 industrial robot, which is widely used in various fields. It also includes the development of a gravity vector using neural networks, which outperforms the gravity vector obtained through traditional robot modeling. To develop a gravity compensator, a feedforward Multi-Layer Perceptron (MLP) neural network was implemented. The use of Closed-Form Continuous-Time (CfC) neural networks for the development of a robot's inverse model was introduced, allowing efficient modeling of the robot. The behavior of the proposed controller was verified under load and torque disturbances at the end effector, demonstrating its robustness against disturbances and variations in operating conditions. The adaptability and ability of the proposed controller to maintain superior performance in dynamic industrial environments are highlighted, outperforming the classic SMC, Proportional-Integral-Derivative (PID), and Neural controllers. Consequently, a high-precision controller with a maximum error rate of approximately 1.57 mm was obtained, making it useful for applications requiring high accuracy.</t>
  </si>
  <si>
    <t>Urrea, Claudio/0000-0001-7197-8928; Garcia-Garcia, Yainet/0000-0001-7565-4859</t>
  </si>
  <si>
    <t>2218-6581</t>
  </si>
  <si>
    <t>10.3390/robotics13090126</t>
  </si>
  <si>
    <t>WOS:001322975400001</t>
  </si>
  <si>
    <t>Campos, D; Cottet, L; Santos, C; Castillo, A</t>
  </si>
  <si>
    <t>Campos, Daniela; Cottet, Luis; Santos, Camila; Castillo, Antonio</t>
  </si>
  <si>
    <t>Antifungal activity of Serratia plymuthica against the phytopathogenic fungus Alternaria tenuissima</t>
  </si>
  <si>
    <t>MICROBIAL PATHOGENESIS</t>
  </si>
  <si>
    <t>The antifungal activity of Serratia plymuthica CCGG2742, a bacterial strain isolated from grapes berries skin, against a phytopathogenic fungus isolated from blueberries was evaluated in vitro and in vivo. . In order to characterize the wild fungal isolate, phylogenetic analysis using concatenated DNA sequences from the RPB2 and TEF1 genes and of the ITS region was performed, allowing the identification of the fungal isolate that was called Alternaria tenuissima CC17. Hyphae morphology, mycelium ultrastructure, conidia and reproductive structures were in agreement with the phylogenetic analysis. The antifungal activity of the S. plymuthica strain was dependent on the composition of the culture medium. The greatest inhibition of mycelial growth of A. tenuissima CC17 by S. plymuthica CCGG2742 was observed on YTS medium, which lacks of an easily assimilable carbon source. Fungal growth medium supplemented with 50 % of bacterial supernatant decreased the conidia germination of A. tenuissima CC17 up to 32 %. Preventive applications of S. plymuthica CCGG2742 to blueberries and tomato leaves at conidia:bacteria ratio of 1:100, protected in 77.8 +/- 4.6 % and 98.2 +/- 0.6 % to blueberries and tomato leaves from infection caused by A. tenuissima CC17, respectively. To the best of our knowledge, this is the first report on the antifungal activity of S. plymuthica against A. tenuissima, , which could be used as a biological control agent of plant diseases caused by this fungal species. In addition, the results of this work could be a starting point to attribute the real importance of A. tenuissima as a pathogen of blueberries in Chile, which until now had been considered almost exclusively to A. alternata. . Likewise, this research could be relevant to start developing highly effective strategies based on S. plymuthica CCGG2742 for the control of this important phytopathogenic fungus.</t>
  </si>
  <si>
    <t>Castillo, Antonio/AAE-6832-2020</t>
  </si>
  <si>
    <t>Castillo, Antonio/0000-0003-0639-6045; Cottet, Luis/0000-0003-2039-3406</t>
  </si>
  <si>
    <t>0882-4010</t>
  </si>
  <si>
    <t>1096-1208</t>
  </si>
  <si>
    <t>AUG</t>
  </si>
  <si>
    <t>10.1016/j.micpath.2024.106750</t>
  </si>
  <si>
    <t>JUN 2024</t>
  </si>
  <si>
    <t>WOS:001334479400001</t>
  </si>
  <si>
    <t>Ortiz, C; Quezada, L; Oddershede, A</t>
  </si>
  <si>
    <t>Ortiz, Cesar; Quezada, Luis; Oddershede, Astrid</t>
  </si>
  <si>
    <t>Industrial Process Management Model to Improve Productivity and Reduce Waste</t>
  </si>
  <si>
    <t>SUSTAINABILITY</t>
  </si>
  <si>
    <t>One of the challenges facing operations management is the design, choice, and implementation of action plans adapted to the magnitude of the deviations from the variables of an industrial process. Making conscious and quick decisions is crucial to achieving improvements in productivity. This will be achieved if the organization's internal and external communication model is strategically designed, considering specific cultural factors and the symmetry or asymmetry required in the communication model. However, how do we organize ourselves and through what channels do we communicate within a production process to generate Big Data that combines data from technologies and the perception, comprehension, and projection of experienced humans? Our hypothesis suggests that the implementation of our model generates a continuous improvement system that could provide significant benefits to the company by connecting management with the place where the work happens (Gemba), streamlining multiple processes, thereby fostering sustainability. The developed model, Group Situational Awareness Model, was implemented in an operations management team, following the guidelines of an action researcher methodology. This resulted in the design of an operations management model and a detailed methodology for its implementation, achieving significant improvements in the metrics of the current process, making it a success story.</t>
  </si>
  <si>
    <t>Quezada, Luis/W-8168-2019</t>
  </si>
  <si>
    <t>Ortiz, Cesar/0009-0002-9196-8692; Quezada, Luis/0000-0003-1364-9266</t>
  </si>
  <si>
    <t>2071-1050</t>
  </si>
  <si>
    <t>10.3390/su16041606</t>
  </si>
  <si>
    <t>WOS:001168493800001</t>
  </si>
  <si>
    <t>Ayala, A; Dintrans, PV; Elorrieta, F; Maddaleno, M; Vargas, C; Iturriaga, A</t>
  </si>
  <si>
    <t>Ayala, Andres; Villalobos Dintrans, Pablo; Elorrieta, Felipe; Maddaleno, Matilde; Vargas, Claudio; Iturriaga, Andres</t>
  </si>
  <si>
    <t>The impact of the different waves of COVID-19 pandemic in Chile across regions</t>
  </si>
  <si>
    <t>Background: The effects of COVID-19 in Chile changed over time and among regions. Aim: To identify patterns in the impact and evolution of COVID-19 for each wave generated between 2020 and 2022 at the 16 regions of the country. Material and Methods: Several indicators related to the pandemic, their evolution and their consequences for the health system and the health of the population were calculated. Results: There are differences in the evolution of the infection across the regions of the country, as well as heterogeneity between waves. Specifically, the second wave in Chile was identified as the one with the greatest impact, with a national death rate of 123.5 deaths per 100,000 inhabitants and 66.4% intensive care unit occupancy rate due to COVID-19. Performing a geographic analysis, it was possible to find systematic patterns, for example, between regions with higher immunization rates and lower rates of lethality, such as the cases of Nuble and Atacama regions. Conclusions: These results emphasize the need to consider regional differences and the temporal context for the elaboration of strategies to the efficient management of a pandemic.</t>
  </si>
  <si>
    <t>Dintrans, Pablo/AAM-6248-2020; Elorrieta, Felipe/AAX-2057-2020</t>
  </si>
  <si>
    <t>Elorrieta, Felipe/0000-0002-1835-7433</t>
  </si>
  <si>
    <t>0717-6163</t>
  </si>
  <si>
    <t>WOS:001163807400001</t>
  </si>
  <si>
    <t>Roa, K; Boulett, A; Oyarce, E; Sánchez, J</t>
  </si>
  <si>
    <t>Roa, Karina; Boulett, Andres; Oyarce, Estefania; Sanchez, Julio</t>
  </si>
  <si>
    <t>Removal of Cr(VI) by ultrafiltration enhanced by a cellulose-based soluble polymer</t>
  </si>
  <si>
    <t>JOURNAL OF WATER PROCESS ENGINEERING</t>
  </si>
  <si>
    <t>In this study, polymer-enhanced ultrafiltration (PEUF) was used to remove chromium ions (Cr(VI)) from water using quaternized hydroxyethyl cellulose ethoxylate (QHECE) as the extracting agent. The polymer was struc-turally and thermally characterized before and after loading, where Fourier transform spectra were used to corroborate the Cr(VI) binding sites. Thermogravimetric analysis showed an increase in the residual mass due to the formation of macromolecular aggregates from the water-soluble polymer (WSP) and Cr(VI). SEM/EDX was used to corroborate the presence of Cr(VI) on the WSP surface. The washing method was used to study Cr(VI) retention as a function of the solution pH, WSP quantity, pressure, Cr(VI) concentration, membrane type and presence of interfering ions (NaCl, Na2SO4 and NaHPO4) at three Cr(VI):interferent molar ratios (1:1, 1:2 and 1:4). In addition, the polymer reusability was studied over six sorption-desorption cycles. Next, the enrichment method was used to determine the maximum retention capacity of the polymer. Finally, PEUF was used to test Cr (VI) removal in simulated industrial electroplating wastewater.By varying different parameters, 92 % retention efficiency was achieved at pH 9.0 using a polymer mass of 50 mg, a pressure of 2.0 bar, an initial Cr(VI) concentration of 30 mg L-1 and a 10-kDa regenerated cellulose membrane. Increasing the Cr(VI):interferent molar ratio was found to decrease the retention efficiency, and significant decrease was obtained for the highest ratio of sulfonate ions to Cr(VI) used. Finally, the maximum retention capacity was determined to be 299.46 mg g-1 using the enrichment method, and it was demonstrated that the polymer could be reused for up to four consecutive sorption-desorption cycles.</t>
  </si>
  <si>
    <t>2214-7144</t>
  </si>
  <si>
    <t>10.1016/j.jwpe.2022.103478</t>
  </si>
  <si>
    <t>JAN 2023</t>
  </si>
  <si>
    <t>WOS:000923497700001</t>
  </si>
  <si>
    <t>Stephan, DA</t>
  </si>
  <si>
    <t>Stephan, Diana Aurenque</t>
  </si>
  <si>
    <t>Ars vivendi and therapeutics in Nietzsche: Some contributions for a philosophy of medicine</t>
  </si>
  <si>
    <t>REVISTA DE FILOSOFIA-MADRID</t>
  </si>
  <si>
    <t>Friedrich Nietzsche has become one of the most influential and well-known exponents of philosophy. However while many of its fundamental concepts are increasingly understood and discussed, the Spanish-speaking world knows less about its therapeutic philosophy. Thus, this article aims to contribute to enriching the list of works that have allowed Nietzsche to be rediscovered not only as a philosopher of ars vivendi, but very particularly as a philosopher of medicine. Specially, I will try to interpret some of the most fruitful approaches in his thinking for contemporary debates in the philosophy of medicine.</t>
  </si>
  <si>
    <t>Aurenque, Diana/0000-0002-0979-2847</t>
  </si>
  <si>
    <t>0034-8244</t>
  </si>
  <si>
    <t>1988-284X</t>
  </si>
  <si>
    <t>10.5209/resf.68527</t>
  </si>
  <si>
    <t>WOS:000995755100001</t>
  </si>
  <si>
    <t>Fuenzalida, FAA</t>
  </si>
  <si>
    <t>Fuenzalida, Freddy Antonio Alvarez</t>
  </si>
  <si>
    <t>Social representations on sexual diversity in teachers who teach a citizenship subject in a Higher Education Institution</t>
  </si>
  <si>
    <t>FORO EDUCACIONAL</t>
  </si>
  <si>
    <t>The following article tries to expose a reconstruction of the social representations of sexual diversity. Our analysis centers around the question: How do teachers who teach a citizenship subject in a Higher Education Institution of the Metropolitan Region lo-cated in the commune of Santiago represent sexual diversity? We conducted semi-structured interviews to investigate their assess-ments and experiences through questions induced with audio-visual stimuli. According to our investigation, it was possible to conclude that the participants' knowledge about sexual diversity is not formal, thus destructuring the representation of the object. On the other hand, teachers' attitude towards this topic is pri-marily positive, without failing to recognize a slight hint of nega-tivity depending on the context. However, being mainly positive, the representation of the participants is one of normalization, understanding, and acceptance. It is important to note that, as in other studies, it was possible to perceive that the teachers' social representations of sexual diversity are still under construction.</t>
  </si>
  <si>
    <t>0717-2710</t>
  </si>
  <si>
    <t>0718-0772</t>
  </si>
  <si>
    <t>10.29344/07180772.39.3061</t>
  </si>
  <si>
    <t>WOS:000917257300006</t>
  </si>
  <si>
    <t>Somogyi, MV</t>
  </si>
  <si>
    <t>Valenzuela Somogyi, Mariana</t>
  </si>
  <si>
    <t>Representations of couple relationships in Chilean film comedy</t>
  </si>
  <si>
    <t>UNIVERSUM-REVISTA DE HUMANIDADES Y CIENCIAS SOCIALES</t>
  </si>
  <si>
    <t>The results of a study on the representation of couple relationships in eight Chilean films of the cinematographic comedy genre, shown between 1999 and 2020, are presented based on an inductive qualitative film analysis methodology. It is argued that the reading on couple relationships is structured from an interpretation of gender transformations, in which the figure of the woman is constructed from a demand for horizontality and recognition that implies that in the man is developed an identity crisis associated with the masculinity referents of the traditional conjugal family model. The tension in couple relationships is caused by the entry of women into public world, and the frustration in the exercise of sexuality from a claim for sexual enjoyment that must be answered. What allows the permanence of the couple relationship is the feeling of love, revealing a discourse that places family unity and individual self-realization through the couple as the center.</t>
  </si>
  <si>
    <t>0718-2376</t>
  </si>
  <si>
    <t>0716-498X</t>
  </si>
  <si>
    <t>10.4067/S0718-23762022000100275</t>
  </si>
  <si>
    <t>WOS:000824370800015</t>
  </si>
  <si>
    <t>Yanez, S; Márquez, C; Valenzuela, B; Villamar-Ayala, CA</t>
  </si>
  <si>
    <t>Yanez, Sergio; Marquez, Constanza; Valenzuela, Benjamin; Villamar-Ayala, Cristina Alejandra</t>
  </si>
  <si>
    <t>A Bibliometric-Statistical Review of Organic Residues as Cementitious Building Materials</t>
  </si>
  <si>
    <t>BUILDINGS</t>
  </si>
  <si>
    <t>Climate deterioration and environmental pollution has been widely studied by a wide scientific community. The effects of the ecosystem deterioration impacts directly to human activities. In this scenario, the building industry has increased the pressure on proposing new materials to replace the cementicious component and natural resources (water, sand, gravel, and limestone) on mortar and concrete to reverse this trend. To this end, organic residues can offer opportunities as an available alternative for construction applications. Therefore, this paper aims to broaden the scope of research in this field by investigating the potential use of organic residues as cementicious building material based on bibliometric-statistical analysis using scientific information. A preliminary bibliometric analysis using VOSviewer was carried out to define the keywords co-ocurrence from Scopus database. Type of organic material, constructive use, and its properties (physicochemical, mechanical, and thermal) were extracted from scientific publications. Then, a systematic analysis criteria was defined to limit the scope of the study. Finally, statistical variance analysis and multiple correlation for identifying constructive application were applied. From the co-ocurrence analysis of keywords, we determined that 54% of the selected scientific publications were closely related to the scope of this study. State-of-the-art study established that related researches grew exponentially at a rate of about 30%/year. Moreover, scientific publications reported the use of a wide variety of organic residues, such as wheat, paper, hemp, rice, wood, molluscs, olive, coconut, among others. Mainly, agricultural residues (82%) with building applications related to structural concrete, mortar, bricks, and blocks, had been evaluated. Physicochemical properties from organic residues (extractives content, lignin content, and density) were correlated to mechanical (compressive, flexural and tensile strength) and thermal properties (thermal conductivity). The identification of the physicochemical properties of the organic residues allow us to predict the mechanical and thermal behavior of the material with residues. In summary, agricultural residues are the most promising organic building material due to their abundance and lignin content, exhibiting better mechanic and thermal properties than any other organic residues.</t>
  </si>
  <si>
    <t>Yanez, Sergio/G-5230-2019; Villamar, Cristina-Alejandra/AAB-4154-2019</t>
  </si>
  <si>
    <t>Marquez, Constanza/0000-0003-1797-5640; Villamar, Cristina Alejandra/0000-0003-4654-0670; Yanez, Sergio/0000-0002-8856-0955</t>
  </si>
  <si>
    <t>2075-5309</t>
  </si>
  <si>
    <t>10.3390/buildings12050597</t>
  </si>
  <si>
    <t>WOS:000803532200001</t>
  </si>
  <si>
    <t>Chitosan- and Alginate-Based Hydrogels for the Adsorption of Anionic and Cationic Dyes from Water</t>
  </si>
  <si>
    <t>POLYMERS</t>
  </si>
  <si>
    <t>Novel hydrogel systems based on polyacrylamide/chitosan (PAAM/chitosan) or polyacrylic acid/alginate (PAA/alginate) were prepared, characterized, and applied to reduce the concentrations of dyes in water. These hydrogels were synthetized via a semi-interpenetrating polymer network (semi-IPN) and then characterized by Fourier transformed infrared spectroscopy (FTIR) and thermogravimetric analysis (TGA), and their swelling capacities in water were measured. In the adsorption experiments, methylene blue (MB) was used as a cationic dye, and methyl orange (MO) was used as an anionic dye. The study was carried out using a successive batch method for the dye absorption process and an equilibrium system to investigate the adsorption of MO on PAAM/chitosan hydrogels and MB on PAA/alginate in separate experiments. The results showed that the target hydrogels were synthetized with high yield (more than 90%). The chemical structure of the hydrogels was corroborated by FTIR, and their high thermal stability was verified by TGA. The absorption of the MO dye was higher at pH 3.0 using PAAM/chitosan, and it had the ability to remove 43% of MO within 10 min using 0.05 g of hydrogel. The presence of interfering salts resulted in a 20-60% decrease in the absorption of MO. On the other hand, the absorption of the MB dye was higher at pH 8.5 using PAA/alginate, and it had the ability to remove 96% of MB within 10 min using 0.05 g of hydrogel, and its removal capacity was stable for interfering salts.</t>
  </si>
  <si>
    <t>Sanchez, Julio/0000-0003-4245-0096</t>
  </si>
  <si>
    <t>2073-4360</t>
  </si>
  <si>
    <t>10.3390/polym14081498</t>
  </si>
  <si>
    <t>WOS:000785265300001</t>
  </si>
  <si>
    <t>Vera, CG</t>
  </si>
  <si>
    <t>Garay Vera, Cristian</t>
  </si>
  <si>
    <t>Rebels, romantics and prophets. The responsibility of priests, politicians and intellectuals in the Colombian armed conflict</t>
  </si>
  <si>
    <t>REVISTA COLOMBIANA DE SOCIOLOGIA</t>
  </si>
  <si>
    <t>0120-159X</t>
  </si>
  <si>
    <t>2256-5485</t>
  </si>
  <si>
    <t>10.15446/rcs.v45n1.90929</t>
  </si>
  <si>
    <t>WOS:000745658900022</t>
  </si>
  <si>
    <t>Riquelme, D; Peralta, FA; Navarro, FD; Moreno, C; Leiva-Salcedo, E</t>
  </si>
  <si>
    <t>Riquelme, Denise; Peralta, Francisco A.; Navarro, Franco D.; Moreno, Claudio; Leiva-Salcedo, Elias</t>
  </si>
  <si>
    <t>ICAN (TRPM4) Contributes to the Intrinsic Excitability of Prefrontal Cortex Layer 2/3 Pyramidal Neurons</t>
  </si>
  <si>
    <t>INTERNATIONAL JOURNAL OF MOLECULAR SCIENCES</t>
  </si>
  <si>
    <t>Pyramidal neurons in the medial prefrontal cortical layer 2/3 are an essential contributor to the cellular basis of working memory; thus, changes in their intrinsic excitability critically affect medial prefrontal cortex (mPFC) functional properties. Transient Receptor Potential Melastatin 4 (TRPM4), a calcium-activated nonselective cation channel (CAN), regulates the membrane potential in a calcium-dependent manner. In this study, we uncovered the role of TRPM4 in regulating the intrinsic excitability plasticity of pyramidal neurons in the mouse mPFC layer of 2/3 using a combination of conventional and nystatin perforated whole-cell recordings. Interestingly, we found that TRPM4 is open at resting membrane potential, and its inhibition increases input resistance and hyperpolarizes membrane potential. After high-frequency stimulation, pyramidal neurons increase a calcium-activated non-selective cation current, increase the action potential firing, and the amplitude of the afterdepolarization, these effects depend on intracellular calcium. Furthermore, pharmacological inhibition or genetic silencing of TRPM4 reduces the firing rate and the afterdepolarization after high frequency stimulation. Together, these results show that TRPM4 plays a significant role in the excitability of mPFC layer 2/3 pyramidal neurons by modulating neuronal excitability in a calcium-dependent manner.</t>
  </si>
  <si>
    <t>Peralta, Francisco/0000-0002-0727-1706; Moreno, Claudio/0000-0001-5992-1419</t>
  </si>
  <si>
    <t>1422-0067</t>
  </si>
  <si>
    <t>10.3390/ijms22105268</t>
  </si>
  <si>
    <t>WOS:000661986600001</t>
  </si>
  <si>
    <t>Aguilera, A; Henriquez, G; Barbosa, KA; Borquez, J</t>
  </si>
  <si>
    <t>Aguilera, Angel; Henriquez, Gloria; Barbosa, Karim A.; Borquez, Javier</t>
  </si>
  <si>
    <t>A Simple Electrical Model of the Left Ventricle of the Human Heart</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</si>
  <si>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</si>
  <si>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</si>
  <si>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</si>
  <si>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</si>
  <si>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</si>
  <si>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In this work, a more intuitive electrical model of the left ventricle is proposed to encourage people from the electrical engineering area to get involved in the area of the medical sciences. Initially, the basic principles of the cardiovascular system are compared with electrical elements. Next, a simplified electrical model is then proposed based on a healthy person's ventricular pressure and volume curves. Finally, the proposed model is validated through numerical simulation and compared with the hemodynamic parameters of a healthy adult's cardiovascular system.</t>
  </si>
  <si>
    <t>Borquez, Javier/MAI-5197-2025; Barbosa, Karina/A-2236-2014</t>
  </si>
  <si>
    <t>Borquez, Javier/0009-0003-2115-3911; Barbosa, Karina A./0000-0001-7183-2662</t>
  </si>
  <si>
    <t>978-1-6654-0127-2</t>
  </si>
  <si>
    <t>10.1109/ICAACCA51523.2021.9465251</t>
  </si>
  <si>
    <t>WOS:000855764500119</t>
  </si>
  <si>
    <t>Gutiérrez, F; Riquelme, E; Barbosa, KA; Chávez, H</t>
  </si>
  <si>
    <t>Gutierrez, Fabian; Riquelme, Esteban; Barbosa, Karina A.; Chavez, Hector</t>
  </si>
  <si>
    <t>State Estimation for Synthetic Inertia Control System Using Kalman Filter</t>
  </si>
  <si>
    <t>The growing penetration of wind power has deteriorated the frequency response of power systems, and several methods have been proposed for wind turbines to provide frequency response. Various proposals consider feedback controllers that require measurements of all state variables, and some of them are not physically measurable. This work develops a Kahnan filter approach via LMI formulation to estimate immeasurable state variables for a wind power synthetic inertia algorithm. A simulation considering different wind speed and wind power penetration scenarios is presented to show numerical results.</t>
  </si>
  <si>
    <t>Gutierrez, Fabian/KHV-6259-2024; Barbosa, Karina/A-2236-2014</t>
  </si>
  <si>
    <t>10.1109/ICAACCA51523.2021.9465316</t>
  </si>
  <si>
    <t>WOS:000855764500054</t>
  </si>
  <si>
    <t>Vidal, AKJ</t>
  </si>
  <si>
    <t>Vidal, Karla J. A.</t>
  </si>
  <si>
    <t>LAND USE AND OCCUPANCY IN REFLECTION TOWARDS A FORMAL APPROACH OF THE KAWESQAR TERRITORY</t>
  </si>
  <si>
    <t>MAGALLANIA</t>
  </si>
  <si>
    <t>Study of territory had been undertaken mainly from a perspective derived from Geography and Social Sciences, the main focus being territory as understood as a cultural signification obtained from sociocultural practices. The research proposal is a study of territory under the influence of the kawesqar natives community of Puerto Eden under a formal perspective originated from Literary Theory of Russian Formalists, which its theoretical principles are applied to the study of territory in order to recognize uses and occupations from within, establishing a sense of territory from the disposition of these uses and occupations from within a territory, managing of these uses and occupations which at the same time give meaning and produce knowledge over itself and its transformation when these elements of uses and occupation change their function. Another aspect of this perspective is the addition of the Actor-Network Theory (ANT) from Bruno Latour which amplifies the comprehension of these elements to human and non-human agents as integral components of the diverse uses and occupations of the territory. In this way, the aiming is to understand the management in which an indigenous community such as the kawesqar has over their area of geographical influence obtained from knowledge acquired from their experience and inspection of said area (socioecological knowledge), without transforming the territory in a symbolic product signifying certain qualities to the community.</t>
  </si>
  <si>
    <t>0718-2244</t>
  </si>
  <si>
    <t>10.22352/MAGALLANIA202149003</t>
  </si>
  <si>
    <t>WOS:000710995900003</t>
  </si>
  <si>
    <t>Goicovic, I; Armijo, A</t>
  </si>
  <si>
    <t>Goicovic, Igor; Armijo, Andrea</t>
  </si>
  <si>
    <t>Land in Dispute. The Relocation of the Indigenous Peoples of Melipilla, Chile Eighteenth and Nineteenth Centuries</t>
  </si>
  <si>
    <t>HISTORIA Y SOCIEDAD</t>
  </si>
  <si>
    <t>The social and political conflicts surrounding the Melipilla indigenous peoples located in Chile's central valley was constant throughout the eighteenth century. The conflict began with the displacement of the Melipilla indigenous people to the Maipo River after the founding of the village of San Jose de Logrono in 1742. Then, throughout the eighteenth century, the Melipilla indigenous people coexisted with new projects of land transfers and reductions promoted by the colonial administration and later by the patriot government of the early nineteenth century. However, the forced relocations to other indigenous peoples' villages caused, over time, tension in the relations of coexistence between the peoples, likewise, it promoted the resistance of the population to the local authorities. This work aims to analyze the transfers and attempted relocations of indigenous peoples in the Melipilla party in the cycle that runs between 1750 and 1818 and to identify the manifestations of resistance and adaptation displayed by indigenous communities and local authorities. The study is supported by documentation from the funds of the Captaincy General, the Judiciary and Notaries of Melipilla, which are kept in the National Historical Archives of Chile.</t>
  </si>
  <si>
    <t>Armijo Reyes, Andrea/0000-0003-3470-4148; Goicovic Donoso, Igor/0000-0003-2183-7195</t>
  </si>
  <si>
    <t>0121-8417</t>
  </si>
  <si>
    <t>2357-4720</t>
  </si>
  <si>
    <t>10.15446/hys.n39.82595</t>
  </si>
  <si>
    <t>WOS:000566774600002</t>
  </si>
  <si>
    <t>Torregrosa, MCC; Santibáñez, APM</t>
  </si>
  <si>
    <t>Contreras Torregrosa, Marcela Carolina; Morales Santibanez, Angela Patricia</t>
  </si>
  <si>
    <t>Compiling a Comparable Ad hoc Corpus of Birth Certificates and Marriage Certificates in Spanish and English: A Valuable Resource for Legal Translation</t>
  </si>
  <si>
    <t>SENDEBAR-REVISTA DE TRADUCCION E INTERPRETACION</t>
  </si>
  <si>
    <t>This paper highlights the need of compiling both monolingual and bilingual comparable ad hoc corpora consisting of official documents in Spanish and English in order to determine terminological and phraseological features of specific legal genres and to have access to specialized concepts within the relevant legal framework. Different types of corpora are characterized and an example of analysis that can be helpful for the translation process of legal texts is included. Particularly, the paper stresses the value of the use of corpora in the search of Spanish-English equivalences for birth and marriage certificates, which were analyzed regarding their internal and external elements.</t>
  </si>
  <si>
    <t>1130-5509</t>
  </si>
  <si>
    <t>2340-2415</t>
  </si>
  <si>
    <t>JAN-DEC</t>
  </si>
  <si>
    <t>10.30827/sendebar.v31i0.11787</t>
  </si>
  <si>
    <t>WOS:000596033300024</t>
  </si>
  <si>
    <t>Llanos, L; Aravena, D</t>
  </si>
  <si>
    <t>Llanos, Leonel; Aravena, Daniel</t>
  </si>
  <si>
    <t>Relaxation time enhancement by magnetic dilution in single-molecule magnets: An ab initio study</t>
  </si>
  <si>
    <t>JOURNAL OF MAGNETISM AND MAGNETIC MATERIALS</t>
  </si>
  <si>
    <t>Magnetic dilution is an effective strategy to enhance demagnetization times of Single-Molecule Magnets (SMMs). In this approach, a magnetic complex is co-crystallized with a diamagnetic analog to increase the distance between neighbor magnetic centers, diminishing the contribution of spin-spin dipolar interactions to demagnetization. In this article, we present an ab initio procedure to predict tunneling relaxation times (tau(QT)) for magnetically diluted Single-Molecule Magnets. From a benchmark set of 18 mononuclear Ln(III) ions, it is concluded that the effect of magnetic dilution shows the same profile and a similar magnitude for all studied systems. For strongly diluted samples (i.e. 1% concentration), the model predicts and enhancement of around 4 orders of magnitude in tau(QT). Typical dilution proportions of 1:10 or 1:20 are associated by a ca. 100-fold increase in relaxation time. Variations in relaxation time were analyzed for three cases where experimental information for one dilution ratio is available. Furthermore, tau(QT) at several magnetic ion concentrations were predicted for [Er(W5O18)(2)](9-) and compared with literature data. In both cases, the agreement between experiment and theory was satisfactory, finding a general quadratic dependence on relaxation time enhancement upon magnetic dilution.</t>
  </si>
  <si>
    <t>Aravena, Daniel/F-2174-2011</t>
  </si>
  <si>
    <t>Aravena, Daniel/0000-0003-3140-4852; llanos silva, leonel/0000-0001-6494-1908</t>
  </si>
  <si>
    <t>0304-8853</t>
  </si>
  <si>
    <t>1873-4766</t>
  </si>
  <si>
    <t>NOV 1</t>
  </si>
  <si>
    <t>10.1016/j.jmmm.2019.165456</t>
  </si>
  <si>
    <t>WOS:000473578000064</t>
  </si>
  <si>
    <t>Bustos, PI; Barbosa, KA</t>
  </si>
  <si>
    <t>Inzunza Bustos, Pablo; Barbosa, Karina A.</t>
  </si>
  <si>
    <t>Control Algorithm for a Dynamic Pricing Management of Electrical Energy</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</si>
  <si>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</si>
  <si>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</si>
  <si>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</si>
  <si>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</si>
  <si>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</si>
  <si>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This article presents the design of a control algorithm for the management of the purchase / sale of electrical energy by generators distributed in a distribution system with dynamic energy charging. In particular, an algorithm based on dynamic programming is implemented to maximize the income of each user daily, considering a pricing model proposed earlier in the literature. The results of the controller application, obtained by simulations, are analyzed to assess its impact on the demand of the distribution system.</t>
  </si>
  <si>
    <t>Barbosa, Karina/A-2236-2014</t>
  </si>
  <si>
    <t>Barbosa, Karina A./0000-0001-7183-2662</t>
  </si>
  <si>
    <t>978-1-7281-3185-6</t>
  </si>
  <si>
    <t>WOS:000542919100172</t>
  </si>
  <si>
    <t>Soto, DS; Crocci, HS; Farre, JB; López, MV</t>
  </si>
  <si>
    <t>Editorial Universidad de Santiago de Chile</t>
  </si>
  <si>
    <t>Soto Soto, Daniela; Silva Crocci, Hector; Barbe Farre, Joaquim; Vergara Lopez, Maritza</t>
  </si>
  <si>
    <t>Educational practices and the development of mathematical skills: a proposal for the analysis of assessment instruments</t>
  </si>
  <si>
    <t>INVESTIGANDO JUNTOS: Experiencias Asociativas entre Escuelas y la Universidad de Santiago de Chile. Associative Experiences between Schools and the University of Santiago de Chile</t>
  </si>
  <si>
    <t>The value of high school grade point average in the weightings for university entrance makes graduates of traditional high schools with high academic demands feel that their grades are detrimental. In this context, the mathematics teachers of a high school in Estacion Central, see the need to reflect on their evaluation processes, with the purpose of introducing adjustments in their educational practices. With a diagnosis that was made with a focus group, semi-structured interviews and the analysis of teachers' evaluation instruments, a peer collaboration matrix was designed with the purpose of generating reflection and analysis among mathematics teachers on specific thematic units of mathematics, as well as on the skills promoted by the Chilean curricular framework. A process of induction to the teachers for the use and appropriation of the peer collaboration matrix was carried out in a work session, where its collaborative character was highlighted. As a conclusion of the PMI-USACH associative project, it is reported that there is an opacity of the development of mathematical skills in the teacher's evaluation instruments, as well as in their teaching planning.</t>
  </si>
  <si>
    <t>Farre, Joaquim/Q-5419-2017; Soto Madrid, Daniela Paz/GSD-5684-2022</t>
  </si>
  <si>
    <t>978-956-303-420-2</t>
  </si>
  <si>
    <t>WOS:000886992800007</t>
  </si>
  <si>
    <t>Villalobos-Cid, M; Orellana, M; Vásquez, OC; Pinto-Sothers, E; Inostroza-Ponta, M</t>
  </si>
  <si>
    <t>Villalobos-Cid, Manuel; Orellana, Maximiliano; Vasquez, Oscar C.; Pinto-Sothers, Eduardo; Inostroza-Ponta, Mario</t>
  </si>
  <si>
    <t>Dealing with the Balanced Academic Curriculum Problem considering the Chilean Academic Credit Transfer System</t>
  </si>
  <si>
    <t>2019 38TH INTERNATIONAL CONFERENCE OF THE CHILEAN COMPUTER SCIENCE SOCIETY (SCCC)</t>
  </si>
  <si>
    <t>Proceedings of the International Conference of the Chilean Computer Science Society</t>
  </si>
  <si>
    <t>38th International Conference of the Chilean-Computer-Science-Society (SCCC)</t>
  </si>
  <si>
    <t>NOV 04-09, 2019</t>
  </si>
  <si>
    <t>Univ Concepcion, Concepcion, CHILE</t>
  </si>
  <si>
    <t>Chilean Comp Sci Soc</t>
  </si>
  <si>
    <t>Univ Concepcion</t>
  </si>
  <si>
    <t>The curricular design of the academic programs and the distribution of the academic load has become a controversial topic since it is related to the health and performance of the students. In Chile, the load of the academic programs has to be distributed and balanced according to the Chilean Academic Credit Transfer System recommendations. The Balanced academic curriculum problem has been studied in computer science, being defined as the assignation of courses to academic periods satisfying all the prerequisite constraints. In this work, we implement two strategies to deal with this problem, a quadratic integer programming model and a genetic algorithm approach, and evaluate them using well-know data sets from the literature. Next, these strategies are adapted to study the balance of the load of six real engineering academic programs according to the Chilean credit references. The results show that both approaches obtained the optimal solutions for the literature data sets, and were able to find solutions which improve the balance of the real academic programs, distributing uniformly the load between periods.</t>
  </si>
  <si>
    <t>Inostroza-Ponta, Mario/G-7548-2012; Villalobos-Cid, Manuel/AFK-0866-2022</t>
  </si>
  <si>
    <t>Villalobos-Cid, Manuel/0000-0002-1145-2016; Vasquez, Oscar C./0000-0002-1393-4692</t>
  </si>
  <si>
    <t>1522-4902</t>
  </si>
  <si>
    <t>978-1-7281-5613-2</t>
  </si>
  <si>
    <t>10.1109/sccc49216.2019.8966411</t>
  </si>
  <si>
    <t>WOS:000540055800021</t>
  </si>
  <si>
    <t>Donoso, MV; Hernández, F; Huidobro-Toro, JP</t>
  </si>
  <si>
    <t>Donoso, M., V; Hernandez, F.; Huidobro-Toro, J. P.</t>
  </si>
  <si>
    <t>CELLULAR MECHANISMS ASSOCIATED TO THE SPONTANEOUS AND THE MECHANICALLY-STIMULATED ATP RELEASE BY MESENTERY ENDOTHELIAL CELLS.</t>
  </si>
  <si>
    <t>PURINERGIC SIGNALLING</t>
  </si>
  <si>
    <t>1573-9538</t>
  </si>
  <si>
    <t>1573-9546</t>
  </si>
  <si>
    <t>S80</t>
  </si>
  <si>
    <t>S81</t>
  </si>
  <si>
    <t>WOS:000456281300205</t>
  </si>
  <si>
    <t>Mahn, A; Saavedra, A; Rubio, MP</t>
  </si>
  <si>
    <t>Mahn, Andrea; Saavedra, Aldo; Paz Rubio, M.</t>
  </si>
  <si>
    <t>Kinetic study of sulforaphane stability in blanched and un-blanched broccoli (Brassica oleracea var. italica) florets during storage at low temperatures</t>
  </si>
  <si>
    <t>JOURNAL OF FOOD SCIENCE AND TECHNOLOGY-MYSORE</t>
  </si>
  <si>
    <t>Sulforaphane is a health-promoting compound found in broccoli. Given its high thermo-lability, its preservation through high-temperature processes seems inconvenient. Accordingly, storage at low temperature is an alternative. There are no studies about the evolution of sulforaphane content during storage at low temperatures. The change of sulforaphane content in blanched and unblanched broccoli florets during storage at 10, -1, -21 and -45 degrees C for 83 days was studied. In blanched broccoli, sulforaphane content followed a first-order degradation kinetics (R-2 &gt;= 0.95). A two-consecutive irreversible reactions model described adequately the evolution of sulforaphane content in un-blanched broccoli (R-2 &gt;= 0.94). Activation energies from Arrhenius equation resulted in 19.4 kJ/mol for blanched and 30 kJ/mol (formation) and 58 kJ/mol (degradation) for un-blanched broccoli. Storage of un-blanched broccoli at -45 degrees C for 40 days maximized sulforaphane content. These results could be useful to propose broccoli storage conditions that preserve or maximize sulforaphane content.</t>
  </si>
  <si>
    <t>Rubio, Mari-Paz/K-4364-2014</t>
  </si>
  <si>
    <t>Mahn, Andrea/0000-0001-6082-0279</t>
  </si>
  <si>
    <t>0022-1155</t>
  </si>
  <si>
    <t>0975-8402</t>
  </si>
  <si>
    <t>10.1007/s13197-018-3395-4</t>
  </si>
  <si>
    <t>WOS:000446480300034</t>
  </si>
  <si>
    <t>Navarrete, S</t>
  </si>
  <si>
    <t>Navarrete, Sandra</t>
  </si>
  <si>
    <t>Variations of testimony in recent narrative fictions: dialogues between Chile and Argentina</t>
  </si>
  <si>
    <t>CONFLUENCIA-REVISTA HISPANICA DE CULTURA Y LITERATURA</t>
  </si>
  <si>
    <t>0888-6091</t>
  </si>
  <si>
    <t>2328-6962</t>
  </si>
  <si>
    <t>FAL</t>
  </si>
  <si>
    <t>WOS:000454332800010</t>
  </si>
  <si>
    <t>Duran, JP</t>
  </si>
  <si>
    <t>Pujol Duran, Jessica</t>
  </si>
  <si>
    <t>Translation as a Liminal Poetic Practice</t>
  </si>
  <si>
    <t>POETRY WALES</t>
  </si>
  <si>
    <t>Duran, Jessica/AAQ-2025-2021</t>
  </si>
  <si>
    <t>0032-2202</t>
  </si>
  <si>
    <t>SPR</t>
  </si>
  <si>
    <t>WOS:000431669100002</t>
  </si>
  <si>
    <t>Jara-Moroni, P</t>
  </si>
  <si>
    <t>Jara-Moroni, Pedro</t>
  </si>
  <si>
    <t>Rationalizability and mixed strategies in large games</t>
  </si>
  <si>
    <t>ECONOMICS LETTERS</t>
  </si>
  <si>
    <t>We show that in large games with a finite set of actions in which the payoff of a player depends only on her own action and on an aggregate value that we call the (aggregate) state of the game, which is obtained from the complete action profile, it is possible to define and characterize the sets of (Point-)Rationalizable States in terms of pure and mixed strategies. We prove that the (Point-)Rationalizable States sets associated to pure strategies are equal to the sets of (Point-)Rationalizable States associated to mixed strategies. By example we show that, in general, the Point-Rationalizable States sets differ from the Rationalizable States sets. (C) 2017 Elsevier B.V. All rights reserved.</t>
  </si>
  <si>
    <t>Jara-Moroni, Pedro/C-2269-2013</t>
  </si>
  <si>
    <t>Jara-Moroni, Pedro/0000-0001-5760-388X</t>
  </si>
  <si>
    <t>0165-1765</t>
  </si>
  <si>
    <t>1873-7374</t>
  </si>
  <si>
    <t>10.1016/j.econlet.2017.11.023</t>
  </si>
  <si>
    <t>WOS:000423001500035</t>
  </si>
  <si>
    <t>Correa, JGM</t>
  </si>
  <si>
    <t>Silva, FLB; Torres, EMT; Herrera, AME</t>
  </si>
  <si>
    <t>Munoz Correa, Juan Guillermo</t>
  </si>
  <si>
    <t>The convent of Santo Domingo and the provision of capital for agricultural and livestock development in the central Chilean valley, 17th century</t>
  </si>
  <si>
    <t>ORDEN DE PREDICADORES, 800 ANOS: VIDA CONVENTUAL Y MISIONERA, SIGLOS XIII-XIX, TOMO IV</t>
  </si>
  <si>
    <t>978-958-782-096-6; 978-958-782-095-9</t>
  </si>
  <si>
    <t>WOS:000575669100010</t>
  </si>
  <si>
    <t>Quirola, N; Marquez, V; Tecpan, S; Baltazar, SE</t>
  </si>
  <si>
    <t>Correa, R; Huerta, L; Roa, L; Soto, L</t>
  </si>
  <si>
    <t>Quirola, Nayareth; Marquez, Valentina; Tecpan, Silvia; Baltazar, Samuel E.</t>
  </si>
  <si>
    <t>Didactic Proposal to include Nanoscience and Nanotechnology at high School curriculum linking Physics, Chemistry and Biology</t>
  </si>
  <si>
    <t>XX CHILEAN PHYSICS SYMPOSIUM</t>
  </si>
  <si>
    <t>Journal of Physics Conference Series</t>
  </si>
  <si>
    <t>20th Chilean Physics Symposium</t>
  </si>
  <si>
    <t>NOV 30-DEC 02, 2016</t>
  </si>
  <si>
    <t>Univ Tecnologica Metropolitana, Santiago, CHILE</t>
  </si>
  <si>
    <t>Univ Tecnologica Metropolitana, Phys Dept</t>
  </si>
  <si>
    <t>Univ Tecnologica Metropolitana</t>
  </si>
  <si>
    <t>Science and technology at the nanoscale is an important field, not only in modern science, but also an economic activity of vertiginous growth, and therefore, nanoscience should be included as a solid part of the educational curriculum. An interdisciplinary didactic proposal is presented to incorporate nanoscience and nanotechnology (N&amp;N) at the current Chilean high school curriculum. Throughout the didactic sequence, it is expected a better understanding of the science courses followed by the students and, at the same time, of the fundamental concepts of N&amp;N, identifying their benefits and risks to the society with a critical view. This article presents the steps followed in the design of the didactic proposal and characteristics of the learning activities, as well as the methodology foreseen for its validation. Possible risks for the implementation of the proposal are discussed.</t>
  </si>
  <si>
    <t>Tecpan-Flores, Silvia/I-9567-2018; Baltazar, Samuel/E-1814-2011</t>
  </si>
  <si>
    <t>Baltazar, Samuel/0000-0001-9826-9400</t>
  </si>
  <si>
    <t>1742-6588</t>
  </si>
  <si>
    <t>1742-6596</t>
  </si>
  <si>
    <t>10.1088/1742-6596/1043/1/012050</t>
  </si>
  <si>
    <t>WOS:000545262900050</t>
  </si>
  <si>
    <t>Rabagliati, FM; Saavedra, M; Galvez, P; Canales, DA; Orihuela, GP; Zapata, PA; Cárdenas, HG</t>
  </si>
  <si>
    <t>Rabagliati, Franco M.; Saavedra, Marcela; Galvez, Paula; Canales, Daniel A.; Pedro Orihuela, G.; Zapata, Paula A.; Cardenas, Hugo G.</t>
  </si>
  <si>
    <t>Preparation and characterization of some polymer/pharmaceutical-based composites. Part. II ivermectin</t>
  </si>
  <si>
    <t>POLYMER BULLETIN</t>
  </si>
  <si>
    <t>Composites of low-density polyethylene, LDPE, poly(ethylene-co-vinyl acetate), EVA, and LDPE/EVA 70/30 and 50/50% (weight) blend plus ivermectin (1 and 3% weight) were prepared through the melt-blending process. Ivermectin resulted homogenously dispersed in polymer matrices. The polymer/ivermectin composites showed thermal behavior similar to those of the original polymer matrices. Ivermectin release from the composites, was examined in vitro for various lengths of time and their release percentages were determined by photometric UV spectroscopy and their release percentages reported. The prolonged release of the drug indicates that ivermectin-loaded film offer potential application to control inflammatory events and also antiparasitic properties.</t>
  </si>
  <si>
    <t>Canales Arévalo, Daniel/HSG-6748-2023</t>
  </si>
  <si>
    <t>Canales, Daniel A./0000-0002-2691-6864; Zapata, Paula Andrea/0000-0003-3361-6226; Saavedra Gonzalez, Marcela Andrea/0000-0001-6849-0796</t>
  </si>
  <si>
    <t>0170-0839</t>
  </si>
  <si>
    <t>1436-2449</t>
  </si>
  <si>
    <t>10.1007/s00289-017-2024-0</t>
  </si>
  <si>
    <t>WOS:000419586800026</t>
  </si>
  <si>
    <t>Araya-Córdova, PJ; Vásquez, OC</t>
  </si>
  <si>
    <t>Bektas, T; Coniglio, S; MartinezSykora, A; Voss, S</t>
  </si>
  <si>
    <t>Araya-Cordova, P. J.; Vasquez, Oscar C.</t>
  </si>
  <si>
    <t>A Simple Mechanism for the Disaster Emergency Unit Scheduling Problem</t>
  </si>
  <si>
    <t>COMPUTATIONAL LOGISTICS, ICCL 2017</t>
  </si>
  <si>
    <t>8th International Conference on Computational Logistics (ICCL)</t>
  </si>
  <si>
    <t>OCT 18-20, 2017</t>
  </si>
  <si>
    <t>Southampton, ENGLAND</t>
  </si>
  <si>
    <t>In this paper, we study the optimization and mechanism design for the disaster emergency unit (DEU) scheduling problem motivated by the 2017 Chile wildfires, which is described as the worst in Chile's modern history. We consider a DEU to control wildfires and n forestry companies. Each forestry company j is located in town j. We assume these companies do not satisfy all safety conditions in order to reduce the wildfires impact and then, an emergency induces a damage function D3(e3) to the town j, with f, the working time of DEU to control wildfires in town j. Each forestry company j has private information about the forest density, which in addition to the feedrate of wildfires determines its marginal waiting cost p, due to forest working area to be recovered. In practice, it generates a waiting cost for each forestry company j, p, (z) &lt;, (3) f,, where a (y) is the position of forestry company j in the sequence a. The goal is to determine a schedule defined by a sequence a and the working time of DEU t = (pi,,f) for minimizing of the sum of the total damage and the total waiting cost of the forestry companies subject to constraints on the damage and use of the working time of DEU. We show that the centralized problem can be solve Karush-Kuhn-Tucker (KKT) conditions and design an easy-toimplement truthful mechanism for decentralized problem, charging in some way the damage to the forestry companies based on the optimal solution properties obtained from the centralized problem. A numerical example to illustrate the problem and the usefulness of our contributions is described.</t>
  </si>
  <si>
    <t>Vasquez, Oscar C./0000-0002-1393-4692</t>
  </si>
  <si>
    <t>978-3-319-68496-3; 978-3-319-68495-6</t>
  </si>
  <si>
    <t>WOS:000712338200014</t>
  </si>
  <si>
    <t>Carvajal, L; Artigas, A; Monsalve, A; Vargas, Y</t>
  </si>
  <si>
    <t>Carvajal, Linton; Artigas, Alfredo; Monsalve, Alberto; Vargas, Yolanda</t>
  </si>
  <si>
    <t>Acoustic Birefringence and Poisson's Ratio Determined by Ultrasound: Tools to Follow-Up Deformation by Cold Rolling and Recrystallization</t>
  </si>
  <si>
    <t>MATERIALS RESEARCH-IBERO-AMERICAN JOURNAL OF MATERIALS</t>
  </si>
  <si>
    <t>Poisson's ratio and birefringence, both measured by ultrasound, are used to follow the evolution of the anisotropy in ASTM A-36 steel plates cold-rolled between 5 and 50% deformation, and then subjected to recrystallization at 900 and 1000 degrees C. Times of flight of longitudinal and shear waves along the thickness of the plates were measured. As orthotropy increases, both birefringence and the difference between Poisson's ratios measured using a shear wave polarized along the length and another wave polarized along the width of the plate, are linearly related to the degree of deformation and cold-rolled hardness. In addition, the ultrasonic methods used clearly detected the complex changes in anisotropy produced by the austenization and recrystallization heat treatments. Thus, Birefringence or Poisson's ratio, measured by ultrasound, can be used to follow-up nondestructively changes in the anisotropy of rolled plates as a function of both, degree of deformation and recrystallization heat treatment.</t>
  </si>
  <si>
    <t>Artigas, Alfredo/Y-1185-2019</t>
  </si>
  <si>
    <t>Monsalve, Alberto/0000-0002-5772-8815; Carvajal Ortega, Linton Patricio/0000-0002-5414-2755</t>
  </si>
  <si>
    <t>1516-1439</t>
  </si>
  <si>
    <t>1980-5373</t>
  </si>
  <si>
    <t>10.1590/1980-5373-MR-2016-1082</t>
  </si>
  <si>
    <t>WOS:000430187600047</t>
  </si>
  <si>
    <t>Romero, JG</t>
  </si>
  <si>
    <t>Gabriel Romero, Jose</t>
  </si>
  <si>
    <t>Natural resources and international labour mobility</t>
  </si>
  <si>
    <t>APPLIED ECONOMICS LETTERS</t>
  </si>
  <si>
    <t>We study the relationship between natural resource wealth and (skilled and unskilled) emigration. The source data for international migration rates come from Brucker, Capuano, and Marfouk (2013) and measures of resource wealth from the World Bank database. We find that natural resource abundance reduces skilled emigration regardless of countries' natural wealth, but that natural resources reduce unskilled emigration only in resource-rich countries.</t>
  </si>
  <si>
    <t>Romero, Jose/AAE-1999-2020</t>
  </si>
  <si>
    <t>Romero-Ciavatto, Jose Gabriel/0000-0002-4142-4331</t>
  </si>
  <si>
    <t>1350-4851</t>
  </si>
  <si>
    <t>1466-4291</t>
  </si>
  <si>
    <t>10.1080/13504851.2015.1136387</t>
  </si>
  <si>
    <t>WOS:000382546900008</t>
  </si>
  <si>
    <t>Dingemans, A</t>
  </si>
  <si>
    <t>Dingemans, Alfonso</t>
  </si>
  <si>
    <t>Trying to stay ahead of the curve in Chile's economic development: exploring a way out of the middle-income trap through pragmatic export development</t>
  </si>
  <si>
    <t>DEVELOPMENT POLICY REVIEW</t>
  </si>
  <si>
    <t>Underneath impressive growth levels, the Chilean economy displays signs of being caught in a middle-income trap. It has been unable to improve its productivity, increase the added value of its exports or upgrade its value chain. Its economy cannot compete either with low-wage countries or highly productive, innovative countries. Its export strategy based on export promotion seems to have outlived its usefulness. It achieved remarkable quantitative success, but must now attend qualitative attributes. Instead of regarding market-driven export promotion and state-led export development as substitutes, this article proposes to view them as alternatives in different stages of development. To choose the appropriate time, more attention should be given to non-traditional, structural indicators, like export sophistication and political-institutional capabilities.</t>
  </si>
  <si>
    <t>Dingemans, Alfonso/IXW-6542-2023</t>
  </si>
  <si>
    <t>0950-6764</t>
  </si>
  <si>
    <t>1467-7679</t>
  </si>
  <si>
    <t>10.1111/dpr.12166</t>
  </si>
  <si>
    <t>WOS:000388291800002</t>
  </si>
  <si>
    <t>Aurenque Stephan, Diana</t>
  </si>
  <si>
    <t>Martin Heidegger and the Black Books: more than a mere reactivation of an old debate</t>
  </si>
  <si>
    <t>ALPHA-REVISTA DE ARTES LETRAS Y FILOSOFIA</t>
  </si>
  <si>
    <t>0718-2201</t>
  </si>
  <si>
    <t>WOS:000386762300015</t>
  </si>
  <si>
    <t>Cussen, F</t>
  </si>
  <si>
    <t>Cussen, Felipe</t>
  </si>
  <si>
    <t>From xerox to pdf: Juan Luis Martinez and Tan Lin</t>
  </si>
  <si>
    <t>ESTUDIOS FILOLOGICOS</t>
  </si>
  <si>
    <t>In this essay I'll reflect on the possibilities of literary appropriation related to xerox and computer technologies. I will analyze two cases from very different cultural contexts. The first is the posthumous book El poeta anonimo, by Juan Luis Martinez, developed throughout the '80s, and composed almost entirely of photocopies of other books, magazines and newspapers. The second is two recent works of American poet Tan Lin, Seven Controlled Vocabularies and Obituary 2004. The Joy of Cooking, which includes scanned photographs, documents and objects, and Heath, which takes a lot of material from websites. Both authors are close to the notion of the poet as a remixer proposed by Vilem Flusser, but also try to show the loss that involves cutting, copying and pasting.</t>
  </si>
  <si>
    <t>0071-1713</t>
  </si>
  <si>
    <t>0717-6171</t>
  </si>
  <si>
    <t>10.4067/S0071-17132016000100002</t>
  </si>
  <si>
    <t>WOS:000390013900002</t>
  </si>
  <si>
    <t>González, EA; Gulppi, M; Páez, MA; Zagal, JH</t>
  </si>
  <si>
    <t>Gonzalez, Evelyn A.; Gulppi, Miguel; Paez, Maritza A.; Zagal, Jose H.</t>
  </si>
  <si>
    <t>O2 reduction on electrodes modified with nitrogen doped carbon nanotubes synthesized with different metal catalysts</t>
  </si>
  <si>
    <t>DIAMOND AND RELATED MATERIALS</t>
  </si>
  <si>
    <t>Nitrogen doped carbon nanotubes (N-CNTs) were synthesized by the chemical vapor deposition technique (CVD)using ferrocene and iron (II) phthalocyanine as carbon precursors and ethylendiamine as the carbon and nitrogen source. Fe2O3 nanoparticles, Co nanoparticles and MoO3 were supported on a sol-gel polymer and were used as catalyst and seed growth of the N-CNTs. The influence of the metal transition used as catalyst and the amount of ethylendiamine were studied in N-CNTs for oxygen reduction reaction (ORR) in alkaline media. The morphology of the N-CNTs was studied using scanning electron microscopy (SEM) revealing that de N-CNTs were multiwalled with averages of diameters ranging between 40 and 70 nm. The presence and type of nitrogen in the graphene grid was analyzed by means of Raman spectroscopy and X-ray photoelectron spectroscopy (XPS). The obtained results indicated that N-CNTs catalyzed by MoO3 presented the highest content of pyridinic-type nitrogen (around 39%). The electrocatalytic activity of N-CNTs for the ORR was evaluated by rotating disk electrode (RDE) technique in 0.2 M NaOH. The electrochemical results showed that N-CNTs catalyzed with 0.2 wt.% MoO3 and synthesized with 19.5 wt.% of ethylendiamine exhibited higher activity for ORR than N-CNTs catalyzed with Co nanoparticles or Fe2O3 nanoparticles. (C) 2016 Elsevier B.V. All rights reserved.</t>
  </si>
  <si>
    <t>Paez, Maritza/M-2010-2014; zagal, jose/L-9648-2014; Gulppi, Miguel/KTA-6210-2024</t>
  </si>
  <si>
    <t>paez, maritza/0000-0001-5881-884X; Gonzalez, Evelyn/0000-0002-5401-0322</t>
  </si>
  <si>
    <t>0925-9635</t>
  </si>
  <si>
    <t>1879-0062</t>
  </si>
  <si>
    <t>10.1016/j.diamond.2016.02.003</t>
  </si>
  <si>
    <t>WOS:000374608100016</t>
  </si>
  <si>
    <t>Ispolatov, Y</t>
  </si>
  <si>
    <t>Ispolatov, Yaroslav</t>
  </si>
  <si>
    <t>Computing in fish schools</t>
  </si>
  <si>
    <t>ELIFE</t>
  </si>
  <si>
    <t>Ispolatov, Iaroslav/E-8544-2010</t>
  </si>
  <si>
    <t>Ispolatov, Iaroslav/0000-0002-0201-3396</t>
  </si>
  <si>
    <t>2050-084X</t>
  </si>
  <si>
    <t>JAN 18</t>
  </si>
  <si>
    <t>e12852</t>
  </si>
  <si>
    <t>10.7554/eLife.12852</t>
  </si>
  <si>
    <t>WOS:000368227700001</t>
  </si>
  <si>
    <t>Vergara, L</t>
  </si>
  <si>
    <t>Tlidi, M; Clerc, MG</t>
  </si>
  <si>
    <t>Vergara, Lautaro</t>
  </si>
  <si>
    <t>How Dissipative Highly Non-linear Solitary Waves Interact with Boundaries in a 1D Granular Medium</t>
  </si>
  <si>
    <t>NONLINEAR DYNAMICS: MATERIALS, THEORY AND EXPERIMENTS</t>
  </si>
  <si>
    <t>Springer Proceedings in Physics</t>
  </si>
  <si>
    <t>3rd Dynamics Days South America</t>
  </si>
  <si>
    <t>NOV 03-07, 2014</t>
  </si>
  <si>
    <t>We here study the behaviour of highly non-linear solitary waves when interact with boundaries. We compare a model developed by the author with the Kubawara-Kono model. We show that this last model does not give the best results when compared with our model, proposed in Vergara (Phys. Rev. Lett. 104: 118001, 2010 [1]).</t>
  </si>
  <si>
    <t>0930-8989</t>
  </si>
  <si>
    <t>1867-4941</t>
  </si>
  <si>
    <t>978-3-319-24871-4; 978-3-319-24869-1</t>
  </si>
  <si>
    <t>10.1007/978-3-319-24871-4_14</t>
  </si>
  <si>
    <t>WOS:000369305600014</t>
  </si>
  <si>
    <t>Aurenque, D</t>
  </si>
  <si>
    <t>Schramme, T</t>
  </si>
  <si>
    <t>Aurenque, Diana</t>
  </si>
  <si>
    <t>Selecting Embryos with Disabilities? A Different Approach to Defend a Soft Paternalism in Reproductive Medicine</t>
  </si>
  <si>
    <t>NEW PERSPECTIVES ON PATERNALISM AND HEALTH CARE</t>
  </si>
  <si>
    <t>Library of Ethics and Applied Philosophy</t>
  </si>
  <si>
    <t>New Perspectives on Paternalism and Health Care</t>
  </si>
  <si>
    <t>MAR, 2012</t>
  </si>
  <si>
    <t>University of Hamburg, Hamburg, GERMANY</t>
  </si>
  <si>
    <t>Springer</t>
  </si>
  <si>
    <t>University of Hamburg</t>
  </si>
  <si>
    <t>978-3-319-17960-5; 978-3-319-17959-9</t>
  </si>
  <si>
    <t>10.1007/978-3-319-17960-5_17</t>
  </si>
  <si>
    <t>WOS:000380549400017</t>
  </si>
  <si>
    <t>Contreras, S; Torres, J</t>
  </si>
  <si>
    <t>Contreras, S.; Torres, J.</t>
  </si>
  <si>
    <t>WHAT TEACHERS OF SCIENCES IN CHILE THINK AND HOW THEY USE ICTS. ANALYSIS OF THE RELATION BETWEEN THINKING AND PEDAGOGICAL-CURRICULAR PRACTICE</t>
  </si>
  <si>
    <t>INTED2015: 9TH INTERNATIONAL TECHNOLOGY, EDUCATION AND DEVELOPMENT CONFERENCE</t>
  </si>
  <si>
    <t>INTED Proceedings</t>
  </si>
  <si>
    <t>9th International Technology, Education and Development Conference (INTED)</t>
  </si>
  <si>
    <t>MAR 02-04, 2015</t>
  </si>
  <si>
    <t>Madrid, SPAIN</t>
  </si>
  <si>
    <t>Different investigations point out that beliefs are an important aspect to consider when designing and implementing the curriculum [1, 2, 3]. In the Chilean educational context the relationship that exists between teaching and thinking of the science teacher(biology, physics and chemistry) has been described, especially in relation to what to teach (content), how to teach (methodology) and what and how to evaluate(evaluation) [4, 5]. Along these lines, it has been researched how the relationship between thinking and the teaching practice of teachers is, in regard to ICT. Specifically, what type of ICTs are used in class and in practical activities, with what purpose and what the relation of these aspect with what teachers think is in respect to the ICTs. The main findings show that science teachers think that the use of ITs is adequate and beneficial to the teaching and learning of science, however, for both the design and development of their classes, it has been observed little use. In fact, teachers believe that ICTs must be used for the teaching of science, but in class the most used resource is the textbook [6]. All in all, we can point out there are differences, between what teachers think and what they do in class [7]. We consider that these findings are useful, for both improving the teaching of science and the mathematic and to improve the initial teaching training of high school teachers who will be teaching science. In this context, we present part of a wider investigation originated in teachers in service, related to initial teaching training of high school science teachers (Fondecyt 11130150), proposing instruments to explore thinking and pedagogical-curricular knowledge of future teachers. For this, with a mix methodology, we worked with a sample of 303 teachers in service and, besides we administered a Likert like questionnaire and varied quantitative techniques to analyze the information gathered. The results show that the thinking of teachers tends to be constructivist and is organized in different levels according to the curricular aspect being tackled (contents, methodology and/or evaluation). Nevertheless, in regard to the teaching practice they show a traditional tendency and practice. We consider that our findings have implications on the training of teachers, especially when the current context reveals the development of pedagogical competencies for the teaching of science</t>
  </si>
  <si>
    <t>TORRES-ORTEGA, JORGE/AAP-5339-2020</t>
  </si>
  <si>
    <t>2340-1079</t>
  </si>
  <si>
    <t>978-84-606-5763-7</t>
  </si>
  <si>
    <t>WOS:000398586307143</t>
  </si>
  <si>
    <t>Díaz, H; Córdova, FM; Cañete, L; Palominos, F; Cifuentes, F; Rivas, G</t>
  </si>
  <si>
    <t>Gomes, LFAM; Colcher, R; Wolcott, P; HerreraViedma, E; Shi, Y</t>
  </si>
  <si>
    <t>Diaz M, Hernan; Cordova, Felisa M.; Canete, Lucio; Palominos, Fredi; Cifuentes, Fernando; Rivas, Gustavo</t>
  </si>
  <si>
    <t>Inter-channel correlation in the EEG activity during a cognitive problem solving task with an increasing difficulty questions progression.</t>
  </si>
  <si>
    <t>3RD INTERNATIONAL CONFERENCE ON INFORMATION TECHNOLOGY AND QUANTITATIVE MANAGEMENT, ITQM 2015</t>
  </si>
  <si>
    <t>Procedia Computer Science</t>
  </si>
  <si>
    <t>3rd International Conference on Information Technology and Quantitative Management (ITQM)</t>
  </si>
  <si>
    <t>JUL 21-24, 2015</t>
  </si>
  <si>
    <t>Rio De Janeiro, BRAZIL</t>
  </si>
  <si>
    <t>Int Acad Informat Technol &amp; Quantitat Management,Ibmec,FIRJAN,UFF,SOBRAPO,ASSESPRO,CAPES,FAPERJ,SUCESU RJ,SINDITEC,ANE Natl Acad Engn,Res Ctr Fictitious Econ,Data Sci,Key Lab Big Data Mining &amp; Knowledge Management,Chinese Acad Sci, Sch Management,Univ Chinese Acad Sci, Sch Management,Chinese Acad Sci, Inst Policy &amp; Management,Chinese Soc Management Modernizat,Univ Nebraska</t>
  </si>
  <si>
    <t>Correlation analysis allows detecting the degree of relatedness between two variables. Even when correlation does not mean necessarily causation, in a time series, it indicates the degree of synchrony of two comparing variables and in many aspects renders similar information compared with cross-coherence analysis of the electroencephalographic signal. In this work we explore rather simple statistical features to mine into deeper underlying aspects of the functional organization of the brain during performing an intelligence test. We studied time length duration taken to solve a series of questions ordered with increasing difficulty and the correlation values reached by tine series data synchronization between the 14 EEG channels placed in the subject's scalp, during the mental task. The intelligence test consisted in an abbreviated (15 questions) version of the Raven Matrices test. Results coming from the correlation analysis showed relevant information about functional organization strategies of the brain solving a cognitive problem, as well as good discrimination for inter-individual differences in the way inter-channel correlation values distribute differently for each subject around central values of R. (C) 2015 Published by Elsevier B.V.</t>
  </si>
  <si>
    <t>Palominos, Fredi/U-4690-2019; Arratia, Lucio/AAV-6112-2020; CORDOVA, FELISA/S-1093-2019</t>
  </si>
  <si>
    <t>CORDOVA, FELISA/0000-0002-5557-8569</t>
  </si>
  <si>
    <t>1877-0509</t>
  </si>
  <si>
    <t>10.1016/j.procs.2015.07.136</t>
  </si>
  <si>
    <t>WOS:000360101400162</t>
  </si>
  <si>
    <t>Castillo-Cerda, MT; Cottet, L; Toro-Ascuy, D; Spencer, E; Martín, MCS</t>
  </si>
  <si>
    <t>Castillo-Cerda, M. T.; Cottet, L.; Toro-Ascuy, D.; Spencer, E.; Cortez-San Martin, M.</t>
  </si>
  <si>
    <t>Development of plaque assay for Chilean Infectious Salmon Anaemia Virus, application for virus purification and titration in salmon ASK cells</t>
  </si>
  <si>
    <t>JOURNAL OF FISH DISEASES</t>
  </si>
  <si>
    <t>Toro-Ascuy, Daniela/JDC-8224-2023</t>
  </si>
  <si>
    <t>Spencer, Eugenio/0000-0001-6109-140X; Toro-Ascuy, Daniela/0000-0002-2563-9711</t>
  </si>
  <si>
    <t>0140-7775</t>
  </si>
  <si>
    <t>1365-2761</t>
  </si>
  <si>
    <t>10.1111/jfd.12198</t>
  </si>
  <si>
    <t>WOS:000343758600007</t>
  </si>
  <si>
    <t>Jeftanovic, A</t>
  </si>
  <si>
    <t>Jeftanovic, Andrea</t>
  </si>
  <si>
    <t>APETITE AND AUTHORITARIANISM IN OXIDE OF CARMEN BY ANA MARIA DEL RIO</t>
  </si>
  <si>
    <t>CHASQUI-REVISTA DE LITERATURA LATINOAMERICANA</t>
  </si>
  <si>
    <t>0145-8973</t>
  </si>
  <si>
    <t>WOS:000348402500007</t>
  </si>
  <si>
    <t>Esposito, M</t>
  </si>
  <si>
    <t>Esposito, Maurizio</t>
  </si>
  <si>
    <t>Problematic Idiosyncrasies: Rediscovering the Historical Context of D'Arcy Wentworth Thompson's Science of Form</t>
  </si>
  <si>
    <t>SCIENCE IN CONTEXT</t>
  </si>
  <si>
    <t>Argument D'Arcy Thompson has often been portrayed as a loner. His science of form has frequently been labeled anachronistic, idiosyncratic, and unconnected to his contemporary biology. This article aims to challenge this interpretation. Thompson's representation as a loner did not lie in the idiosyncrasies of his science, but in our own historiography. Through the use of unedited archival sources, this study shows that Thompson's biology was well-connected to an international research program - a program mainly shared by developmental biologists, physiologists, and morphologists. In addition, this article also aims to propose a new interpretation of Thompson's On Growth and Form. Drawing on his private correspondence and published sources, the paper re-contextualizes the contents and conclusions of Thompson's seminal work. We will see that Thompson defended a particular kind of organismal biology. The bio-science he supported stemmed not only from Aristotle's zoology or Pythagorean mathematics, but had many allies among twentieth-century naturalists.</t>
  </si>
  <si>
    <t>Esposito, Maurizio/0000-0001-6476-7997</t>
  </si>
  <si>
    <t>0269-8897</t>
  </si>
  <si>
    <t>1474-0664</t>
  </si>
  <si>
    <t>10.1017/S0269889713000392</t>
  </si>
  <si>
    <t>WOS:000332375300004</t>
  </si>
  <si>
    <t>González, A; Castro, J; Vera, J; Moenne, A</t>
  </si>
  <si>
    <t>Gonzalez, Alberto; Castro, Jorge; Vera, Jeannette; Moenne, Alejandra</t>
  </si>
  <si>
    <t>Seaweed Oligosaccharides Stimulate Plant Growth by Enhancing Carbon and Nitrogen Assimilation, Basal Metabolism, and Cell Division</t>
  </si>
  <si>
    <t>JOURNAL OF PLANT GROWTH REGULATION</t>
  </si>
  <si>
    <t>It is now well established that plant cell wall oligosaccharides can stimulate or inhibit growth and development in plants. In addition, it has been determined that seaweed (marine algae) cell wall polysaccharides and derived oligosaccharides can enhance growth in plants. In particular, oligo-alginates obtained by depolymerization of alginates from brown seaweeds increase growth of different plants by enhancing nitrogen assimilation and basal metabolism. Interestingly, oligo-alginates also stimulate growth of marine and fresh water green microalgae, increasing the content of fatty acids. On the other hand, oligo-carrageenans obtained by depolymerization of carrageenans from red seaweeds increase growth of tobacco plants by enhancing photosynthesis, nitrogen assimilation, basal metabolism, and cell division. In addition, oligo-carrageenans increase protection against viral, fungal, and bacterial infections in tobacco plants, which is determined, at least in part, by the accumulation of several phenylpropanoid compounds (PPCs) with antimicrobial activity. Moreover, oligo-carrageenans stimulate growth of 3-year-old Eucalyptus globulus trees by increasing photosynthesis, nitrogen assimilation, and basal metabolism. Furthermore, oligo-carrageenans induce an increase in cellulose content and in the level of essential oil and some PPCs with antimicrobial activities, suggesting that defense against pathogens may be also enhanced. Thus, seaweed oligosaccharides induce a dual beneficial effect in plants and trees, enhancing growth, which is determined by the increase in carbon and nitrogen assimilation, basal metabolism, and cell division, and defense against pathogens, which is determined by the accumulation of compounds with antimicrobial activities. In this sense, molecular mechanisms that potentially interconnect activation of plant growth and defense responses are discussed.</t>
  </si>
  <si>
    <t>González, Alberto/IYJ-8593-2023</t>
  </si>
  <si>
    <t>Gonzalez Figueroa, Alberto/0000-0002-5777-9022</t>
  </si>
  <si>
    <t>0721-7595</t>
  </si>
  <si>
    <t>1435-8107</t>
  </si>
  <si>
    <t>10.1007/s00344-012-9309-1</t>
  </si>
  <si>
    <t>WOS:000319165500019</t>
  </si>
  <si>
    <t>Richter, EV</t>
  </si>
  <si>
    <t>Villazon Richter, Emma</t>
  </si>
  <si>
    <t>Following the changes in poetry. J. L. Martinez</t>
  </si>
  <si>
    <t>This article is a first approach to Aproximacion del Principio de Incertidumbre a un proyecto poetico (2010) by Juan Luis Mart nez from Orientalist reading that E. Lihn and P. Lastra began. From this perspective, I proposed that this work is a recreation of elements of writing and poetry of Chinese tradition, and of certain fundamental concepts of Chinese knowledge, resulting in a radical and open poetic work. This procedure, in addition to create a poetic work, adds an oracular dimension to the work, because this gives to read the question about the current state and the changes that await the poetic art; interpellation thrown to the reader, for that he or she to consult and interpret the problem in the same work.</t>
  </si>
  <si>
    <t>WOS:000323704600009</t>
  </si>
  <si>
    <t>Henríquez-Vargas, L; Bubnovich, V; Donoso, P; Cubillos, F</t>
  </si>
  <si>
    <t>Henriquez-Vargas, L.; Bubnovich, V.; Donoso, P.; Cubillos, F.</t>
  </si>
  <si>
    <t>MODELING, SIMULATION, AND CONTROL FOR A CONTINUOUS FLOW POROUS MEDIA BURNER</t>
  </si>
  <si>
    <t>JOURNAL OF POROUS MEDIA</t>
  </si>
  <si>
    <t>The filtration combustion (FC) system in inert porous matrix is one of the most efficient combustion systems due to its better thermal efficiency and lower pollutant formation. The principal drawback of a uniform FC is its transient condition because the combustion wave can propagate freely along the porous matrix in either the downstream or upstream direction. In the present paper we study the positioning of the combustion front in a uniform FC by using a model predictive control (MPC) scheme. The study was carried out by means of simulations considering as manipulated variables the gas filtration velocity and fuel equivalence ratio of CH4/air gas mixtures. The controlled variable was the flame position along the burner. Confinement schemes for combustion wave position are introduced in two configurations: set-point tracking and periodically reversible operation, which show a powerful control scheme able to permanently operate and optimize homogeneous FC burners.</t>
  </si>
  <si>
    <t>Henríquez-Vargas, Luis/Q-3617-2019; Donosoga, Pablo/HZI-2632-2023</t>
  </si>
  <si>
    <t>CUBILLOS, FRANCISCO/0000-0001-7863-4394; Donoso Garcia, Pablo/0000-0001-9839-8691</t>
  </si>
  <si>
    <t>1091-028X</t>
  </si>
  <si>
    <t>1934-0508</t>
  </si>
  <si>
    <t>10.1615/JPorMedia.v16.i2.60</t>
  </si>
  <si>
    <t>WOS:000317251800006</t>
  </si>
  <si>
    <t>Letelier, MF; Siginer, DA; Ahumada, JL; Stockle, JS</t>
  </si>
  <si>
    <t>Letelier, Mario F.; Siginer, Dennis A.; Ahumada, Juan L.; Stockle, Juan S.</t>
  </si>
  <si>
    <t>THE DYNAMICS OF PLUG ZONES IN ELASTO-PLASTIC FLOWS IN UNSTEADY FLOW IN CIRCULAR TUBES</t>
  </si>
  <si>
    <t>PROCEEDINGS OF THE ASME INTERNATIONAL MECHANICAL ENGINEERING CONGRESS AND EXPOSITION - 2012, VOL 7, PTS A-D</t>
  </si>
  <si>
    <t>ASME International Mechanical Engineering Congress and Exposition</t>
  </si>
  <si>
    <t>NOV 09-15, 2012</t>
  </si>
  <si>
    <t>Houston, TX</t>
  </si>
  <si>
    <t>Purely oscillatory flow of an elasto-plastic fluid in round tubes is analyzed. A combined linear Maxwell-Bingham model is used to characterize the fluid behavior.</t>
  </si>
  <si>
    <t>978-0-7918-4523-3</t>
  </si>
  <si>
    <t>WOS:000350071100117</t>
  </si>
  <si>
    <t>Muena, JP; Villagrán, M; Aguirre, MJ</t>
  </si>
  <si>
    <t>Muena, J. P.; Villagran, M.; Aguirre, M. J.</t>
  </si>
  <si>
    <t>Electrocatalytic oxidation and reduction of S(IV) Species by 5,10,15,20-Tetrakis-Tetraferrocenylporphyrin-Modified Electrodes</t>
  </si>
  <si>
    <t>5,10,15,20-tetrakis-tetraferrocenylporphyrin (TFcPH(2)) free ligand was synthesized and characterized by spectroscopic (UV-Vis, (HNMR)-H-1, FT-IR) and electrochemical (cyclic voltammetry) techniques. The electrocatalytic oxidation of S(IV) species in aqueous media mediated by two modified electrodes was studied. In both cases, tetraferrocenylporphyrin was used to modify electrodes. Glassy carbon electrode was modified by drying-drop method, whereby a drop of concentrated solution (approximate to 10(-4) M) of the porphyrin was applied to the electrode surface and allowed to dry (DDE electrode), and carbon-paste was modified with solid porphyrin (CPE electrode). DDE electrode shows electrocatalytic activity toward the sulfite oxidation only for one cycle. Loss of activity of this modified electrode was attributed to the formation of a stable adduct between the porphyrin and the product of the oxidation of sulfite. However, TFcPH(2) absorbed on glassy carbon electrodes shows electrocatalytic activity toward the sulfite reduction in acid media. The catalytic current peak was linearly dependent on the sulphite concentration over concentration 0.03 - 1.4 mM, and the detection limit is 22 mu M under optimized conditions.</t>
  </si>
  <si>
    <t>Aguirre, Maria/A-3935-2013</t>
  </si>
  <si>
    <t>Aguirre, Maria/0000-0003-1134-4469</t>
  </si>
  <si>
    <t>WOS:000316562800048</t>
  </si>
  <si>
    <t>Rivas-Aravena, A; Sandino, AM; Spencer, E</t>
  </si>
  <si>
    <t>Rivas-Aravena, Andrea; Maria Sandino, Ana; Spencer, Eugenio</t>
  </si>
  <si>
    <t>Nanoparticles and microparticles of polymers and polysaccharides to administer fish vaccines</t>
  </si>
  <si>
    <t>Aquaculture has become an important economic sector worldwide, but is faced with an ongoing threat from infectious diseases. Vaccination plays a critical role in protecting commercially raised fish from bacterial, viral and parasitic diseases. However, the production of effective vaccines is limited by the scarcity of knowledge about the immune system of fish. Improving vaccines implies using antigens, adjuvants and employing methods of administration that are more effective and less harmful to the fish. In this context, in recent year there have studies of methods of encapsulating antigens in matrices of different types to apply in fish vaccines. This work reviews the new methods to improve fish vaccines by encapsulating them in polymers and polysaccharides.</t>
  </si>
  <si>
    <t>SANDINO, ANA MARIA/0000-0002-3862-3743; Spencer, Eugenio/0000-0001-6109-140X</t>
  </si>
  <si>
    <t>0717-6287</t>
  </si>
  <si>
    <t>10.4067/S0716-97602013000400012</t>
  </si>
  <si>
    <t>WOS:000330202500012</t>
  </si>
  <si>
    <t>Ross, C</t>
  </si>
  <si>
    <t>Ross, Cesar</t>
  </si>
  <si>
    <t>India, Latin America, and the Caribbean during the Cold War</t>
  </si>
  <si>
    <t>REVISTA BRASILEIRA DE POLITICA INTERNACIONAL</t>
  </si>
  <si>
    <t>In this period, the key to the relationship between India and Latin America and the Caribbean (LAC) was based in the political nature of this liaison: it was a uni-multilateral relationship, centered in India, where LAC countries operated as a group of autonomous entities (an island chain structure), and not as a unit of a supranational character with unified international conduct (an island structure). As we will see, faced with uniform and consistent Indian policies, LAC had national policies which make it impossible to discuss a regional policy towards India. The goal of this work is to form a general characterization of the bilateral policies during the period of the Cold War with the intent of identifying the key explanatory factors of the process. While this may be a limited objective, it addresses the non-existence of an academic debate surrounding the topic. We intend to contribute an analysis which in this phase is primarily descriptive.</t>
  </si>
  <si>
    <t>Ross, Cesar/0000-0001-8147-6243</t>
  </si>
  <si>
    <t>0034-7329</t>
  </si>
  <si>
    <t>10.1590/S0034-73292013000200002</t>
  </si>
  <si>
    <t>WOS:000330041800002</t>
  </si>
  <si>
    <t>Mallol, J; Aguirre, V; Espinosa, V</t>
  </si>
  <si>
    <t>Mallol, J.; Aguirre, V.; Espinosa, V.</t>
  </si>
  <si>
    <t>Increased oxidative stress in children with post infectious Bronchiolitis Obliterans</t>
  </si>
  <si>
    <t>ALLERGOLOGIA ET IMMUNOPATHOLOGIA</t>
  </si>
  <si>
    <t>Background: There is increasing evidence that oxidative stress is involved in the development and severity of bronchiolitis obliterans occurring in post-transplant patients. In developing countries, the most common form of bronchiolitis obliterans occurs after severe lung infection, mainly caused by adenovirus. However, the oxidative status in the lungs of children with post infectious bronchiolitis obliterans is unknown. Methods: The aim of this study was to measure the oxidant (8-isoprostane and protein carbonyls) and antioxidant (catalase and glutathione peroxidase) activity in the bronchoalveolar lavage fluid of 21 children with post-infectious bronchiolitis obliterans, and to correlate oxidant/antioxidant level with lung function. Lung function was assessed by spirometry and plethysmography, one week prior to fiberbronchoscopy. Results: There was a markedly increased oxidative stress (lipid and protein oxidation) in the bronchoalveolar lavage fluid, and a notorious impairment of lung function demonstrating moderate-severe distal airway narrowing. There was not a significant correlation between the level of oxidants or antioxidants and lung function. There was a consistent antioxidants/oxidants pattern characterised by markedly increased 8-isoprostane and carbonyls, increased GPx and normal catalase activity. Conclusion: The present study shows for the first time that children with post-infectious bronchiolitis obliterans have a markedly increased oxidative stress in their lungs. (C) 2010 SEICAP. Published by Elsevier Espana, S.L. All rights reserved.</t>
  </si>
  <si>
    <t>Mallol, Javier/0000-0003-2528-8672; Espinosa, Victoria/0000-0003-3280-6394</t>
  </si>
  <si>
    <t>0301-0546</t>
  </si>
  <si>
    <t>1578-1267</t>
  </si>
  <si>
    <t>SEP-OCT</t>
  </si>
  <si>
    <t>10.1016/j.aller.2010.09.003</t>
  </si>
  <si>
    <t>WOS:000295667200002</t>
  </si>
  <si>
    <t>Carlsson, M</t>
  </si>
  <si>
    <t>Carlsson, M.</t>
  </si>
  <si>
    <t>On the Beurling-Lax theorem for domains with one hole</t>
  </si>
  <si>
    <t>NEW YORK JOURNAL OF MATHEMATICS</t>
  </si>
  <si>
    <t>We consider pure subnormal operators T of the type studied in Carlsson, 2011, with the additional requirement that sigma(T) has one hole. If ind (T - lambda(0)) = -n for some lambda(0) and n is an element of N, we show that the operator can be decomposed as T = circle plus T-n(k=1)k, where each T-k satisfies ind (T - lambda(0)) = -1, thus extending the classical Beurling-Lax theorem (in which sigma(T) is the unit disc). We also provide a set of unitary invariants that completely characterize T and study the model spaces for the simpler operators T-k.</t>
  </si>
  <si>
    <t>Carlsson, Marcus/0000-0002-3761-9072</t>
  </si>
  <si>
    <t>1076-9803</t>
  </si>
  <si>
    <t>17A</t>
  </si>
  <si>
    <t>WOS:000309669100012</t>
  </si>
  <si>
    <t>Cubillos, FA; Vyhmeister, E; Acuña, G; Alvarez, PI</t>
  </si>
  <si>
    <t>Cubillos, Francisco A.; Vyhmeister, Eduardo; Acuna, Gonzalo; Alvarez, Pedro I.</t>
  </si>
  <si>
    <t>Rotary Dryer Control Using a Grey-Box Neural Model Scheme</t>
  </si>
  <si>
    <t>The application of a Grey-box Neural Model (GNM) in a nonlinear model predictive control scheme (NMPC) of a direct rotary dyer is presented in this work. The GNM, which is based on the combination of phenomenological models and empirical artificial neural network (ANN) models, was properly developed and validated by using experimental fish-meal rotary drying information. The GNM was created by combining the rotary dryer mass and energy balances and a feed forward neural network (FFNN), trained off-line to estimate the drying rate and the volumetric heat transfer coefficient. The GNM results allowed us to obtain the relation between the controlled variable (solid moisture content) and the manipulated variable (gas phase entrance temperature) used in the predictive control strategy. Two NMPC control strategies, one with a fixed extended prediction horizon and another with an extended range prediction horizon, were applied to a simulated industrial fish-meal drying process. The results showed that a correct rotary dryer representation can be obtained by using a GNM approach. Due to the representation capability of the GNM approach, excellent control performances of the NMPCs were observed when the process variables were subject to disturbances. As analyzed in this work, the fixed extended prediction horizon MPC surpassed recognized control methodologies (quadratic dynamic matrix control).</t>
  </si>
  <si>
    <t>Vyhmeister, Eduardo/0000-0003-1922-2706; Acuna Leiva, Gonzalo Pedro/0000-0002-0519-7792; CUBILLOS, FRANCISCO/0000-0001-7863-4394</t>
  </si>
  <si>
    <t>1532-2300</t>
  </si>
  <si>
    <t>10.1080/07373937.2011.604461</t>
  </si>
  <si>
    <t>WOS:000299267700007</t>
  </si>
  <si>
    <t>Villablanca, ME; Rojas, FE</t>
  </si>
  <si>
    <t>Villablanca, Miguel E.; Rojas, Felix E.</t>
  </si>
  <si>
    <t>Harmonic-free AC/DC rectifiers for HVDC systems</t>
  </si>
  <si>
    <t>EUROPEAN TRANSACTIONS ON ELECTRICAL POWER</t>
  </si>
  <si>
    <t>This paper presents an innovative method for reducing current distortion on the AC side of 12-pulse series-connected line-commutated AC/DC rectifiers. Furthermore, the overlap conduction of thyristors is completely eliminated. The methodology involves an accurate shaping of the DC current by using two self-commutated switches. This DC-current shaping is reflected back into the shaping of the AC input currents, which become pure sine waves. Rectifying operation is possible with a simple control circuit, which is able to deal with both rapid load variations and failures in le self-commutated switches. HVDC application of this innovative method is briefly examined, together with experimental results showing both the steady state and transient behavior of the technology by using a 380-V 20-kVA 50-Hz laboratory prototype. Copyright (C) 2009 John Wiley &amp; Sons, Ltd.</t>
  </si>
  <si>
    <t>Rojas, Felix/U-3305-2019</t>
  </si>
  <si>
    <t>Rojas, Felix/0000-0001-6145-2826</t>
  </si>
  <si>
    <t>1430-144X</t>
  </si>
  <si>
    <t>1546-3109</t>
  </si>
  <si>
    <t>10.1002/etep.380</t>
  </si>
  <si>
    <t>WOS:000283835100011</t>
  </si>
  <si>
    <t>Villablanca, ME</t>
  </si>
  <si>
    <t>Villablanca, Miguel E.</t>
  </si>
  <si>
    <t>Harmonic-free line-commutated ac/dc rectifiers</t>
  </si>
  <si>
    <t>ELECTRIC POWER SYSTEMS RESEARCH</t>
  </si>
  <si>
    <t>In this paper both a method and apparatus are applied to different configurations of line-commutated ac/dc rectifiers to reduce the distortion of currents flowing from the ac supply. The load may be either inductive or capacitive. The technology involves an accurate shaping of the dc current by using two self-commutated switches. This dc-current shaping is reflected back into the shaping of the ac input currents, which become pure sine waves. Thyristor-based rectifying operation is possible with a simple control circuit, which is able to deal with both rapid load variations and failures in the self-commutated switches. Furthermore, the overlap conduction of bridge thyristors is eliminated completely. Experimental verification is provided from a 400-V 30-kVA 50-Hz laboratory prototype. (C) 2009 Elsevier B.V. All rights reserved.</t>
  </si>
  <si>
    <t>0378-7796</t>
  </si>
  <si>
    <t>1873-2046</t>
  </si>
  <si>
    <t>10.1016/j.epsr.2009.05.006</t>
  </si>
  <si>
    <t>WOS:000270126000007</t>
  </si>
  <si>
    <t>Guzmán, AM; Hormazabal, RA; Aracena, TA</t>
  </si>
  <si>
    <t>Guzman, Amador M.; Hormazabal, Raul A.; Aracena, Tania A.</t>
  </si>
  <si>
    <t>Heat Transfer Enhancement Due to Frequency Doubling and Ruelle-Takens-Newhouse Transition Scenarios in Symmetric Wavy Channels</t>
  </si>
  <si>
    <t>JOURNAL OF HEAT TRANSFER-TRANSACTIONS OF THE ASME</t>
  </si>
  <si>
    <t>Heat transfer enhancement characteristics, through a transition scenario of flow bifurcations in symmetric wavy wall channels, are investigated by direct numerical simulations of the mass, momentum, and energy equations using spectral element methods. Flow bifurcations, transition scenarios, and heat transfer characteristics are determined by increasing the Reynolds numbers from a laminar to a transitional flow for the geometrical aspect ratios r=0.125 and r=0.375. The numerical results demonstrate that the transition scenario to transitional flow regimes depends on the aspect ratio. For r=0.375, the transition scenario is characterized by one Hopf flow bifurcation in a frequency-doubling transition scenario, where further increases in the Reynolds number always lead to periodic flows; whereas, for r=0.125, the transition scenario is characterized by a first Hopf flow bifurcation from a laminar to a time-dependent periodic flow and a second Hopf flow bifurcation from a periodic to a quasiperiodic flow. For r=0.125, the flow bifurcation scenario is similar to the Ruelle-Takens-Newhouse (RTN) transition scenario to Eulerian chaos observed in asymmetric wavy and grooved channels. The periodic and quasiperiodic flows are characterized by fundamental frequencies omega(1), and omega(1) and omega(2), respectively. For the aspect ratio r=0.375, the Nusselt number increases slightly as the Reynolds number increases in the laminar regime until it reaches a critical Reynolds number of Re-c approximate to 126. As the flow becomes periodic, and then quasiperiodic, the Nusselt number continuously increases with respect to the laminar regime, up to a factor of 4, which represents a significant heat transfer enhancement due to a better flow mixing.</t>
  </si>
  <si>
    <t>Guzman, Amador/F-9260-2013</t>
  </si>
  <si>
    <t>0022-1481</t>
  </si>
  <si>
    <t>1528-8943</t>
  </si>
  <si>
    <t>10.1115/1.3139108</t>
  </si>
  <si>
    <t>WOS:000267431600010</t>
  </si>
  <si>
    <t>Modak, B; Rojas, M; Torres, R</t>
  </si>
  <si>
    <t>Modak, Brenda; Rojas, Macarena; Torres, Rene</t>
  </si>
  <si>
    <t>Chemical Analysis of the Resinous Exudate Isolated from Heliotropium taltalense and Evaluation of the Antioxidant Activity of the Phenolics Components and the Resin in Homogeneous and Heterogeneous Systems</t>
  </si>
  <si>
    <t>MOLECULES</t>
  </si>
  <si>
    <t>H. taltalense (Phil.) Johnst. (Heliotropiaceae) is an endemic species of the northern coast of Chile that produces a resinous exudate that covers its foliar surface and stems. Its chemical composition was analyzed for the first time, and two aromatic geranyl derivatives: filifolinol and filifolinyl senecionate and three flavonoids - naringenin, 3-O-methylgalangin and 7-O-methyleriodictiol - were isolated. The antioxidant activity of the flavonoids and the resinous exudates was carried out by measuring the 1,1-diphenyl-2-picrylhydrazyl (DPPH) bleaching effect in ethanolic solution and in sodium dodecyl sulfate (SDS) micelles. The influence of the reaction medium was analyzed. The initial velocity reactions for the pure compounds and for the extract were higher in SDS media than in ethanolic solution. The velocity of reaction observed was interpreted in terms of the reaction medium environment in the micelle.</t>
  </si>
  <si>
    <t>Rojas, Macarena/0000-0001-7243-4690</t>
  </si>
  <si>
    <t>1420-3049</t>
  </si>
  <si>
    <t>10.3390/molecules14061980</t>
  </si>
  <si>
    <t>WOS:000267339500002</t>
  </si>
  <si>
    <t>Acuña, LG; Calderón, IL; Elías, AO; Castro, ME; Vásquez, CC</t>
  </si>
  <si>
    <t>Acuna, Lillian G.; Calderon, Ivan L.; Elias, Alex O.; Castro, Miguel E.; Vasquez, Claudio C.</t>
  </si>
  <si>
    <t>Expression of the yggE gene protects Escherichia coli from potassium tellurite-generated oxidative stress</t>
  </si>
  <si>
    <t>ARCHIVES OF MICROBIOLOGY</t>
  </si>
  <si>
    <t>Potassium tellurite is highly toxic to most forms of life and specific bacterial tellurite defense mechanisms are not fully understood to date. Recent evidence suggests that tellurite would exert its toxic effects, at least in part, through the generation of superoxide anion that occurs concomitantly with intracellular tellurite (Te4+) reduction to elemental tellurium (Te-o). In this work the putative antioxidant role of YggE from Escherichia coli, a highly conserved protein in several bacterial species and whose function is still a matter of speculation, was studied. When exposed to tellurite, E. coli lacking yggE exhibited increased activity of superoxide dismutase and fumarase C, augmented levels of reactive oxygen species and high concentration of carbonyl groups in proteins. Upon genetic complementation with the homologous yggE gene these values were restored to those observed in the parental, isogenic, wild type strain, suggesting a direct participation of YggE in E. coli tolerance to tellurite.</t>
  </si>
  <si>
    <t>Calderón, Iván/HJP-5156-2023</t>
  </si>
  <si>
    <t>Acuna, Lillian/0000-0002-9327-2122</t>
  </si>
  <si>
    <t>0302-8933</t>
  </si>
  <si>
    <t>1432-072X</t>
  </si>
  <si>
    <t>10.1007/s00203-009-0473-z</t>
  </si>
  <si>
    <t>WOS:000265497800010</t>
  </si>
  <si>
    <t>Arellano-Baeza, AA; García, RV; Trejo-Soto, M; Bringas, AM</t>
  </si>
  <si>
    <t>Arellano-Baeza, A. A.; Garcia, R. V.; Trejo-Soto, M.; Bringas, A. Martinez</t>
  </si>
  <si>
    <t>Use of the ASTER satellite images for evaluation of structural changes in the Popocatepetl volcano related to microseismicity</t>
  </si>
  <si>
    <t>ADVANCES IN SPACE RESEARCH</t>
  </si>
  <si>
    <t>Mexico is one of the most volcanically active regions in North America. Volcanic activity in central Mexico is associated with the subduction of the Cocos and Rivera plates beneath the North American plate. Periods of enhanced microseismic activity, associated with the volcanic activity of the Popocatepetl volcano are compared with periods, during which the microseismic activity was low. We detected systematical changes in the number of lineaments, associated with the microseismic activity due to lineament analysis of a temporal sequence of high resolution satellite images of the Popocatepetl volcano, provided by the ASTER/VNIR instrument. The Lineament Extraction and Stripes Statistic Analysis (LESSA) software package was used for the lineament extraction. In the future it would allow develop a methodology for detection of possible elevation of pressure in volcano edifice. (C) 2008 COSPAR. Published by Elsevier Ltd. All rights reserved.</t>
  </si>
  <si>
    <t>Veloso Garcia, Roberta/A-7177-2015</t>
  </si>
  <si>
    <t>0273-1177</t>
  </si>
  <si>
    <t>1879-1948</t>
  </si>
  <si>
    <t>JAN 15</t>
  </si>
  <si>
    <t>10.1016/j.asr.2008.03.021</t>
  </si>
  <si>
    <t>WOS:000263025100005</t>
  </si>
  <si>
    <t>Guzmán, AM; Sanhueza, LE; Diaz, AJ; Escobar, RA</t>
  </si>
  <si>
    <t>Guzman, Amador M.; Sanhueza, Luis. E.; Diaz, Andres J.; Escobar, Rodrigo A.</t>
  </si>
  <si>
    <t>STRETCHING FIELDS AND FLOW MIXING ENHANCEMENT OF RARIFIED GASES IN MICRO-GROOVED CHANNELS BY THE LATTICE BOLTZMANN METHOD</t>
  </si>
  <si>
    <t>PROCEEDINGS OF THE ASME FLUIDS ENGINEERING DIVISION SUMMER CONFERENCE -2008, VOL 1, PT A AND B</t>
  </si>
  <si>
    <t>ASME Fluids Engineering Division Summer Conference</t>
  </si>
  <si>
    <t>AUG 10-14, 2008</t>
  </si>
  <si>
    <t>Jacksonville, FL</t>
  </si>
  <si>
    <t>ASME, Fluids Engn Div</t>
  </si>
  <si>
    <t>The Eulerian and Lagrangian characteristics of a rarified gas flow have been investigated and related to flow mixing enhancement in micro grooved channels. The governing Boltzmann Transport Equation (BTE) is solved by the Lattice-Boltzmann method (LBM) for the Knudsen number range of 0.01-0.1. First, the Eulerian flow characteristics are determined by performing numerical simulations for different Knudsen numbers, pressure ratio and accommodation coefficients with the objective of obtaining reliable velocity characteristics and flow patterns, and determining the transition characteristics from the macro to microscale. The numerical predictions are compared to existing analytical and numerical results. Then, the Lagrangian characteristics are obtained by integrating the Eulerian velocity field by a 4t order Range-Kutta scheme. Ten thousands (10,0(.)0) pairs of Plaid particles are used to determine fluid particle Lagrangian trajectories, future stretching fields, and Lagrangian Lyapunov exponents, which are used for determining the grooved channel regions with high and low flow mixing enhancement. Our results demonstrate that rarified gas flows develop a future stretching field leading to the existence of Lagrangian chaos and flow mixing enhancement for very low, stable and time independent Reynolds number flow regime. This flow behavior departure from the well accepted concept that Lagrangian chaos and flow mixing enhancement need a time dependent 2D flow.</t>
  </si>
  <si>
    <t>Escobar, Rodrigo/JHU-7720-2023; Guzman, Amador/F-9260-2013</t>
  </si>
  <si>
    <t>Escobar, Rodrigo/0000-0001-9097-7461</t>
  </si>
  <si>
    <t>978-0-7918-4840-1</t>
  </si>
  <si>
    <t>WOS:000265788300063</t>
  </si>
  <si>
    <t>Moreno, M; Contreras, D; Martínez, N; Araya, P; Livacic-Rojas, P; Vera-Villarroel, P</t>
  </si>
  <si>
    <t>Moreno B, Mnica; Contreras R, Daniela; Martinez S, Natalia; Araya G, Patricia; Livacic-Rojas, Pablo; Vera-Villarroel, Pablo</t>
  </si>
  <si>
    <t>Effects of a cognitive-behavioral intervention on blood pressure of hypertensive elderly subjects</t>
  </si>
  <si>
    <t>Background: Cognitive and behavior therapy can be used as an adjunct to medications to reduce blood pressure in hypertensive patients. Aim To design a brief psychological intervention for hypertensive patients and assess its effects on blood pressure. Material and methods: Thirty eight hypertensive subjects (35 women, age range 63-77 years) were studied. They were randomly divided in a control and experimental group. The latter group attended eight sessions of a cognitive-behavioral intervention, lasting two hours each, during one month. in each session, subjects were trained in relaxation techniques, cognitive modeling and psycho education. The main outcome assessed was a change in blood pressure levels. Results: In the experimental group, there was a significant reduction from baseline to the second post test assessment, in systolic and diastolic blood pressure levels from 134:0 to 123 +/- 8 mmHg and from 87 +/- 5 to 73 +/- 6 mmHg, respectively. Conclusions: The psychological intervention used in the present study achieved significant reductions in blood pressure levels in this group of hypertensive subjects.</t>
  </si>
  <si>
    <t>Vera-Villarroel, Pablo/A-1134-2011</t>
  </si>
  <si>
    <t>Vera-Villarroel, Pablo/0000-0001-9187-8414</t>
  </si>
  <si>
    <t>WOS:000238132800005</t>
  </si>
  <si>
    <t>Ispolatov, I</t>
  </si>
  <si>
    <t>Binaries and core-ring structures in self-gravitating systems</t>
  </si>
  <si>
    <t>Low-energy states of self-gravitating systems with finite angular momentum are considered. A constraint is introduced to confine cores and other condensed objects within the system boundaries by gravity alone. This excludes previously observed astrophysically irrelevant asymmetric configurations with a single core. We show that, for an intermediate range of a short-distance cutoff and small angular momentum, the equilibrium configuration is an asymmetric binary. For larger angular momentum or for a smaller range of the short-distance cutoff, the equilibrium configuration consists of a central core and an equatorial ring. The mass of the ring varies between zero for vanishing rotation and the full system mass for the maximum angular momentum L-max a localized gravitationally bound system can have. The value of L-max scales as root ln(1/x(0)) where x(0) is a ratio of a short-distance cutoff range to the system size. An example of the soft gravitational potential is considered; the conclusions are shown to be valid for other forms of short-distance regularization.</t>
  </si>
  <si>
    <t>1539-3755</t>
  </si>
  <si>
    <t>1550-2376</t>
  </si>
  <si>
    <t>10.1103/PhysrevE.72.026115</t>
  </si>
  <si>
    <t>WOS:000231564100029</t>
  </si>
  <si>
    <t>Pavez, J; Silva, JF; Melo, F</t>
  </si>
  <si>
    <t>Homogeneous calcium carbonate coating obtained by electrodeposition: in situ atomic force microscope observations</t>
  </si>
  <si>
    <t>ELECTROCHIMICA ACTA</t>
  </si>
  <si>
    <t>The evolution of the first stages of the crystallization of an electrochemically deposited calcium carbonate on indium tin oxide (ITO) electrode has been investigated. The electrodeposition was driven applying a constant negative potential to a NaHCO3 and CaCl2 solution saturated with molecular oxygen. By this way, novel data about the kinetics of the crystal growth of CaCO3 were collected from the AFM images. The results show that at the solution supersaturation levels used, the crystal growth occurred by a uniform surface nucleation mechanism. During the growth of the initial nuclei, the surface of the electrode was covered progressively by the growth of flat multilayers having triangular faces. The height of these structures ranged from one to several molecular layers of calcium carbonate. At the end of the crystallization process, the roughness of the electrode surface is reduced in average to two monolayers. Thus, our method provides a useful way to electrodeposit a nearly uniform layer of calcium carbonate on a variety of surfaces of potential applications. (c) 2005 Elsevier Ltd. All rights reserved.</t>
  </si>
  <si>
    <t>Melo, Francisco/M-3923-2014; PAVEZ, JORGE/K-6904-2014</t>
  </si>
  <si>
    <t>Melo, Francisco Esteban/0000-0001-6818-5476; PAVEZ, JORGE/0000-0002-5100-6707</t>
  </si>
  <si>
    <t>0013-4686</t>
  </si>
  <si>
    <t>1873-3859</t>
  </si>
  <si>
    <t>MAY 30</t>
  </si>
  <si>
    <t>16-17</t>
  </si>
  <si>
    <t>10.1016/j.electacta.2004.12.025</t>
  </si>
  <si>
    <t>WOS:000229570300036</t>
  </si>
  <si>
    <t>Carrasco, N; González-Nilo, F; Rezende, MC</t>
  </si>
  <si>
    <t>Relative solvation and strength of polycyano- and polynitromethanes in water: a study with molecular dynamics simulations</t>
  </si>
  <si>
    <t>JOURNAL OF PHYSICAL ORGANIC CHEMISTRY</t>
  </si>
  <si>
    <t>7th Latin American Conference on Physical Organic Chemistry</t>
  </si>
  <si>
    <t>SEP, 2003</t>
  </si>
  <si>
    <t>Florianopolis, BRAZIL</t>
  </si>
  <si>
    <t>The long-known saturation effect in the acidity of polynitromethanes as the number of electron-withdrawing substituents is increased has no parallel in the polycyanomethane series, leading to a reversal in acidity when the two series are compared. A theoretical study based on molecular dynamics simulations was carried out, with a view to investigating the solvation patterns of all acidic polynitro- and polycyanomethanes and their conjugate bases in water. The results provide a qualitative interpretation of the causes of the saturation effect and the observed reversal in acidity. Copyright (C) 2004 John Wiley Sons, Ltd.</t>
  </si>
  <si>
    <t>Caroli, Marcos/H-3570-2019; Gonzalez Nilo, Fernando Danilo/M-5671-2016</t>
  </si>
  <si>
    <t>Gonzalez Nilo, Fernando Danilo/0000-0001-6857-3575; Rezende, Marcos/0000-0003-2040-9009</t>
  </si>
  <si>
    <t>0894-3230</t>
  </si>
  <si>
    <t>1099-1395</t>
  </si>
  <si>
    <t>10.1002/poc.867</t>
  </si>
  <si>
    <t>WOS:000226456700009</t>
  </si>
  <si>
    <t>Villablanca, M; Sanhueza, H; Flores, C; Cuevas, C</t>
  </si>
  <si>
    <t>Point-to-point HVdc systems using 36-pulse operation</t>
  </si>
  <si>
    <t>HVdc systems are adopted in the case of long distance power transmission, interconnection of two large ac systems or power transmission by cables to overloaded districts or isolated islands. Moreover, a division of a huge ac system by dc systems can reduce its short-circuit capacity. HVdc systems, however, need both ac and dc filters, which attempt to prevent the HVdc converters from injecting all its harmonic output into both the ac and dc systems. Unfortunately, filters have a complex design and performance, and constitute a considerable part of the volume and cost of present dc terminal stations. Thus, any possible new solution is welcome. In this paper a 36-pulse configuration for point-to-point HVdc systems is proposed, whereby both ac and dc harmonics are diminished throughout the system, thus opening the possibility of reducing both the ac and dc filtering, together with the associated drawbacks. Prospective advantages regarding reactive power requirements and reliability for the proposed configuration are also evaluated. (C) 2003 Elsevier B.V. All rights reserved.</t>
  </si>
  <si>
    <t>10.1016/j.epsr.2003.07.008</t>
  </si>
  <si>
    <t>WOS:000187963200006</t>
  </si>
  <si>
    <t>Solar, M; Inostroza, M</t>
  </si>
  <si>
    <t>Tzeng, NF; Takizawa, M</t>
  </si>
  <si>
    <t>A scheduling algorithm to optimize real-world applications</t>
  </si>
  <si>
    <t>24TH INTERNATIONAL CONFERENCE ON DISTRIBUTED COMPUTING SYSTEMS WORKSHOPS, PROCEEDINGS</t>
  </si>
  <si>
    <t>24th IEEE International Conference on Distributed Computing Systems</t>
  </si>
  <si>
    <t>MAR 23-24, 2004</t>
  </si>
  <si>
    <t>Tokyo, JAPAN</t>
  </si>
  <si>
    <t>IEEE Comp Soc,Informat Proc Soc Japan</t>
  </si>
  <si>
    <t>This paper presents a scheduling algorithm that assigns tasks represented in a Directed Acyclic Graph (DAG). The behavior of the proposed algorithm is compared with the Dominant Sequence Clustering (DSC) algorithm on a set of DAG tests. The tests were carried out on two sets of DAGs, one with tasks of arbitrary duration, and the other with tasks of unit time duration. When comparing the results for each algorithm in terms of parallel computation time, the proposed algorithm is superior in 75% of the cases, equal in 20% of the tests, and in those cases in which DSC outperforms the proposed algorithm (5% of the cases), it can be seen that the planning carried out by DSC uses a greater number of processors than the proposed algorithm, so that the performance in terms of CPU use is lower for DSC. The results obtained show that the proposed algorithm is superior in 100% of the cases when considering the number of processors used.</t>
  </si>
  <si>
    <t>Inostroza-Ponta, Mario/G-7548-2012; Solar, Mauricio/AAE-9673-2020</t>
  </si>
  <si>
    <t>Solar, Mauricio/0000-0002-4433-4622</t>
  </si>
  <si>
    <t>0-7695-2087-1</t>
  </si>
  <si>
    <t>10.1109/ICDCSW.2004.1284133</t>
  </si>
  <si>
    <t>WOS:000221630700130</t>
  </si>
  <si>
    <t>Casanova, A; Obreque, J; Sandino, AM; Jashés, M</t>
  </si>
  <si>
    <t>tRNA genes were found in Piscirickettsia salmonis 16S-23S rDNA spacer region (ITS)</t>
  </si>
  <si>
    <t>FEMS MICROBIOLOGY LETTERS</t>
  </si>
  <si>
    <t>Piscirickettsia salmonis is the etiological agent of Salmonid Rickettsial Septicemia, a disease affecting salmon aquaculture industry. We analyzed the 16S-23S rDNA spacer region (internal transcribed spacer, ITS) of Chilean P. salmonis isolates LF-89 and EM-90. Two main ITS amplification products were obtained by PCR using L1 and G1 primers, differing from that described where only one ITS region was Found. By Southern blot, it was established that these two amplification products contained sequences related to P. salmonis ITS. Sequence analysis confirmed that P. salmonis had two ITS regions: ITS A and ITS B. In both isolates, the smaller (ITS B) corresponded to ITS sequences previously described for each one, and the larger (ITS A) were almost the same as their respective ITS B sequences interrupted by an insert which contained two tRNAs genes: tRNA-Ile and rRNA-Ala. (C) 2001 Federation of European Microbiological Societies. Published by Elsevier Science B.V. All rights reserved.</t>
  </si>
  <si>
    <t>0378-1097</t>
  </si>
  <si>
    <t>1574-6968</t>
  </si>
  <si>
    <t>APR 1</t>
  </si>
  <si>
    <t>10.1016/S0378-1097(01)00029-5</t>
  </si>
  <si>
    <t>WOS:000167980100003</t>
  </si>
  <si>
    <t>Perez, P; Trier, A</t>
  </si>
  <si>
    <t>Prediction of NO and NO2 concentrations near a street with heavy traffic in Santiago, Chile</t>
  </si>
  <si>
    <t>ATMOSPHERIC ENVIRONMENT</t>
  </si>
  <si>
    <t>Based on NO concentrations and meteorological variables recorded hourly at a point close to an avenue with heavy traffic in the city of Santiago, we are able to build a simple model that allows prediction of NO concentrations several hours in advance. Predicted NO concentrations in conjunction with forecasted meteorological data may be used to predict NO2 concentrations with reasonable accuracy. We compare predictions generated using persistence, linear regressions and multi layer neural networks. (C) 2001 Elsevier Science Ltd. All rights reserved.</t>
  </si>
  <si>
    <t>Perez, Patricio/0000-0003-1234-4233</t>
  </si>
  <si>
    <t>1352-2310</t>
  </si>
  <si>
    <t>10.1016/S1352-2310(00)00288-0</t>
  </si>
  <si>
    <t>WOS:000167745600007</t>
  </si>
  <si>
    <t>Kimelman, M; Nunez, C; Hernandez, G; Montino, O; Paez, J; Bustos, S</t>
  </si>
  <si>
    <t>Assessment of risky relationships between mothers and newborns</t>
  </si>
  <si>
    <t>INFANT MENTAL HEALTH JOURNAL</t>
  </si>
  <si>
    <t>0163-9641</t>
  </si>
  <si>
    <t>WOS:000089482800174</t>
  </si>
  <si>
    <t>Zagal, JH; Cárdenas-Jirón, GI</t>
  </si>
  <si>
    <t>Reactivity of immobilized cobalt phthalocyanines for the electroreduction of molecular oxygen in terms of molecular hardness</t>
  </si>
  <si>
    <t>When the logarithm of the rate constant of the electroreduction of O-2 is plotted versus the Co(III)/Co(II) redox potential of different substituted phthalocyanines (Co-Pcs), for graphite electrodes modified with these complexes, a straight line is obtained. Log k decreases as the driving force of the phthalocyanine increases. The same is observed when log k is plotted versus the sum of the Hammett parameters of the substituents on the periphery of the phthalocyanine ligand. This is explained in terms of the hardness of the system, i.e, the more the separation between the energy of the frontier orbitals of the donor (Co-Pc) and the acceptor (O-2) the less the reactivity. The energies of the frontier orbitals of cobalt tetraneopentoxyphthalocyanine, cobalt octamethoxyphthalocyanine, cobalt phthalocyanine, cobalt tetrasulfophthalocyanine and cobalt hexadecafluorophthalocyanine, and of the O-2 molecule were calculated using the PM3 semi-empirical theoretical method. The intermolecular hardness of the Co-Pc/O-2 system was estimated by taking one half the energy difference of the SOMO of the Co-Pc and the SOMO of the dioxygen molecule. A plot of log k versus the intermolecular hardness gives a straight line of negative slope, which shows that the rate constants decrease with increasing intermolecular hardness of the system. (C) 2000 Elsevier Science S.A. All rights reserved.</t>
  </si>
  <si>
    <t>1572-6657</t>
  </si>
  <si>
    <t>1873-2569</t>
  </si>
  <si>
    <t>JUL 28</t>
  </si>
  <si>
    <t>10.1016/S0022-0728(00)00209-6</t>
  </si>
  <si>
    <t>WOS:000165784900011</t>
  </si>
  <si>
    <t>Urzúa, A; Andrade, L; Mendoza, L; Bustos, F</t>
  </si>
  <si>
    <t>Comparative leaf surface chemistry from Senecio cerberoanus and Senecio viscosissimus</t>
  </si>
  <si>
    <t>WOS:000086252300010</t>
  </si>
  <si>
    <t>Plyushchay, MS</t>
  </si>
  <si>
    <t>Hilborn, RC; Tino, GM</t>
  </si>
  <si>
    <t>Deformed Heisenberg algebra with reflection, anyons and supersymmetry of parabosons</t>
  </si>
  <si>
    <t>SPIN-STATISTICS CONNECTION AND COMMUTATION RELATIONS: EXPERIMENTAL TESTS AND THEORETICAL IMPLICATIONS</t>
  </si>
  <si>
    <t>AIP Conference Proceedings</t>
  </si>
  <si>
    <t>Conference on Spin-Statistics Connection and Commutation Relations</t>
  </si>
  <si>
    <t>MAY 31-JUN 03, 2000</t>
  </si>
  <si>
    <t>ANACAPRI, ITALY</t>
  </si>
  <si>
    <t>Int Advisory Comm,Local Organizing Comm,Univ Napoli, Ctr Int Cultura Sci,Univ Napoli, Fed Dipartimento Sci Fis,Ist Italiano Studi Filosofci,Ist Nazl Fis Nucl,Ist Nazl Fis Materia,CNR Grp Nazl Struttura Materia</t>
  </si>
  <si>
    <t>Deformed Heisenberg algebra with reflection appeared in the context of Wigner's generalized quantization schemes underlying the concept of parafields and parastatistics of Green, Volkov, Greenberg and Messiah. We review the application of this algebra for the universal description of ordinary spin-j and anyon fields in 2+1 dimensions, and discuss the intimate relation between parastatistics and supersymmetry.</t>
  </si>
  <si>
    <t>0094-243X</t>
  </si>
  <si>
    <t>1-56396-974-2</t>
  </si>
  <si>
    <t>WOS:000166298600022</t>
  </si>
  <si>
    <t>Moraga, NO; Salinas, CH</t>
  </si>
  <si>
    <t>Numerical model for heat and fluid flow in food freezing</t>
  </si>
  <si>
    <t>NUMERICAL HEAT TRANSFER PART A-APPLICATIONS</t>
  </si>
  <si>
    <t>The objective of this paper is to describe the fluid mechanics and heat transfer in the freezing process of a plate shaped portion of salmon meat inside a refrigeration chamber. Forced convection from the food to the air is calculated from continuity, linear momentum, and energy equations conjugated to the heat conduction with liquid-solid phase transformation of the water content inside the food, formulated by apparent specific heat. The finite volume method with staggered variables locations in a generalized system of coordinates is used for the discretized equations. Time dependent results of local velocity vectors, pressure distribution, and freezing curves are presented.</t>
  </si>
  <si>
    <t>Salinas, Carlos/D-8689-2012</t>
  </si>
  <si>
    <t>1040-7782</t>
  </si>
  <si>
    <t>1521-0634</t>
  </si>
  <si>
    <t>10.1080/104077899275128</t>
  </si>
  <si>
    <t>WOS:000080070100003</t>
  </si>
  <si>
    <t>Encinas, MV; Lissi, EA; Rufs, AM; Alvarez, J</t>
  </si>
  <si>
    <t>Microemulsion polymerization of methyl methacrylate photoinitiated by symmetrical azocompounds of different hydrophobicity</t>
  </si>
  <si>
    <t>LANGMUIR</t>
  </si>
  <si>
    <t>Symmetrical azo compounds of different charge were used as photoinitiators of methyl methacrylate (MMA) polymerization in homogeneous solution and in microemulsions supported by cationic and anionic surfactants. The measured constants for association of initiators to the aggregates are those expected from the micellar surface potential, which is reduced by the presence of monomer. Polymerization rates and photocleavage yields of azo compounds were measured in different media. The results are interpreted in terms of a fast interchange of the counterions between micelles that reduces the intra-Stern layer primary radical combination.</t>
  </si>
  <si>
    <t>0743-7463</t>
  </si>
  <si>
    <t>SEP 29</t>
  </si>
  <si>
    <t>10.1021/la960941i</t>
  </si>
  <si>
    <t>WOS:000076221800008</t>
  </si>
  <si>
    <t>Chavez, R; Krautwurst, H; Cardemil, E</t>
  </si>
  <si>
    <t>Site-directed mutagenesis in basic amino acid residues of Saccharomyces cerevisiae phosphoenolpyruvate carboxykinase</t>
  </si>
  <si>
    <t>JOURNAL OF PROTEIN CHEMISTRY</t>
  </si>
  <si>
    <t>Mutant Arg76Gln and Lys290Gln Saccharomyces cerevisiae phosphoenolpyruvate carboxykinases have been prepared and analyzed. No alteration in the apparent kinetic constants were detected for the Arg76Gln mutant enzyme, while the Lys290Gln mutant showed a 12-fold decrease in V-max/K(m)ADP. These results indicate that Arg76 is not involved in CO2 binding, but support the hypothesis that the binding of this substrate induces a conformational change that protects the region around Arg76 from trypsin action [Herrera et al. (1993) J. Protein Chem. 12, 413-418]. These findings also indicate that Lys290, a highly reactive residue against pyrydoxal phosphate [Bazaes et al. (1995), FEES Lett. 360, 207-210], does not perform an essential function for the enzyme activity.</t>
  </si>
  <si>
    <t>Chavez, Renato/0000-0003-1754-3610</t>
  </si>
  <si>
    <t>0277-8033</t>
  </si>
  <si>
    <t>10.1023/A:1026335010370</t>
  </si>
  <si>
    <t>WOS:A1997WZ35400008</t>
  </si>
  <si>
    <t>RAMIREZ, CB; CARRASCO, N; REZENDE, MC</t>
  </si>
  <si>
    <t>HALOCHROMISM AND SOLVATOCHROMISM OF A PI-ASTERISK PROBE IN BINARY SOLVENT MIXTURES</t>
  </si>
  <si>
    <t>JOURNAL OF THE CHEMICAL SOCIETY-FARADAY TRANSACTIONS</t>
  </si>
  <si>
    <t>Dipolarity polarizability values, pi*, of 17 binary solvent mixtures of variable composition have been measured with the recently introduced probe 1. The values obtained are in good agreement with reported parameters derived previously for a few solvent mixtures, employing 4-nitroaniline and N,N-diethylnitroaniline as probes. Preferential solvation of dye 1 by the more polar component was observed for most binary mixtures. Exceptions to this behaviour were some alcoholic solvent mixtures, where 1 was preferentially solvated by the less polar alcohol. This departure from the generally observed trend was ascribed to the hydrophobic character of the bisthienyl dye. The halochromic behaviour of 1 in organic salt solutions was also investigated and rationalized in terms of dye-salt association.</t>
  </si>
  <si>
    <t>Caroli, Marcos/H-3570-2019</t>
  </si>
  <si>
    <t>Rezende, Marcos/0000-0003-2040-9009</t>
  </si>
  <si>
    <t>0956-5000</t>
  </si>
  <si>
    <t>NOV 7</t>
  </si>
  <si>
    <t>10.1039/ft9959103839</t>
  </si>
  <si>
    <t>WOS:A1995TC83400017</t>
  </si>
  <si>
    <t>ORTIZ, J; GAUTIER, JL</t>
  </si>
  <si>
    <t>OXYGEN REDUCTION ON COPPER CHROMIUM MANGANITES - EFFECT OF OXIDE COMPOSITION ON THE REACTION-MECHANISM IN ALKALINE-SOLUTION</t>
  </si>
  <si>
    <t>The electrocatalytic oxygen reduction reaction (ORR) in 1 M KOH at 25 degrees C on Teflon-bonded Cr-(1-x)CuxMn2O4 + graphite electrodes with x = 0, 0.5, 0.75, 0.9 and 1 has been studied using the rotating-ring-disk technique. All manganites exhibited spinel structure with tetragonal distortion. The reaction rate depends on the [Mn4+]/[Cu2+ + Cr3+ + Mn3+] surface ratio. The ORR occurs through ''interactive'' and ''parallel'' pathways depending on the oxide composition parameter x. The most active oxide Cr0.25Cu0.75Mn2O4 shows the lowest OCP and the highest kinetic S-1 parameter.</t>
  </si>
  <si>
    <t>JUL 4</t>
  </si>
  <si>
    <t>10.1016/0022-0728(95)03964-I</t>
  </si>
  <si>
    <t>WOS:A1995RH80400011</t>
  </si>
  <si>
    <t>MATSUHIRO, B; RIVAS, P</t>
  </si>
  <si>
    <t>2ND-DERIVATIVE FOURIER-TRANSFORM INFRARED-SPECTRA OF SEAWEED GALACTANS (VOL 5, PG 45, 1993)</t>
  </si>
  <si>
    <t>JOURNAL OF APPLIED PHYCOLOGY</t>
  </si>
  <si>
    <t>0921-8971</t>
  </si>
  <si>
    <t>10.1007/BF02185910</t>
  </si>
  <si>
    <t>WOS:A1994NC72200014</t>
  </si>
  <si>
    <t>ESCUDEY, M; MORA, MD; DIAZ, P; GALINDO, G</t>
  </si>
  <si>
    <t>APPARENT DISSOLUTION DURING ULTRASONIC DISPERSION OF ALLOPHANIC SOILS AND SOIL FRACTIONS</t>
  </si>
  <si>
    <t>CLAYS AND CLAY MINERALS</t>
  </si>
  <si>
    <t>0009-8604</t>
  </si>
  <si>
    <t>WOS:A1989AH48800016</t>
  </si>
  <si>
    <t>DIAZ, P; GALINDO, G; ESCUDEY, M</t>
  </si>
  <si>
    <t>EFFECT OF ADSORPTION OF ORGANIC-LIGANDS ON SURFACE-CHARGE OF OXIDES AND ALUMINOSILICATES</t>
  </si>
  <si>
    <t>WOS:A1989AQ10300007</t>
  </si>
  <si>
    <t>ESCUDEY, M; GALINDO, G</t>
  </si>
  <si>
    <t>POTASSIUM-CALCIUM EXCHANGE ON INORGANIC CLAY FRACTIONS OF CHILEAN ANDEPTS</t>
  </si>
  <si>
    <t>GEODERMA</t>
  </si>
  <si>
    <t>Clay fractions were extracted from the B horizons of three profiles after destruction of organic matter and the removal of free iron oxides from half of the samples. The K-Ca equilibria were determined on the clay fractions with and without removal of iron oxides, presumed to be coatings on the particles. A thermodynamic approach was used in examining the equilibria at temperatures of 4.0 and 26.5.degree. C. The equilibria were analyzed by comparing experiments data with a computed theoretical non-preference isotherm. The experimental data had been obtained for a constant cation exchange capacity at controlled pH and ionic strengths. A general preference was found for K+ which was governed by charge repulsion in clays with iron oxide coatings and by the size of hydrated ions in clays without such coatings. Selectivity of K+ decreased as temperatures increased, the effect being greater in the clays without coatings. At slightly acid reactions, clays with iron oxide coatings had much lower cation exchange capacities than clays without such coatings. That relationship was not affected by temperature. The cation exchange capacities of clays without oxide coatings increased from 30 to 70% as temperature increased.</t>
  </si>
  <si>
    <t>0016-7061</t>
  </si>
  <si>
    <t>1872-6259</t>
  </si>
  <si>
    <t>10.1016/0016-7061(88)90065-1</t>
  </si>
  <si>
    <t>WOS:A1988M339900006</t>
  </si>
  <si>
    <t>CORREA, C; URZUA, A; TORRES, R</t>
  </si>
  <si>
    <t>1,2,11-TRIMETHOXYNORAPORPHINE FROM DISCARIA-CHACAYE (G DON) TORT</t>
  </si>
  <si>
    <t>WOS:A1987H941800007</t>
  </si>
  <si>
    <t>MATUTE, EA</t>
  </si>
  <si>
    <t>SELF-CONSISTENT MESON COUPLING CALCULATIONS</t>
  </si>
  <si>
    <t>2470-0010</t>
  </si>
  <si>
    <t>2470-0029</t>
  </si>
  <si>
    <t>10.1103/PhysRevD.32.1205</t>
  </si>
  <si>
    <t>WOS:A1985APU5100018</t>
  </si>
  <si>
    <t>VASQUEZ, C; VILLANUEVA, J</t>
  </si>
  <si>
    <t>PLASMID CURING IN THERMOPHILIC BACTERIA AND ISOLATION OF A NEW EXTRACHROMOSOMAL ELEMENT FROM T-THERMOPHILUS HB8</t>
  </si>
  <si>
    <t>R91</t>
  </si>
  <si>
    <t>WOS:A1983RG77100066</t>
  </si>
  <si>
    <t>GILLLAMBIAS, FJ; ESCUDEYCASTRO, AM</t>
  </si>
  <si>
    <t>USE OF ZERO-POINT CHARGE MEASUREMENTS IN DETERMINING THE APPARENT SURFACE COVERAGE OF MOLYBDENA IN MOO3/GAMMA-AL2O3 CATALYSTS</t>
  </si>
  <si>
    <t>JOURNAL OF THE CHEMICAL SOCIETY-CHEMICAL COMMUNICATIONS</t>
  </si>
  <si>
    <t>0022-4936</t>
  </si>
  <si>
    <t>10.1039/c39820000478</t>
  </si>
  <si>
    <t>WOS:A1982NN29000004</t>
  </si>
  <si>
    <t>Muñoz-Osses, M; Navarrete, E; Morales, P; Quiroz, J; Silva, M; Torres-González, S; Vásquez-Martínez, Y; Godoy, F; Mascayano, C</t>
  </si>
  <si>
    <t>Munoz-Osses, Michelle; Navarrete, Elizabeth; Morales, Pilar; Quiroz, Javiera; Silva, Maite; Torres-Gonzalez, Simon; Vasquez-Martinez, Yesseny; Godoy, Fernando; Mascayano, Carolina</t>
  </si>
  <si>
    <t>Substituted aryl piperazine ligands as new dual 5-hLOX/COX-2 inhibitors. Synthesis, biological and computational studies</t>
  </si>
  <si>
    <t>BIOORGANIC CHEMISTRY</t>
  </si>
  <si>
    <t>Two series of cyano (1a-l) and amino (2a-l) aryl piperazines were synthesized and evaluated for their inhibitory activity against 5-lipoxygenase (5-hLOX) and cyclooxygenase-2 (COX-2). The newly designed derivatives feature diphenyl methyl (a-d), phenyl (e-h), or methoxyphenyl (i-l) groups, respectively, and demonstrated significant inhibition of 5-hLOX. Noteworthy were compounds 1b, 1 g, 1 k, 2f, and 2 g, exhibiting IC50 values ranging from 2.2 to 3.3 mu M. The most potent inhibitors (1b, 1 g, 1 k, 2c, and 2f) were characterized by a competitive inhibition mechanism, with K-i values ranging between 1.77 mu M and 9.50 mu M. Additionally, compounds 2a, 2b, 2 g, and 2 h displayed promising dual inhibition of 5-hLOX and COX-2, with IC50 values below 15 mu M. Cytotoxicity assessments against HEK293 cells revealed that the cyano derivatives (1a-l) were non-cytotoxic (CC50 &gt; 200 mu M), whereas the amino derivatives (2a-l) exhibited moderate cytotoxicity (CC50 &lt; 50 mu M). Notably, the most active derivatives against both targets were non-cytotoxic at their respective inhibitory concentrations. Computational studies, including docking and molecular dynamics simulations, indicated that compound 1 g demonstrated greater stability within the catalytic site of 5-hLOX compared to compound 2f, correlating with the higher affinity observed in kinetic assays. Furthermore, quantitative structure-activity relationship (QSAR) analyses revealed strong correlations between theoretical and experimental IC50 values (97 % for 1a-l and 93 % for 2a-l). These findings, combined with absorption, distribution, metabolism, and excretion (ADME) predictions, suggest that these derivatives are promising candidates as dual inhibitors of 5-hLOX and COX-2.</t>
  </si>
  <si>
    <t>0045-2068</t>
  </si>
  <si>
    <t>1090-2120</t>
  </si>
  <si>
    <t>JUN 1</t>
  </si>
  <si>
    <t>10.1016/j.bioorg.2025.108398</t>
  </si>
  <si>
    <t>APR 2025</t>
  </si>
  <si>
    <t>WOS:001461585800001</t>
  </si>
  <si>
    <t>Fuentes, B; Cruchaga, M; Núñez, J</t>
  </si>
  <si>
    <t>Fuentes, Benjamin; Cruchaga, Marcela; Nunez, Jonathan</t>
  </si>
  <si>
    <t>Experimental validation of a numerical model for the analysis of erosion depth in coarse sand induced by a dam break of water</t>
  </si>
  <si>
    <t>INTERNATIONAL JOURNAL OF MULTIPHASE FLOW</t>
  </si>
  <si>
    <t>A computational model for studying the scour depth of coarse sand generated by a dam break is presented and validated using data obtained from an original experiment also reported in this work. The experimental study includes sand characterization. Different aspect ratios for the fluid column heights of the dam break are considered to provide data for evaluating how operating parameters affect the evolution of the free surface (water-air interface) and sand erosion (sand interface). The experiments are video recorded, and the opening speeds of the gate, free surface, and scour depths are measured using image processing techniques from the videos registered. The simulations are performed in the framework of an open-source software with the Smoothed Particle Hydrodynamics method (SPH). The coarse sand is described as a non-Newtonian fluid. A unique set of numerical parameters used in modelling is determined to adequately describe the whole set of cases. The experiments demonstrate that the scour of the sand is affected by the aspect ratio of the dam break. Despite the opening speed of the gate experimentally presenting fluctuations, this aspect does not affect the scour of sand in the speed range analysed. The results show that the scour depths of the studied sand increase as the aspect ratio increases. These experimental facts are also observed from the numerical analysis. Moreover, a good statistical agreement is obtained between experimental data and the numerical predictions for the free surface and the scour depth evolutions. These allow us to validate the proposed three-dimensional numerical model.</t>
  </si>
  <si>
    <t>Cruchaga, Marcela/0000-0002-8708-2402; Nunez, Jonathan/0000-0003-2008-5219</t>
  </si>
  <si>
    <t>0301-9322</t>
  </si>
  <si>
    <t>1879-3533</t>
  </si>
  <si>
    <t>10.1016/j.ijmultiphaseflow.2024.105118</t>
  </si>
  <si>
    <t>JAN 2025</t>
  </si>
  <si>
    <t>WOS:001397708500001</t>
  </si>
  <si>
    <t>Cedeño-Rodríguez, MD; Yanez, SJ; Saavedra-Flores, EI; Guzmán, CF; Pina, JC</t>
  </si>
  <si>
    <t>Cedeno-Rodriguez, Mario D.; Yanez, Sergio J.; Saavedra-Flores, Erick I.; Guzman, Carlos Felipe; Pina, Juan Carlos</t>
  </si>
  <si>
    <t>Vibration-Based Damage Prediction in Composite Concrete-Steel Structures Using Finite Elements</t>
  </si>
  <si>
    <t>The prediction of structural damage through vibrational analysis is a critical task in the field of composite structures. Structural defects and damage can negatively influence the load-carrying capacity of the beam. Therefore, detecting structural damage early is essential to preventing catastrophic failures. This study addresses the challenge of predicting damage in composite concrete-steel beams using a vibration-based finite element approach. To tackle this complex task, a finite element model to a quasi-static analysis emulating a four-point pure bending experimental test was performed. Notably, the numerical model equations were carefully modified using the Newton-Raphson method to account for the stiffness degradation resulting from material strains. These modified equations were subsequently employed in a modal analysis to compute modal shapes and natural frequencies corresponding to the stressed state. The difference between initial and damaged modal shape curvatures served as the foundation for predicting a damage index. The approach effectively captured stiffness degradation in the model, leading to observable changes in modal responses, including a reduction in natural frequencies and variations in modal shapes. This enabled the accurate prediction of damage instances during construction, service, or accidental load scenarios, thereby enhancing the structural and operational safety of composite system designs. This research contributes to the advancement of vibration-based methods for damage detection, emphasizing the complexities in characterizing damage in composite structural geometries. Further exploration and refinement of this approach are essential for the precise classification of damage types.</t>
  </si>
  <si>
    <t>Guzmán, Carlos/D-7722-2013; Yanez, Sergio/G-5230-2019; Pina, Juan/AAC-3455-2021</t>
  </si>
  <si>
    <t>Yanez, Sergio/0000-0002-8856-0955; Pina, Juan Carlos/0000-0003-2556-3638</t>
  </si>
  <si>
    <t>10.3390/buildings15020200</t>
  </si>
  <si>
    <t>WOS:001404644700001</t>
  </si>
  <si>
    <t>de Luna, DB</t>
  </si>
  <si>
    <t>de Luna, Daina Bellido</t>
  </si>
  <si>
    <t>Building Power to Shape Labor Policy: Unions, Employee Associations, and Reform in Neoliberal Chile</t>
  </si>
  <si>
    <t>WORK EMPLOYMENT AND SOCIETY</t>
  </si>
  <si>
    <t>0950-0170</t>
  </si>
  <si>
    <t>1469-8722</t>
  </si>
  <si>
    <t>2024 NOV 16</t>
  </si>
  <si>
    <t>10.1177/09500170241297576</t>
  </si>
  <si>
    <t>NOV 2024</t>
  </si>
  <si>
    <t>WOS:001356959300001</t>
  </si>
  <si>
    <t>Ravanal, Y; Gómez, G; Cruz, N</t>
  </si>
  <si>
    <t>Ravanal, Yuri; Gomez, Gabriel; Cruz, Norman</t>
  </si>
  <si>
    <t>Scalar field dark matter around charged black holes</t>
  </si>
  <si>
    <t>In this paper, we investigate the behavior of a massive scalar field dark matter scenarios in the large mass limit around a central Reissner-Nordstr &amp; ouml;m black hole. This study is motivated by observations from the Event Horizon Telescope collaboration, which does not exclude the possibility of the existence of such black holes. Through these inquiries, we uncover that the electric charge may significantly impact the scalar field profile and the density profile in the vicinity of the black hole. For the maximum electric charge allowed by the constraints of the Event Horizon Telescope, the maximum accretion rate decreases by 50% compared to the Schwarszchild case for marginally bound orbits. The maximum accretion rate of the massive scalar field is approximately M (center dot) SFDM 10 - 8 M circle dot yr-1, - 1 , which is significantly lower than the typical baryonic accretion rate commonly found in the literature. This implies that the scalar cloud located at the center of galaxies may have survived until present times.</t>
  </si>
  <si>
    <t>Gomez, Gabriel/MVW-4321-2025</t>
  </si>
  <si>
    <t>Gomez Diaz, Luis Gabriel/0000-0002-3618-9824</t>
  </si>
  <si>
    <t>JUL 18</t>
  </si>
  <si>
    <t>10.1103/PhysRevD.110.023027</t>
  </si>
  <si>
    <t>WOS:001274725100001</t>
  </si>
  <si>
    <t>Chávez-Bravo, C</t>
  </si>
  <si>
    <t>Chavez-Bravo, Cristobal</t>
  </si>
  <si>
    <t>Carmela Jeria and La Alborada, vindication of the feminist working press</t>
  </si>
  <si>
    <t>COMUNICACION Y MEDIOS</t>
  </si>
  <si>
    <t>0716-3991</t>
  </si>
  <si>
    <t>0719-1529</t>
  </si>
  <si>
    <t>WOS:001273937000017</t>
  </si>
  <si>
    <t>Moya, P; Rubio, M</t>
  </si>
  <si>
    <t>Moya, Patricio; Rubio, Manuel</t>
  </si>
  <si>
    <t>Grammar and its teaching: representations of Language Pedagogy students</t>
  </si>
  <si>
    <t>SIGNO Y SENA-REVISTA DEL INSTITUTO DE LINGUISTICA</t>
  </si>
  <si>
    <t>The aim of this research focuses on describing the representations about grammar and its teaching expressed in their discourse by Language Pedagogy students from four universities from the Metropolitan Region of Chile. The methodology adopted is a multiple case study with a qualitative approach. For this purpose, group interviews were conducted with students from four different universities who were in their third and fourth year of their degree. The interview was guided by a semi-structured guideline and the analysis strategy was inductive. Thematic segmentation was carried out in order to identify the associated sub-themes. Then, the characterization by sub-theme was carried out to finally relate and validate the categories that emerged. The results indicate that the teaching of grammar is understood as a disciplinary area that is not associated with the explicit development of skills, which is related to the fact that in the university context it is perceived as a complex discipline whose appropriation requires effort that is experienced, by some students, as an interesting challenge and, by others, as something overwhelming because it involves effort, order and exercise. In any case, they recognize that they have not been taught how to teach grammar, which means that they tend to repeat the model implemented by the teacher when it is evaluated as positive.</t>
  </si>
  <si>
    <t>2314-2189</t>
  </si>
  <si>
    <t>10.34096/sys.n46.15120</t>
  </si>
  <si>
    <t>WOS:001411688700005</t>
  </si>
  <si>
    <t>Cordero, S; Adasme, P; Kaschel, H; Soto, I</t>
  </si>
  <si>
    <t>Cordero, Sergio; Adasme, Pablo; Kaschel, Hector; Soto, Ismael</t>
  </si>
  <si>
    <t>Optimal Design and Coverage for 5G Networks Operating in the mmWave Frequency Spectrum using Mathematical Programming</t>
  </si>
  <si>
    <t>2024 14TH INTERNATIONAL SYMPOSIUM ON COMMUNICATION SYSTEMS, NETWORKS AND DIGITAL SIGNAL PROCESSING, CSNDSP 2024</t>
  </si>
  <si>
    <t>International Symposium on Communication Systems Networks and Digital Signal Processing</t>
  </si>
  <si>
    <t>14th International Symposium on Communication Systems, Networks and Digital Signal Processing (CSNDSP)</t>
  </si>
  <si>
    <t>JUL 17-19, 2024</t>
  </si>
  <si>
    <t>Rome, ITALY</t>
  </si>
  <si>
    <t>This paper presents two mathematical optimization models to solve problems related to the design and planning of 5G wireless communications networks using millimeter wave frequency spectrum. The first one allows for maximizing the number of covered users while minimizing the distances between each pair of base stations, and the distances required to connect each user to a unique base station. In this model, the number of base stations is fixed. The second model allows for optimizing the same objective function as the first one with an additional term used to minimize the total number of base stations required for the coverage. Notice that the problem to be addressed presents a high path loss. Consequently, the transmission distances should be reduced for different coverage transmission radii. Our models assume the existence of line-of-sight (LOS) for the links between the users and the base stations. Finally, we consider 10 instances with a maximum of 50 candidate location sites for the base stations and a maximum of 300 users for radial transmission distances of 150 and 200 meters. Our numerical results show that the proposed models can solve all the instances to optimality in a short CPU time effort.</t>
  </si>
  <si>
    <t>2475-6415</t>
  </si>
  <si>
    <t>979-8-3503-4875-0; 979-8-3503-4874-3</t>
  </si>
  <si>
    <t>10.1109/CSNDSP60683.2024.10636626</t>
  </si>
  <si>
    <t>WOS:001324588800102</t>
  </si>
  <si>
    <t>Bascuñán, XP; Gálvez, D; Cáceres, C; Delgado, L; Santander, P</t>
  </si>
  <si>
    <t>Zimmermann, R; Rodrigues, JC; Simoes, A; Dalmarco, G</t>
  </si>
  <si>
    <t>Pardo Bascunan, Xiomara; Galvez, Daniel; Caceres, Christopher; Delgado, Lorena; Santander, Pavlo</t>
  </si>
  <si>
    <t>Simulation of Productive Processes in Living Labs: A Support Tool for Decision-Making from an Ergonomic Perspective</t>
  </si>
  <si>
    <t>HUMAN-CENTRED TECHNOLOGY MANAGEMENT FOR A SUSTAINABLE FUTURE, VOL 1</t>
  </si>
  <si>
    <t>Springer Proceedings in Business and Economics</t>
  </si>
  <si>
    <t>33rd International Association for the Management of Technology Conference</t>
  </si>
  <si>
    <t>JUL 08-11, 2024</t>
  </si>
  <si>
    <t>Porto, PORTUGAL</t>
  </si>
  <si>
    <t>The ergonomics of workers in production processes has a direct impact on the efficiency and effectiveness of the process. For this reason, various authors have been interested in evaluating multiple physiological factors with the aim of determining actions that generate greater stress in employees in order to prevent accidents and improve production processes. However, evaluating ergonomics in the workplace is not a simple task. This article proposes the use of Living Lab-type laboratories to carry out simulations of production processes and to measure the level of stress and ergonomics of workers while performing their tasks. The goal is to generate a simulation and evaluation protocol that allows for both quantitative and qualitative assessment of worker ergonomics when carrying out an activity, ultimately providing information for process improvement.</t>
  </si>
  <si>
    <t>2198-7246</t>
  </si>
  <si>
    <t>2198-7254</t>
  </si>
  <si>
    <t>978-3-031-72488-6; 978-3-031-72486-2; 978-3-031-72485-5</t>
  </si>
  <si>
    <t>10.1007/978-3-031-72486-2_31</t>
  </si>
  <si>
    <t>WOS:001445604600030</t>
  </si>
  <si>
    <t>Benavides, A; Barraza, F; Valdés, N; Espinoza, D; Imarai, M</t>
  </si>
  <si>
    <t>Benavides, Almendra; Barraza, Felipe; Valdes, Natalia; Espinoza, Daniela; Imarai, Monica</t>
  </si>
  <si>
    <t>ATLANTIC SALMON SURVIVING PISCIRICKETTSIA SALMONIS INFECTION ELICITS A UNIQUE EXPRESSION PROFILE OF CYTOKINES</t>
  </si>
  <si>
    <t>DEVELOPMENTAL AND COMPARATIVE IMMUNOLOGY</t>
  </si>
  <si>
    <t>15th Congress of the International-Society-of-Developmental-and-Comparative-Immunology (ISDCI)</t>
  </si>
  <si>
    <t>AUG 28-SEP 01, 2023</t>
  </si>
  <si>
    <t>Wageningen, NETHERLANDS</t>
  </si>
  <si>
    <t>Int Soc Dev &amp; Comparat Immunol</t>
  </si>
  <si>
    <t>Valdes, Natalia/AAI-8151-2021</t>
  </si>
  <si>
    <t>0145-305X</t>
  </si>
  <si>
    <t>1879-0089</t>
  </si>
  <si>
    <t>WOS:001058416200036</t>
  </si>
  <si>
    <t>Huiliñir, C; Pagés-Díaz, J; Vargas, G; Vega, S; Lauzurique, Y; Palominos, N</t>
  </si>
  <si>
    <t>Huilinir, Cesar; Pages-Diaz, Jhosane; Vargas, Gustavo; Vega, Sylvana; Lauzurique, Yeney; Palominos, Nicolas</t>
  </si>
  <si>
    <t>Microaerobic condition as pretreatment for improving anaerobic digestion: A review</t>
  </si>
  <si>
    <t>BIORESOURCE TECHNOLOGY</t>
  </si>
  <si>
    <t>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t>
  </si>
  <si>
    <t>Huilinir, Cesar/IYS-6899-2023; Pagés Díaz, Jhosané/ABD-9445-2021; Vega, Sylvana/LTZ-5796-2024</t>
  </si>
  <si>
    <t>Vargas Morales, Gustavo Adolfo/0000-0001-5353-1743; Huilinir, Cesar/0000-0002-3487-684X; Vega, Sylvana/0000-0001-7126-4191; Lauzurique Guerra, Yeney/0000-0003-1354-8721; Pages Diaz, Jhosane/0000-0002-2956-5705</t>
  </si>
  <si>
    <t>0960-8524</t>
  </si>
  <si>
    <t>1873-2976</t>
  </si>
  <si>
    <t>10.1016/j.biortech.2023.129249</t>
  </si>
  <si>
    <t>JUN 2023</t>
  </si>
  <si>
    <t>WOS:001024582800001</t>
  </si>
  <si>
    <t>Piñones, P; Derpich, I; Venegas, R</t>
  </si>
  <si>
    <t>Pinones, Pablo; Derpich, Ivan; Venegas, Ricardo</t>
  </si>
  <si>
    <t>Circular Economy 4.0 Evaluation Model for Urban Road Infrastructure Projects, CIROAD</t>
  </si>
  <si>
    <t>This paper provides a multicriteria evaluation model, based on the AHP methodology for the evaluation of the Circular Economy 4.0's, which develops the metric called Circularity indicator for urban road projects (CIROAD). The main contribution of this work is to provide a measurement scale specifically designed for urban road infrastructure projects. It is a useful tool to assess the degree of implementation of the principles of the Circular Economy (CE) and the Fourth Industrial Revolution (I4.0) in an integrated manner in these types of projects, generating valuable information for all stakeholders and contributing to the objective of accelerating the transition towards a Circular Economy 4.0 model in the construction industry. The model is defined with twenty-five sub-criteria and seven general criteria, which are: (1) Circular Materials; (2) Circular Design Approaches; (3) Circular Construction Approaches; (4) Circular Operation Approaches; (5) Approaches to Deconstruction and Resource Recovery; (6) Social Value Creation; and (7) Economic Performance. The developed CIROAD model was applied to three projects in the urban transport area of the Chilean Ministry of Housing and Urbanism (MINVU/SERVIU) in the Santiago Metropolitan Region (RM). In these three projects, low performance was observed in terms of CIROAD scores (between 21% and 28% of a maximum of 100%); that is, there is a significant opportunity for improvement by incorporating more circular practices in the development of projects by the studied organization. To accelerate the transition to a circular economy model in the development of its projects, it is proposed that the organization prioritize improving the following circular practices (in order of importance): (1) the design of pavements with environmental criteria; (2) preserving value; (3) conducting cost-benefit analysis (CBA) of waste management; (4) environmental declaration of materials (EPD); (5) the used of recycled materials; and (6) BIM-based design. Finally, the suggestion for the organization in charge of these projects is to use the developed CIROAD model as a tool to support decision making regarding the prioritization of its project portfolio. That is, the organization should use CIROAD to generate a ranking score for each project and allocate resources for investment in the initiatives that show the best circularity performances, as estimated by CIROAD.</t>
  </si>
  <si>
    <t>Venegas, Ricardo/U-6376-2019; derpich, ivan/T-1160-2019</t>
  </si>
  <si>
    <t>Derpich, Ivan/0000-0001-9759-7285</t>
  </si>
  <si>
    <t>10.3390/su15043205</t>
  </si>
  <si>
    <t>WOS:000940595600001</t>
  </si>
  <si>
    <t>Franulic, A; Rubio, M</t>
  </si>
  <si>
    <t>Franulic, Andrea; Rubio, Manuel</t>
  </si>
  <si>
    <t>Female condition in the chilean feministstudent movement of 2018</t>
  </si>
  <si>
    <t>LOGOS-REVISTA DE LINGUISTICA FILOSOFIA Y LITERATURA</t>
  </si>
  <si>
    <t>The purpose of this article is to establish the characteristics of the female con- dition underlying in the meaning of being a woman from a female group of college students' discourse which participated in the chilean feminist student movement of 2018. This characterization is made from the feminist analysis of discourse based on the sexual difference thought and uses the concept of ideologeme proposed by Ker- brat-Orecchioni (1983). The methodology used is a qualitative study oriented to explain the meaning of being a woman in the discourse expressed by 14 students, all of whom a semi-structured interview was applied to. The results indicate that the female condi- tion is expressed in the ideologemes of the idea of equality between men and women and in what is represented by identity politics (Sartori, 1996). In conclusion, the gender theory that young female students have access to when expressing their freedom con- tradictorily denies it because it replaces the feminine sexual difference, free of stereo- types, with the female condition that, from a discourse that appears to be progressive, can be abolished by equating women to men or multiplying gender identities.</t>
  </si>
  <si>
    <t>0716-7520</t>
  </si>
  <si>
    <t>0719-3262</t>
  </si>
  <si>
    <t>WOS:001137454700010</t>
  </si>
  <si>
    <t>Lozano-Steinmetz, F; Martínez, VA; Vasco, DA; Sepúlveda-Mualin, A; Singh, DP</t>
  </si>
  <si>
    <t>Lozano-Steinmetz, Felipe; Martinez, Victor A.; Vasco, Diego A.; Sepulveda-Mualin, Alonso; Patrap Singh, Dinesh</t>
  </si>
  <si>
    <t>The Effect of Ag-Decoration on rGO/Water Nanofluid Thermal Conductivity and Viscosity</t>
  </si>
  <si>
    <t>NANOMATERIALS</t>
  </si>
  <si>
    <t>Carbon-based nanomaterials have a high thermal conductivity, which can be exploited to prepare nanofluids. Graphene is a hydrophobic substance, and consequently, graphene-based nanofluid stability is improved by adding surfactants. An attractive alternative is the decoration of reduced graphene oxide (rGO) with metallic materials to improve the thermal conductivity without affecting the stability of nanofluids. This study focuses on the synthesis and characterization of rGO/Ag (0.1 wt.%) aqueous nanofluids. Moreover, the effects of the Ag concentration (0.01-1 M) on the thermal conductivity and viscosity during the synthesis of rGO/Ag composite are analyzed. The nanofluid thermal conductivity showed increases in relation to the base fluid, the most promising being 28.43 and 26.25% for 0.1 and 1 M of Ag, respectively. Furthermore, the nanofluids were Newtonian in the analyzed range of shear rates and presented a moderate increase (&lt;11%) in viscosity. Aqueous nanofluids based on rGO/Ag nanocomposites are a potential alternative for applications as heat transfer fluids.</t>
  </si>
  <si>
    <t>Vasco, Diego/Y-2934-2019; SINGH, DINESH/A-2509-2011</t>
  </si>
  <si>
    <t>Lozano-Steinmetz, Felipe/0000-0002-5752-285X; SINGH, DINESH/0000-0002-2893-7749; Martinez, Victor A./0000-0002-1750-8180; Vasco, Diego Andres/0000-0001-7456-4683</t>
  </si>
  <si>
    <t>2079-4991</t>
  </si>
  <si>
    <t>10.3390/nano12071095</t>
  </si>
  <si>
    <t>WOS:000781323000001</t>
  </si>
  <si>
    <t>Beltramin, JB</t>
  </si>
  <si>
    <t>Musicoguia</t>
  </si>
  <si>
    <t>Brower Beltramin, Jorge</t>
  </si>
  <si>
    <t>Salvador Dali's paranoid/critical perspective as a methodology of analysis and visual creation</t>
  </si>
  <si>
    <t>4TH INTERDISCIPLINARY AND VIRTUAL CONFERENCE ON ARTS IN EDUCATION, CIVAE 2022</t>
  </si>
  <si>
    <t>CIVAE</t>
  </si>
  <si>
    <t>4th Interdisciplinary and Virtual Conference on Arts in Education</t>
  </si>
  <si>
    <t>MAY 11-12, 2022</t>
  </si>
  <si>
    <t>978-84-124511-5-3</t>
  </si>
  <si>
    <t>WOS:001435673500045</t>
  </si>
  <si>
    <t>Barraza, JJM</t>
  </si>
  <si>
    <t>Martinez Barraza, Juan Jose</t>
  </si>
  <si>
    <t>Local merchandise trade in Santiago de Chile, 1773-1778</t>
  </si>
  <si>
    <t>REVISTA DE HISTORIA ECONOMICA-JOURNAL OF IBERIAN AND LATIN AMERICAN ECONOMIC HISTORY</t>
  </si>
  <si>
    <t>This article deals with the trade of local merchandise in Santiago's district (Corregimiento) from 1773 to 1778, based on tributary sources. It contributes to the debate on the organization of the colonial internal market. The main traded merchandise, which represented about 80% of Chilean exports, came from the cattle exploitation that was developed in the haciendas around Santiago, whose cattle stocks were complemented from neighboring provinces in the Andes. The largest destination of this trade, in which big merchants acted together with a thousand minor merchants, were the retail channels and the artisan sectors supplying the population of Santiago. The impulse of this demand on the domestic market was so dynamic that it shows a degree of regional autonomy higher than what it is traditionally assumed for the Chilean economy in the late colonial period.</t>
  </si>
  <si>
    <t>Martínez, Juan/S-5746-2019</t>
  </si>
  <si>
    <t>0212-6109</t>
  </si>
  <si>
    <t>2041-3335</t>
  </si>
  <si>
    <t>PII S0212610919000156</t>
  </si>
  <si>
    <t>10.1017/S0212610919000156</t>
  </si>
  <si>
    <t>WOS:000684596000006</t>
  </si>
  <si>
    <t>Zamorano, S</t>
  </si>
  <si>
    <t>Zamorano, S.</t>
  </si>
  <si>
    <t>Approximate Controllability from the Exterior for a Nonlocal Sobolev-Galpern Type Equation</t>
  </si>
  <si>
    <t>MATHEMATICAL NOTES</t>
  </si>
  <si>
    <t>In this paper, we study the approximate control problem from the exterior of a nonlocal equation of Sobolev-Galpern type, specifically the Barenblatt-Zheltov-Kochina equation, involving the fractional Laplace operator of order s is an element of (0, 1). We prove that the system under consideration is approximate controllable at any timeT &gt; 0.</t>
  </si>
  <si>
    <t>Zamorano, Sebastián/AAY-2547-2020</t>
  </si>
  <si>
    <t>0001-4346</t>
  </si>
  <si>
    <t>1573-8876</t>
  </si>
  <si>
    <t>10.1134/S0001434621090315</t>
  </si>
  <si>
    <t>WOS:000711049900031</t>
  </si>
  <si>
    <t>Donoso, IG</t>
  </si>
  <si>
    <t>Goicovic Donoso, Igor</t>
  </si>
  <si>
    <t>Instability, Conflict and political violence in Chile, 1925-1941</t>
  </si>
  <si>
    <t>HISTORIA CARIBE</t>
  </si>
  <si>
    <t>In the early 1920s, Chile experienced institutional instability due to the oligarchic regime crisis and the political consolidation of class movements. This crisis, which extended right until the arrival to power of the Frente Popular (1938), escalated to increasing levels of violence, involving both antagonist groups and ideologically related movements. This article analyses the circumstances and actors that shaped the scenarios of political conflict in Chile and identifies the dynamics that violence acquired.</t>
  </si>
  <si>
    <t>0122-8803</t>
  </si>
  <si>
    <t>2322-6889</t>
  </si>
  <si>
    <t>10.15648/hc.39.2021.2960</t>
  </si>
  <si>
    <t>WOS:000756721200004</t>
  </si>
  <si>
    <t>Inzunza, L; Plyushchay, MS</t>
  </si>
  <si>
    <t>Inzunza, Luis; Plyushchay, Mikhail S.</t>
  </si>
  <si>
    <t>Conformal bridge in a cosmic string background</t>
  </si>
  <si>
    <t>JOURNAL OF HIGH ENERGY PHYSICS</t>
  </si>
  <si>
    <t>Hidden symmetries of non-relativistic so (2, 1) congruent to sl(2, R) invariant systems in a cosmic string background are studied using the conformal bridge transformation. Geometric properties of this background are analogous to those of a conical surface with a deficiency/excess angle encoded in the geometrical parameter ff, determined by the linear positive/negative mass density of the string. The free particle and the harmonic oscillator on this background are shown to be related by the conformal bridge transformation. To identify the integrals of the free system, we employ a local canonical transformation that relates the model with its planar version. The conformal bridge transformation is then used to map the obtained integrals to those of the harmonic oscillator on the cone. Well-defined classical integrals in both models exist only at ff = q/k with q, k = 1, 2,..., which for q &gt; 1 are higher-order generators of finite nonlinear algebras. The systems are quantized for arbitrary values of ff; however, the well-defined hidden symmetry operators associated with spectral degeneracies only exist when ff is an integer, that reveals a quantum anomaly.</t>
  </si>
  <si>
    <t>Inzunza, Luis/KDM-9912-2024</t>
  </si>
  <si>
    <t>Inzunza, Luis/0000-0002-3659-6956</t>
  </si>
  <si>
    <t>1029-8479</t>
  </si>
  <si>
    <t>MAY 19</t>
  </si>
  <si>
    <t>10.1007/JHEP05(2021)165</t>
  </si>
  <si>
    <t>WOS:000658363200002</t>
  </si>
  <si>
    <t>Borges-Martínez, M; Montenegro-Pohlhammer, N; Cárdenas-Jirón, G</t>
  </si>
  <si>
    <t>Borges-Martinez, Merlys; Montenegro-Pohlhammer, Nicolas; Cardenas-Jiron, Gloria</t>
  </si>
  <si>
    <t>The bimetallic and the anchoring group effects on both optical and charge transport properties of hexaphyrin amethyrin</t>
  </si>
  <si>
    <t>NEW JOURNAL OF CHEMISTRY</t>
  </si>
  <si>
    <t>In the present work, we performed a theoretical study at the density functional theory (DFT) level of both optical and charge transport properties in a series of molecular junctions consisting of an expanded porphyrin such as hexaphyrin (1.0.0.1.0.0) named amethyrin (free base FB) and its Zn(ii)- and Cu(ii)-bimetallic derivatives with four different anchoring groups (ethyl, phenyl, ethynyl, direct). After a calibration procedure with five density functionals, the electronic absorption spectra were computed (TPSSh/def2-TZVP) with time-dependent DFT (TD-DFT). The bimetalation produces a decrease in both Q and Soret bands' intensity and a red-shift in the absorption. Still, the effect is more significant for the singlet Cu(ii) systems where the Q bands are shifted to near-infrared (similar to 900 nm). It means that they could be attractive for solar cells by the absorption at the longest wavelength. DFT and wavefunction-based calculations for the coupling constant (J) demonstrated a ferromagnetic behavior for Cu(ii) systems, which is coherent with the higher stability of the Cu(ii) triplet compared to the singlet. The differential conductance and the I-V profiles of each system are calculated using DFT and nonequilibrium Green's function (NEGF) formalism to rationalize the charge transport mechanisms. It was found that the conductance does not drastically change with both Zn(ii) and Cu(ii) metalation, being larger for the latter, but it is strongly dependent on the anchoring group (ethyl &lt; phenyl &lt; ethynyl &lt; direct). In Cu(ii) bridge junctions, in both high and low spin configurations, the antiferromagnetically coupled systems exhibit an increase in conductance compared to the ferromagnetic ones. The important difference (around 100-200%) in the total current calculated between the triplet and the singlet configurations with ethynyl, for the voltage range of 0.1-0.5 V, suggests that Cu(ii)-amethyrins could have applications as a molecular switch operated by the application of an external magnetic field.</t>
  </si>
  <si>
    <t>Montenegro-Pohlhammer, Nicolas/HJZ-2914-2023; Cardenas-Jiron, Gloria/H-9508-2012</t>
  </si>
  <si>
    <t>Montenegro-Pohlhammer, Nicolas/0000-0003-3574-2955; Cardenas-Jiron, Gloria/0000-0003-4305-8088; Borges, Merlys/0000-0001-8130-1718</t>
  </si>
  <si>
    <t>1144-0546</t>
  </si>
  <si>
    <t>1369-9261</t>
  </si>
  <si>
    <t>APR 14</t>
  </si>
  <si>
    <t>10.1039/d1nj00091h</t>
  </si>
  <si>
    <t>MAR 2021</t>
  </si>
  <si>
    <t>WOS:000632588500001</t>
  </si>
  <si>
    <t>Pasmanik, D; Jorquera, C; Garín-Rozas, S; Díaz, X</t>
  </si>
  <si>
    <t>Gonzalez, RS; Barraza, GM; Magana, FI; Calquin, DC; Castillo, D</t>
  </si>
  <si>
    <t>Pasmanik, Diana; Jorquera, Carolina; Garin-Rozas, Stephanie; Diaz, Ximena</t>
  </si>
  <si>
    <t>Educational psychology in the school system in times of global crisis: notes for training and work</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</si>
  <si>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</si>
  <si>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diaz, ximena/KUD-4752-2024</t>
  </si>
  <si>
    <t>978-956-303-478-3</t>
  </si>
  <si>
    <t>WOS:000651158400013</t>
  </si>
  <si>
    <t>THE SOCIAL QUESTION MUST END! THE DICTATORSHIP OF CARLOS IBANEZ IN A POPULIST KEY, 1927-1931</t>
  </si>
  <si>
    <t>This article explores the feasibility of including the military dictatorship of General Carlos Ibanez del Campo (Chile, 1927-1931) among Latin America's classic mid-twentieth century populist experiences. To that end, it focuses on its policies of labor legislation and working-class appeal, aimed at mitigating social conflicts through institutional co-optation and the expansion of State functions, invoking the restoration of a compromised national unity. It uses administrative and journalistic sources from the time and concludes that ibanista strategies managed to attract considerable popular support, thus making them comparable, in terms of both its aims and its results, to more extensively studied cases of classic populism.</t>
  </si>
  <si>
    <t>WOS:000612332100008</t>
  </si>
  <si>
    <t>Faure, A</t>
  </si>
  <si>
    <t>Faure, Antoine</t>
  </si>
  <si>
    <t>Did time politicize? Essay about chronopolitical battles in Chilean October</t>
  </si>
  <si>
    <t>This essay proposes a reading of the Chilean October by questioning the politicization of time, both as the object of the struggles, protest strategy and conservative counter-offensive. The objective is to understand what is at stake in social conflict, as chronopolitical battles between temporalities of order (continuity) and temporalities of transformation (the seeds of a discontinuity that opens up another future). It is argued that it is essential to problematize the current relationship to time, specifically the acceleration of life and the social (de)synchronizations that it implies, as well as the place and sense of the future in the current political conflict. In order to apprehend the chronopolitical battles inherent to these social mobilizations, the contribution of the approach is first proposed, before circumscribing the temporal keys of the demands. Next, the social conflict is analysed as battles of temporalities, based on the concept of momentum. Finally, the question of the social reappropriation of the future is summarized.</t>
  </si>
  <si>
    <t>Faure, Antoine/M-7944-2019</t>
  </si>
  <si>
    <t>Faure, Antoine/0000-0002-9140-5980</t>
  </si>
  <si>
    <t>WOS:000583662500003</t>
  </si>
  <si>
    <t>Borquez, J; Chavez, H; Barbosa, KA; Jamett, M; Acuna, R</t>
  </si>
  <si>
    <t>Borquez, Javier; Chavez, Hector; Barbosa, Karina A.; Jamett, Marcela; Acuna, Rodrigo</t>
  </si>
  <si>
    <t>A Simple Distribution Energy Tariff under the Penetration of DG</t>
  </si>
  <si>
    <t>ENERGIES</t>
  </si>
  <si>
    <t>In a scenario where distributed generation infrastructure is increasing, the impact of that integration on electricity tariffs has captured particular attention. As the distribution sector is mainly regulated, tariff systems are defined by the authority. Then, tariffs must be simple, so the methodology, criteria, and procedures can be made public to ensure transparency and responsiveness of the customers to price signals. In the aim of simplicity, tariff systems in current practices mostly consist of volumetric charges. Hence, the reduction of the energy purchased from the distribution network jeopardizes the ability of the tariff system to ensure recovery of the total regulated costs. Although various works have captured this concern, most proposals present significant mathematical complexity, contrasting with the simplicity of current practices and limiting its regulatory applicability. This work develops a tariff system that captures the basic elements of distribution systems, trying to maintain the simplicity of current practices, ensuring recovery of the total regulated cost under the penetration of distributed generation, and incentivizing through price signals operational efficiency. A simulation will be presented to discuss numerical results.</t>
  </si>
  <si>
    <t>Jamett, Marcela/HLH-3427-2023; Borquez, Javier/MAI-5197-2025; Barbosa, Karina/A-2236-2014</t>
  </si>
  <si>
    <t>1996-1073</t>
  </si>
  <si>
    <t>10.3390/en13081910</t>
  </si>
  <si>
    <t>WOS:000538041800053</t>
  </si>
  <si>
    <t>Epistemological contributions for understanding the concepts of governability and governance</t>
  </si>
  <si>
    <t>TECNOLOGIA Y SOCIEDAD: APORTES PARA EL DESARROLLO DE POLITICAS EN CHILE, VOL 2</t>
  </si>
  <si>
    <t>The concepts of governability and governance emerge today with great relevance in the field of political theories and the various ideas and contributions in relation to conceptual enrichment and practice of democracy worldwide. This work provides a course reading on the conceptual geography of the terms governability and governance, exposing significant in that route links with other fields of meaning and concepts within them, which enable a better understanding of these terms. Finally, we bring a rereading from the epistemological basis of complexity to enrich the meaning of governability and governance concepts. This contribution, from a epistemological dimension epistemic contributes not only to increase the semantic density of concepts but also provides a form of knowledge whose effect goes beyond the theoretical level, projecting into public policies and their implementation in specific societies.</t>
  </si>
  <si>
    <t>978-956-6095-05-7</t>
  </si>
  <si>
    <t>WOS:000608874800002</t>
  </si>
  <si>
    <t>González, AC; Lillo, J; Inostroza-Ponta, M; Villalobos-Cid, M</t>
  </si>
  <si>
    <t>Carlier Gonzalez, Angelo; Lillo, Jose; Inostroza-Ponta, Mario; Villalobos-Cid, Manuel</t>
  </si>
  <si>
    <t>Evaluating the categorisation of the public hospitals in Chile according to case-mix complexity: a genetic algorithm approach</t>
  </si>
  <si>
    <t>2020 39TH INTERNATIONAL CONFERENCE OF THE CHILEAN COMPUTER SCIENCE SOCIETY (SCCC)</t>
  </si>
  <si>
    <t>39th International Conference of the Chilean-Computer-Science-Society (SCCC)</t>
  </si>
  <si>
    <t>NOV 16-20, 2020</t>
  </si>
  <si>
    <t>Univ Catolica Norte, ELECTR NETWORK</t>
  </si>
  <si>
    <t>Chilean Comp Sci Soc,IEEE Chile Sect C Chapter</t>
  </si>
  <si>
    <t>Univ Catolica Norte</t>
  </si>
  <si>
    <t>Villalobos-Cid, Manuel/AFK-0866-2022; Inostroza-Ponta, Mario/G-7548-2012</t>
  </si>
  <si>
    <t>Villalobos-Cid, Manuel/0000-0002-1145-2016</t>
  </si>
  <si>
    <t>978-1-7281-8328-2</t>
  </si>
  <si>
    <t>WOS:000848755600081</t>
  </si>
  <si>
    <t>Candia, JG; Stefanin, GT; Petrasic, VR</t>
  </si>
  <si>
    <t>Candia, JG</t>
  </si>
  <si>
    <t>Gonzalez Candia, Julio; Tomic Stefanin, Gerda; Roa Petrasic, Veronica</t>
  </si>
  <si>
    <t>ASSESSMENT LEVEL OF ACHIEVEMENT OF THE GRADUATE PROFILE OF THE MASTER IN INNOVATION MANAGEMENT AND TECHNOLOGICAL ENTREPRENEURSHIP ACCORDING TO THE PERCEPTION OF GRADUATES AND EMPLOYERS AND/OR DIRECT SUPERVISORS.</t>
  </si>
  <si>
    <t>IMPACTO EN EL SABER Y SENTIR DOCENTE: NUEVAS TENDENCIAS Y EXPERIENCIAS SIGNIFICATIVAS EN TEMATICAS DE EDUCACION SUPERIOR, VOL 3</t>
  </si>
  <si>
    <t>Within the framework of the first self-evaluation process with a view to the accreditation of the Master in Innovation Management and Technological Entrepreneurship (MAGIET), a study was developed to collect and systematize evidence regarding the level of achievement of the declared graduation profile. This professional postgraduate program was implemented from the second semester of 2015 at the Technological Faculty of Universidad de Santiago de Chile. Based on a perception survey answered by the graduates and a questionnaire answered by the employers and/or direct supervisors of the graduates, important results were obtained that have allowed the management team to verify the level of compliance of each of the integral performances that form the graduation profile, reflect on the nature of the program and give feedback, from the perspective of the key actors of the program community, the training process in reference.</t>
  </si>
  <si>
    <t>978-956-6095-00-2; 978-956-303-351-9</t>
  </si>
  <si>
    <t>WOS:000608842500010</t>
  </si>
  <si>
    <t>Tonacca, LS; Ramírez, CD</t>
  </si>
  <si>
    <t>Saez Tonacca, Luis; Diaz Ramirez, Carlos</t>
  </si>
  <si>
    <t>Bases to a food policy in Chile</t>
  </si>
  <si>
    <t>The competitiveness of the production of table grapes for export in Chile is affected by the concern of consumers about the water consumption in production processes. The objective of this work was to determine productive factors associated with the level of eco-efficiency in the water consumption for irrigation in a table grapes production. The eco-efficiency level was determined from the proportion of blue water footprint on the gray water footprint calculated from the productive process, which were quantified in 12 production units located in the Commune of Placilla, O'Higgins Region, Central Valley of Chile. The results show a positive correlation between the eco-efficiency level and yield (kg/plant), while other factors such as plants density and nitrogen dose were not significantly correlated with eco-efficiency. Likewise, yield and Nitrogen quantity applied to the crop are parameters that predict the eco-efficiency value of the production process. In conclusion, the yield of the crop together with the use of nitrogen are specific indicators of the level of eco-efficiency in the consumption of water for irrigation, therefore, any management practice aimed at increasing yield or decreasing nitrogen fertilization should improve the value of eco- efficiency of water consumption reached in the productive process.</t>
  </si>
  <si>
    <t>WOS:000608874800006</t>
  </si>
  <si>
    <t>Valdebenito, HV; Barrientos, DM; Bravo, EV</t>
  </si>
  <si>
    <t>Venegas Valdebenito, Hernan; Morales Barrientos, Diego; Videla Bravo, Enzo</t>
  </si>
  <si>
    <t>Housing for the new industrial worker: Businessmen and urban regulation as a practice of social hygiene in Chile, 1930-1940</t>
  </si>
  <si>
    <t>AYER</t>
  </si>
  <si>
    <t>In Chile, several industrial initiatives developed a systematic and intense policy towards worker housing in the 1930s. The Manufacturera de Papeles in Puente Alto and the cement company La Calera built modern micro-urbanised neiehbourhoods where workers lived in hygienic houses. As a result, workers were caught in an extensive network of social control in which families were subject to employer surveillance. This article analyses the different debates about working class housing and the desire for reform within the field of social hygienism. By so doing, we examine the necessary intellectual matrix addressing the availability, orientation and the landscape of some of the working-class neighbourhoods that came into existence between 1930 and 1940.</t>
  </si>
  <si>
    <t>1134-2277</t>
  </si>
  <si>
    <t>2255-5838</t>
  </si>
  <si>
    <t>WOS:000749836700008</t>
  </si>
  <si>
    <t>Campodonico, JF; Fierro, A</t>
  </si>
  <si>
    <t>Campodonico, Juan F.; Fierro, Andres</t>
  </si>
  <si>
    <t>Pseudoamycle polylepisae gen. et sp. nov., a fulgorid from the highlands of Northern Chile (Hemiptera: Fulgoridae)</t>
  </si>
  <si>
    <t>ZOOTAXA</t>
  </si>
  <si>
    <t>Pseudoamycle polylepisae gen. et sp. nov. is described from northernmost Chile (Arica and Parinacota Region). It is characterized by the small and brown body, head with no preocular flange, cephalic process porrect and dorsoventrally compressed, dorsal surface from lateral view not angulate at level of eyes, eyes round, tegmina concolorous and vein MP of tegmen pectinate. The new taxon was found to be associated with Polyepis rugulosa Bitter (Rosaceae).</t>
  </si>
  <si>
    <t>Campodonico, Juan F/R-6266-2017</t>
  </si>
  <si>
    <t>Campodonico, Juan F/0000-0002-6685-9526</t>
  </si>
  <si>
    <t>1175-5326</t>
  </si>
  <si>
    <t>1175-5334</t>
  </si>
  <si>
    <t>10.11646/zootaxa.4544.4.9</t>
  </si>
  <si>
    <t>WOS:000455659500009</t>
  </si>
  <si>
    <t>Espinoza, D; Valenzuela, B; Modak, B</t>
  </si>
  <si>
    <t>Espinoza, Daniela; Valenzuela, Beatriz; Modak, Brenda</t>
  </si>
  <si>
    <t>Immunostimulatory activity in mammalian cells of 3,5-dihydroxy-7-methoxyflavanone ((-)-alpinone) isolated from Heliotropium huascoense resinous exudate</t>
  </si>
  <si>
    <t>BOLETIN LATINOAMERICANO Y DEL CARIBE DE PLANTAS MEDICINALES Y AROMATICAS</t>
  </si>
  <si>
    <t>The flavonoid 3,5-dihydroxy-7-methoxyflavanone ((-)-alpinone) isolated from sticky resinous exudate of Heliotropium huascoense was evaluated as immunostimulatory in mammalian cells. Preliminary observations had showed that (-)-alpinone had increased the expression levels of pro-inflammatory cytokine transcripts in salmonid. Due to high morbidity and mortality that infectious diseases cause in humans, we evaluate the effect of (-)-alpinone as an immunostimulant in mammalian cells. Reactive oxygen species (ROS) are produced by macrophages activators for the destruction of pathogens; we evaluated (-)-alpinone effect in ROS generation and the proliferation of macrophages. The results showed that proliferation in Raw 264.7 cells treated with 10 and 25 mu g/mL of (-)-alpinone had a significant increase in macrophage proliferation. In relation to ROS formation, cells treated with 1 and 5 mu g/mL of (-)-alpinone, induce ROS formation in macrophages.</t>
  </si>
  <si>
    <t>0717-7917</t>
  </si>
  <si>
    <t>WOS:000417350300006</t>
  </si>
  <si>
    <t>Verdejo, H; Awerkin, A; Becker, C; Olguin, G</t>
  </si>
  <si>
    <t>Verdejo, Humberto; Awerkin, Almendra; Becker, Cristhian; Olguin, Gabriel</t>
  </si>
  <si>
    <t>Statistic linear parametric techniques for residential electric energy demand forecasting. A review and an implementation to Chile</t>
  </si>
  <si>
    <t>RENEWABLE &amp; SUSTAINABLE ENERGY REVIEWS</t>
  </si>
  <si>
    <t>In operational and planning studies in power electric distribution systems, one of the most important tasks is to quantify the evolution of the system. In particular, it is necessary to be able to measure the growth of electrical demand, with special attention to residential consumption. For that reason, it is fundamental to predict its future values. Considering the availability of real measure data, statistic parametric methods are widely used to describe and forecast those residential loads. This paper reviews the principal statistical linear parametric methods and implements four of them to analyse real measure data from Chilean systems. Additionally, those methods are compared among them and the performance of a non-tested continuous approach based on diffusion processes can be evaluated. In each case, the parametric adjustment and the validation methods are explained.</t>
  </si>
  <si>
    <t>1364-0321</t>
  </si>
  <si>
    <t>10.1016/j.rser.2017.01.110</t>
  </si>
  <si>
    <t>WOS:000401492900037</t>
  </si>
  <si>
    <t>Urrea, C; Morales, C; Kern, J</t>
  </si>
  <si>
    <t>Urrea, Claudio; Morales, Claudio; Kern, John</t>
  </si>
  <si>
    <t>Implementation of error detection and correction in the Modbus-RTU serial protocol</t>
  </si>
  <si>
    <t>INTERNATIONAL JOURNAL OF CRITICAL INFRASTRUCTURE PROTECTION</t>
  </si>
  <si>
    <t>Modbus-RTU is currently one of the most widely-used industrial communications protocols. Modbus-RTU is an old protocol - it was developed in 1979 - and has certain limitations with regard to modem automation and control systems. One of the major limitations is that the protocol does not have any mechanisms for ensuring the integrity of transmitted data. To address the limitation, this paper presents a method for recovering corrupted frames due to transmission errors in Modbus-RTU serial communications while retaining complete compatibility with the protocol. The method uses forward error correction codes that add parity information in time windows during which the communications bus is in a rest state. The method complies with the protocol definitions and facilitates the extension of Modbus-RTU characteristics while maintaining compatibility with installed devices and other industrial equipment. (C) 2016 Elsevier B.V. All rights reserved.</t>
  </si>
  <si>
    <t>1874-5482</t>
  </si>
  <si>
    <t>2212-2087</t>
  </si>
  <si>
    <t>10.1016/j.ijcip.2016.07.001</t>
  </si>
  <si>
    <t>WOS:000389101700004</t>
  </si>
  <si>
    <t>Segura, RA; Pizarro, JA; Oyarzun, MP; Castillo, AD; Díaz, KJ; Placencio, AB</t>
  </si>
  <si>
    <t>Segura, Rodrigo A.; Pizarro, Jaime A.; Oyarzun, Maria P.; Castillo, Alejandra D.; Diaz, Karina J.; Placencio, Alan B.</t>
  </si>
  <si>
    <t>Determination of Lead and Cadmium in Water Samples by Adsorptive Stripping Voltammetry Using a Bismuth film/1-Nitroso-2-Napthol/Nafion Modified Glassy Carbon Electrode</t>
  </si>
  <si>
    <t>The application and validation of a glassy carbon electrode modified with Nafion, 1-nitroso-2-naphthol and bismuth film (GC/NF-NN/BiFE) was studied using adsorptive stripping voltammetry (AdSV) for the determination of Pb2+ and Cd2+ in tap water. The parameters studied and optimized were pH, 1-nitroso-2-naphthol concentration (C-NN), Nafion concentration (C-NF), adsorption potential (E-acc) and adsorption time (t(acc)). Optimal conditions were pH 4.5 (acetate buffer solution 0.10 mol L-1); E-acc: -1.30 V; t(acc): 120 s; C-NN : 0.10% w/v, C-NF: 0.50 wt %. The detection and quantification limits were 0.08 and 0.29 mu g L-1 for Pb2+ and 0.07 and 0.24 mu g L-1 for Cd2+, with a linear range of 10 to 70 mu g L-1. Certified reference material (ICP Multi Element Standard) and synthetic samples were determined to validate the methodology, with satisfactory results. The stripping voltammetry method was tested on tap water.</t>
  </si>
  <si>
    <t>Segura, Rodrigo/J-6696-2016</t>
  </si>
  <si>
    <t>Oyarzun, Maria Paz/0000-0001-6477-3385; Pizarro, Jaime/0000-0002-0122-1847</t>
  </si>
  <si>
    <t>WOS:000371091400066</t>
  </si>
  <si>
    <t>Valenzuela, B; Obreque, J; Soto-Aguilera, S; Maisey, K; Imarai, M; Modak, B</t>
  </si>
  <si>
    <t>Valenzuela, Beatriz; Obreque, Javiera; Soto-Aguilera, Sarita; Maisey, Kevin; Imarai, Monica; Modak, Brenda</t>
  </si>
  <si>
    <t>Key cytokines of adaptive immunity are differentially induced in rainbow trout kidney by a group of structurally related geranyl aromatic derivatives</t>
  </si>
  <si>
    <t>FISH &amp; SHELLFISH IMMUNOLOGY</t>
  </si>
  <si>
    <t>Filifolinone is a semi-synthetic terpenoid derivative obtained from Heliotropium filifolium that increases the expression level of pro-inflammatory and anti-inflammatory cytokines in kidney cells of salmon. Because cytokines are produced in response to a foreign organism and by distinct other signals modulating immune responses, we further studied the potential immunomodulatory effects of a group of structural related terpenoid derivatives from H. filifolium on salmonids to determine the relationship between the chemical structure of the derivatives and their ability to modify cytokine expression and the lymphoid content. The resin and four 3H-spiro 1-benzofuran-2,1'-cyclohexane derivatives were tested in vivo in rainbow trout (Oncorhynchus mykiss) by quantifying the transcript levels of antiviral and T helper-type cytokines and T and B cells in the kidney. Three of the four terpenoids differ only in the C-7'substituent of the cyclohexane and the presence of the ketone group at this position in Filifolinone appeared responsible of an important up-regulation of IFN-alpha 1, IFN-gamma, IL-4/13A and IL-17D in the kidney of the treated trout. In addition, the absence of a methoxy group in carbon 7 of the benzene ring, found in all compounds but not in Folifolinoic acid, produced a significant reduction of IFN-gamma, IL-12 and IL-4/13A transcripts. B cells were not affected by the compound treatment but Filifolinoic acid and the resin induced a significant reduction of T cells. Altogether, results showed that immunomodulating responses observed in the trout by effect of 3H-spiro 1-benzofuran-2,1'-cyclohexane derivatives is related to the presence of the ketone group in the carbon 7' and the methoxy group in carbon 7 of the benzene ring, being Filifolinone the most active immunostimulatory compound identified. (C) 2015 Elsevier Ltd. All rights reserved.</t>
  </si>
  <si>
    <t>Obreque, Javiera/JHT-9931-2023; Maisey, Kevin/AAP-2886-2021</t>
  </si>
  <si>
    <t>Maisey, Kevin/0000-0002-7423-6329; Imarai, Monica/0000-0001-8767-9180; Modak Canobra, Brenda/0000-0001-5292-0480</t>
  </si>
  <si>
    <t>1050-4648</t>
  </si>
  <si>
    <t>1095-9947</t>
  </si>
  <si>
    <t>10.1016/j.fsi.2015.12.008</t>
  </si>
  <si>
    <t>WOS:000370884200006</t>
  </si>
  <si>
    <t>Rodriguez, H; Perez, JA; Soto, I; Azurdia, C; Lagos, C; Derpich, I</t>
  </si>
  <si>
    <t>Dzitac, I; Filip, FG; Manolescu, MJ</t>
  </si>
  <si>
    <t>Rodriguez, Hugo; Perez, Jose Alejandro; Soto, Ismael; Azurdia, Cesar; Lagos, Carolina; derpich, Ivan</t>
  </si>
  <si>
    <t>McEliece's Public Key Cryptosystem based on Non-Binary Algebraic Codes</t>
  </si>
  <si>
    <t>2016 6TH INTERNATIONAL CONFERENCE ON COMPUTERS COMMUNICATIONS AND CONTROL (ICCCC)</t>
  </si>
  <si>
    <t>6th International Conference on Computers Communications and Control (ICCCC)</t>
  </si>
  <si>
    <t>MAY 10-14, 2016</t>
  </si>
  <si>
    <t>Oradea, ROMANIA</t>
  </si>
  <si>
    <t>IEEE,IEEE Reg 8,Agora Univ</t>
  </si>
  <si>
    <t>In this paper we carried out the construction of a public key cryptosystem based on algebraic geometry codes. Basically, we have developed the scheme proposed by McEliece. However, instead of using binary linear codes, we have worked with non-binary linear algebraic geometry codes on Hermitian curves. In the decryption process, we have used Sakata's algorithm, which plays an important role. An application is proposed for this system in order to be applied in a storage and retrieval systems for magnetic recording over nanoparticles.</t>
  </si>
  <si>
    <t>Meza, Cesar/D-6948-2014; derpich, ivan/T-1160-2019</t>
  </si>
  <si>
    <t>Derpich, Ivan/0000-0001-9759-7285; Soto, Ismael/0000-0002-5501-5651</t>
  </si>
  <si>
    <t>978-1-5090-1735-5</t>
  </si>
  <si>
    <t>WOS:000391251000017</t>
  </si>
  <si>
    <t>Parker, C</t>
  </si>
  <si>
    <t>Parker, Cristian G.</t>
  </si>
  <si>
    <t>Religion and energy transition: a study in South America</t>
  </si>
  <si>
    <t>SOCIAL COMPASS</t>
  </si>
  <si>
    <t>Global society's goal is to transition to more sustainable forms of energy production and consumption. How is the religious factor supporting this transition to sustainable energy models and renewable energy? This is a question that social scientists are only just beginning to respond to. In Latin America, it has hardly been raised. This article is an effort to answer this question, taking into account the complex nature of the definition of religion and religiosity. Building on a mixed methodology, the author analyses a national survey of Chilean university students. He observes the relationship between religiosity or declared religious choice and certain aspects of the energy transition - energy efficiency, renewable energy and social patterns of sustainable energy consumption - and finds that religion does play a role, but that this is heterogeneous: many trends indicate that Catholics, evangelicals and members of missionary churches do not support the energy transition, while non-believers do, but the trends are weak. The author analyses these and other trends, ponders their meanings and provides an interpretation and typology. His interpretation points to the need for further study of the relationship between religion and changing lifestyles towards more sustainable forms of energy.</t>
  </si>
  <si>
    <t>Parker, Cristián/J-4947-2017</t>
  </si>
  <si>
    <t>0037-7686</t>
  </si>
  <si>
    <t>1461-7404</t>
  </si>
  <si>
    <t>10.1177/0037768615587815</t>
  </si>
  <si>
    <t>WOS:000359926700005</t>
  </si>
  <si>
    <t>Verdejo, H; González, D; Delpiano, J; Becker, C</t>
  </si>
  <si>
    <t>Verdejo, H.; Gonzalez, D.; Delpiano, J.; Becker, C.</t>
  </si>
  <si>
    <t>Tuning of Power System Stabilizers using Multiobjective Optimization NSGA II</t>
  </si>
  <si>
    <t>This article presents the application of the NSGA II genetic algorithm to the tuning parameters of the power system stabilizer. In order to obtain the adjustment needed, three objective functions were proposed to be minimized. Which depend directly on the localization of the real part of eigenvalues of the system under study. By using the search algorithm, a set of feasible solutions are obtained, and then the best is selected according to the parameter combination which satisfy the rigorous criteria related to the dynamic answer of the system. The methodology is applied to two international tests: three machines - nine bus and ten machines - thirty nine bus.</t>
  </si>
  <si>
    <t>Delpiano, José/S-4471-2019; Golubeva, Marina/C-6154-2014</t>
  </si>
  <si>
    <t>Delpiano, Jose/0000-0001-9794-5649</t>
  </si>
  <si>
    <t>10.1109/TLA.2015.7332145</t>
  </si>
  <si>
    <t>WOS:000365236700028</t>
  </si>
  <si>
    <t>Aranguiz, E; Barbosa, KA; Verdejo, H</t>
  </si>
  <si>
    <t>Aranguiz, E.; Barbosa, K. A.; Verdejo, H.</t>
  </si>
  <si>
    <t>D-stability Analysis of Descriptor Systems and Application to Power Systems</t>
  </si>
  <si>
    <t>21st Congress of the Chilean-Association-of-Automatic Control (ACCA) / 20th Conference of the Collaboration-Researchers-International-Working-Group (CRIWG)</t>
  </si>
  <si>
    <t>Santiago, CHILE</t>
  </si>
  <si>
    <t>Chilean Assoc Automat Control,Collaborat Researchers Int Working Grp</t>
  </si>
  <si>
    <t>This paper focuses on D-stability analysis problem for descriptor systems in algebraic differential representation. Necessary and sufficient conditions are proposed in order to ensure that all system eigenvalues belongs to a given set in the complex plane. Note that, the location of the eigenvalues in the study of dynamic systems is an important aspect to be considered since it allows obtaining important information about the system's response. The proposed results are described as a set of LMIs and are applied to a single-machine infinite-bus power system.</t>
  </si>
  <si>
    <t>10.1109/TLA.2015.7164213</t>
  </si>
  <si>
    <t>WOS:000358504700006</t>
  </si>
  <si>
    <t>Cortes, CP</t>
  </si>
  <si>
    <t>Pizarro Cortes, Carolina</t>
  </si>
  <si>
    <t>The bodies of the homeland. O'Higgins, San Martin and Bolivar in contemporary representation</t>
  </si>
  <si>
    <t>WOS:000353528700004</t>
  </si>
  <si>
    <t>Carrasco, S; Oróstica, HC</t>
  </si>
  <si>
    <t>Carrasco, Sebastian; Chavez Orostica, Hector</t>
  </si>
  <si>
    <t>CPS1-compliant Economic Dispatch for a Single Balancing Authority System</t>
  </si>
  <si>
    <t>2015 IEEE PES INNOVATIVE SMART GRID TECHNOLOGIES LATIN AMERICA (ISGT LATAM)</t>
  </si>
  <si>
    <t>IEEE PES Innovative Smart Grid Technologies Latin America (ISGT LATAM) Conference</t>
  </si>
  <si>
    <t>OCT 05-07, 2015</t>
  </si>
  <si>
    <t>Montevideo, TURKEY</t>
  </si>
  <si>
    <t>IEEE PES</t>
  </si>
  <si>
    <t>The integration of variable generatio to power systems has led to a revision of ancillary service definitions. In the case of secondary frequency control, these concerns are related with the dimensioning of reserves to cope with variability and uncertainty, and, ultimately, with the compliance with performance standards. One of such a performance standards used in North America is the Control Performance Standard 1 (CPS1), that measures the contribution of a balancing authority to frequency control within an interconnection. This paper proposes an Economic Dispatch formulation that ensures CPS1 compliance in the case of a single balancing authority. The formulation assumes that the ramping capability of units and generation variability and uncertainty are given, and determines the optimal procurement of secondary reserves to comply with CPS1. An explanatory example will be presented.</t>
  </si>
  <si>
    <t>Carrasco, Sebastian/HNT-0571-2023</t>
  </si>
  <si>
    <t>978-1-4673-6605-2</t>
  </si>
  <si>
    <t>WOS:000398603600068</t>
  </si>
  <si>
    <t>Sepúlveda, F</t>
  </si>
  <si>
    <t>Sepulveda, Facundo</t>
  </si>
  <si>
    <t>AIR POLLUTION AND SICK LEAVES: THE CHILD HEALTH LINK</t>
  </si>
  <si>
    <t>HITOTSUBASHI JOURNAL OF ECONOMICS</t>
  </si>
  <si>
    <t>We examine the effect of air pollution (particulate matter under 10 mu g/m(3), or mp10 concentrations) on sick leaves due to the child's health being affected. Our dataset is a large panel of Chilean parent-child pairs observed during the 52 weeks of 2007. Two main findings are reported. First, mp 10 concentrations have a strong effect on child hospitalizations, and in particular hospitalizations for respiratory conditions. Second, mp10 concentrations also have an important effect on parental sick leaves when the underlying diagnosis is related to a respiratory condition, but no effects are observed in aggregate parental sick leaves.</t>
  </si>
  <si>
    <t>0018-280X</t>
  </si>
  <si>
    <t>10.15057/26971</t>
  </si>
  <si>
    <t>WOS:000347144200001</t>
  </si>
  <si>
    <t>Contreras, ML; Cortés-Arriagada, D; Villarroel, I; Alvarez, J; Rozas, R</t>
  </si>
  <si>
    <t>Contreras, M. Leonor; Cortes-Arriagada, Diego; Villarroel, Ignacio; Alvarez, Jose; Rozas, Roberto</t>
  </si>
  <si>
    <t>Evaluating the hydrogen chemisorption and physisorption energies for nitrogen-containing single-walled carbon nanotubes with different chiralities: a density functional theory study</t>
  </si>
  <si>
    <t>STRUCTURAL CHEMISTRY</t>
  </si>
  <si>
    <t>The hydrogen adsorption energies for nitrogen-containing carbon nanotubes (N-CNTs) and for bare carbon nanotubes were calculated using the density functional theory methods at the B3LYP/6-31-G(d) level, including dispersion force corrections. The N-CNTs were finite saturated and non-saturated single-walled carbon nanotubes that contained one or more pyrimidine units, the relative positions of which defined the different configurations of the nanotube. The chemisorption of atomic hydrogen to a full exocyclic monolayer of zigzag, armchair, and chiral N-CNTs was studied as a function of the structural parameters. Zigzag N-CNTs of any configuration, with a larger number of nitrogen atoms, a small diameter and a small length, are more reactive compared to chiral and armchair N-CNTs. The presence of nitrogen in the carbon nanotubes enhances their reactivity to chemisorb atomic hydrogen, showing exothermic energy values. In contrast, the physisorption of molecular hydrogen was endothermic for most of the studied saturated N-CNTs, even when including corrections for van der Waals interactions. The endothermicity was greatest for zigzag nanotubes, then decreased for chiral nanotubes and decreased again for armchair nanotubes. In general, the endothermicity decreased for longer nanotubes, which have larger diameters, and a small number of nitrogen atoms. The results of this study suggest that, with saturated bare carbon nanotubes, saturated, and unsaturated N-CNTs could potentially have a higher capacity as hydrogen-storage media than the corresponding unsaturated carbon nanotubes.</t>
  </si>
  <si>
    <t>Cortés-Arriagada, Diego/J-5940-2019</t>
  </si>
  <si>
    <t>Cortes-Arriagada, Diego/0000-0002-6709-1723</t>
  </si>
  <si>
    <t>1040-0400</t>
  </si>
  <si>
    <t>1572-9001</t>
  </si>
  <si>
    <t>10.1007/s11224-013-0377-z</t>
  </si>
  <si>
    <t>WOS:000339391300005</t>
  </si>
  <si>
    <t>Calderón, C; Lissi, E</t>
  </si>
  <si>
    <t>Calderon, Cristian; Lissi, Eduardo</t>
  </si>
  <si>
    <t>POLYETHYLENE GLYCOL EFFECT ON THE TRANSIENT AND STEADY STATE PHASES OF P-NITROPHENYLTRIMETHYL ACETATE HYDROLYSIS CATALYZED BY α-CHYMOTRYPSIN</t>
  </si>
  <si>
    <t>The effect of polyethylene glycol (PEG) on the hydrolytic activity of alpha-chymotrypsin has been studied using p-nitrophenyltrimethyl acetate (PNTMA) as substrate. This substrate requires long times to reach the steady state condition, allowing the measurement by conventional methods of the fast initial burst step present on the biphasic catalytic behaviour exhibited by alpha-chymotrypsin. The presence of PEG increases both the initial and steady state rates of the reaction. This increase was observed at all the substrate concentrations employed. A formal Michaelis-Menten treatment under steady state conditions shows that K-M remains almost constant over the range of PEG concentrations studied (up to 20% w/v), whereas k(cat) moderately increases with the increment in PEG concentration. The results obtained in this work are interpreted in terms of the following mechanism:</t>
  </si>
  <si>
    <t>Calderon, cristian/GQA-7422-2022</t>
  </si>
  <si>
    <t>10.4067/S0717-97072013000400033</t>
  </si>
  <si>
    <t>WOS:000331238800029</t>
  </si>
  <si>
    <t>Labbé, R; Bustamante, G</t>
  </si>
  <si>
    <t>Labbe, R.; Bustamante, G.</t>
  </si>
  <si>
    <t>Extreme statistics, Gaussian statistics, and superdiffusion in global magnitude fluctuations in turbulence (vol 24, 105103, 2012)</t>
  </si>
  <si>
    <t>PHYSICS OF FLUIDS</t>
  </si>
  <si>
    <t>1070-6631</t>
  </si>
  <si>
    <t>1089-7666</t>
  </si>
  <si>
    <t>10.1063/1.4824776</t>
  </si>
  <si>
    <t>WOS:000326642800063</t>
  </si>
  <si>
    <t>Montealegre, J</t>
  </si>
  <si>
    <t>Montealegre, Jorge</t>
  </si>
  <si>
    <t>Internal Enemies Facets and Representations under State Terrorism</t>
  </si>
  <si>
    <t>CR-THE NEW CENTENNIAL REVIEW</t>
  </si>
  <si>
    <t>1532-687X</t>
  </si>
  <si>
    <t>10.1353/ncr.2013.0004</t>
  </si>
  <si>
    <t>WOS:000321681000010</t>
  </si>
  <si>
    <t>Letelier, MF; Stockle, JS</t>
  </si>
  <si>
    <t>Letelier, Mario F.; Stockle, Juan S.</t>
  </si>
  <si>
    <t>VELOCITY FIELD COMPUTATION IN PLASTIC FLOW IN NON-CIRCULAR TUBES USING NATURAL COORDINATES</t>
  </si>
  <si>
    <t>A numerical method to determine the velocity field, and related variables, in plastic flow in non-circular straight ducts is presented. The method is an extension of previous work of the senior author related to modeling laminar flow in pipes of arbitrary cross-sectional contours using natural coordinates. In this case the concept of natural coordinates is applied to the system of orthogonal curves determined by the plane isovels and their normal counterparts. The momentum equation for the axial velocity is expressed in natural coordinates in which one relevant variable is the radius of curvature of isovels. The method is applied to a selected set of shapes when the fluid is a Bingham plastic. Isovels and plug zones are determined drawing on the properties of the isolvels and normal curves. Computations start at the pipe perimeter and advance toward the center</t>
  </si>
  <si>
    <t>WOS:000350071100118</t>
  </si>
  <si>
    <t>Modak, B; Valenzuela, B; Imarai, M; Torres, R</t>
  </si>
  <si>
    <t>Modak, Brenda; Valenzuela, Beatriz; Imarai, Monica; Torres, Rene</t>
  </si>
  <si>
    <t>In vitro immunostimulant activity of the aromatic geranyl derivative Filifolinone</t>
  </si>
  <si>
    <t>The in vitro effect of the 3 H-spiro [1-benzofuran-2,1'-ciclohexane] derivative (Filifolinone), was evaluated on mouse dendritic cells through the level of expression of MHC molecules class II by flow cytometry. The results show that Filifolinone increases the expression of MHC promoting maturation of dendritic cells. The results suggest that Filifolinone is a potential immunomodulator for veterinary use.</t>
  </si>
  <si>
    <t>WOS:000304713000010</t>
  </si>
  <si>
    <t>I WILL MAKE IT THAT GOD EXISTS: CLAUDIO BERTONI AND NEGATIVE THEOLOGY</t>
  </si>
  <si>
    <t>REVISTA CHILENA DE LITERATURA</t>
  </si>
  <si>
    <t>0718-2295</t>
  </si>
  <si>
    <t>10.4067/S0718-22952012000100001</t>
  </si>
  <si>
    <t>WOS:000310816900001</t>
  </si>
  <si>
    <t>Paucar, MAV; Guajardo, ES</t>
  </si>
  <si>
    <t>Villalta Paucar, Marco Antonio; Saavevedra Guajardo, Eugenio</t>
  </si>
  <si>
    <t>School culture, practices and resilience in education, students and teachers of vulnerable social contexts</t>
  </si>
  <si>
    <t>UNIVERSITAS PSYCHOLOGICA</t>
  </si>
  <si>
    <t>In this article is examined the level that issues such as perception of institutional culture, teaching practices inside the classroom and students and teachers' resilience are associated with vulnerable social institutions educational achievement. We present a quantitative study of descriptive correlational, with 502 students and 39 teachers at two educational institutions with acceptable learning achievements which are located in vulnerable social areas. Perception is measured by: 1) Institutional culture, 2) daily Teaching practices, and 3) Resilience. In students perceptions of institutional culture and the daily work of teaching are high correlated. These perceptions have moderate correlation with resilience. On the other hand, teachers' of school culture and practices are medium correlated, and there is no correlation of both with resilience. These results are discussed and deepened.</t>
  </si>
  <si>
    <t>Villalta Paucar, Marco Antonio/B-9555-2012</t>
  </si>
  <si>
    <t>Villalta Paucar, Marco Antonio/0000-0002-7553-925X</t>
  </si>
  <si>
    <t>1657-9267</t>
  </si>
  <si>
    <t>JAN-MAR</t>
  </si>
  <si>
    <t>WOS:000306548200006</t>
  </si>
  <si>
    <t>Urzúa, A; Echeverría, J; Santander, R</t>
  </si>
  <si>
    <t>Urzua, Alejandro; Echeverria, Javier; Santander, Rocio</t>
  </si>
  <si>
    <t>Comparative Chemical Composition of the Essential Oils from Pseudognaphalium robustum, P. heterotrichium and P. cheiranthifolium</t>
  </si>
  <si>
    <t>JOURNAL OF ESSENTIAL OIL BEARING PLANTS</t>
  </si>
  <si>
    <t>The composition of the essential oils (EOs) obtained by hydro-distillation of fresh leaves from Pseudognaphalium robustum, P. heterotrichium and P. cheiranthifolium was analysed using gas chromatography/mass spectroscopy (GC-MS). According to GC and GC-MS analysis, alpha-pinene (50.29 %), (E)-nerolidol (24.41 %) and 1,8-cineole (5.15 %) were the major components of Pseudognaphalium robustum essential oil. alpha-pinene (27.31 %), beta-phellandrene (43.76%) and criptone (5.88 %) were the major components of P cheiranthifolium essential oil and beta-phellandrene (24.34 %); alpha-pinene (17.19 %), germacrene B (13.56 %), spathulenol (7.42 %) and germacrene D (4.22 %) were the major components of P heterotrichium essential oil. No essential oils were isolated from P. 'vira vira in which glandular trichomes are scarce. The considerable differences in the EO compositions of the Pseudognaphalium species found in this work support authors who consider Pseudognaphalium as a heterogeneous taxonomic group and propose its extensive revision.</t>
  </si>
  <si>
    <t>Echeverría, Javier/AAK-3323-2020; Santander, Rocio/K-7645-2013</t>
  </si>
  <si>
    <t>Urzua, Alejandro/0000-0003-2638-0921; Echeverria, Javier/0000-0002-1688-968X</t>
  </si>
  <si>
    <t>0972-060X</t>
  </si>
  <si>
    <t>0976-5026</t>
  </si>
  <si>
    <t>10.1080/0972060X.2011.10643977</t>
  </si>
  <si>
    <t>WOS:000298866200009</t>
  </si>
  <si>
    <t>Velásquez, P; Skurtys, O; Enrione, J; Osorio, F</t>
  </si>
  <si>
    <t>Velasquez, Patricia; Skurtys, Olivier; Enrione, Javier; Osorio, Fernando</t>
  </si>
  <si>
    <t>Evaluation of Surface Free Energy of Various Fruit Epicarps Using Acid-Base and Zisman Approaches</t>
  </si>
  <si>
    <t>FOOD BIOPHYSICS</t>
  </si>
  <si>
    <t>Surface free energy (SFE; gamma(SV)) of 16 fruit epicarps present on the Chilean market was calculated by two approaches: the acid-base and Zisman. The results show that the fruit epicarps were low surface energy since the magnitude of gamma(SV) falls within a narrow range, between 37 and 44 mJ m(-2). Zisman approach gave a critical surface tension values, gamma(cr) lower than the SFE calculated by the acid-base approach. Significant differences in SFE between the fruits may be explained by the variation in the chemical composition of epicuticular waxes. The polar (gamma(AB)(SV)) and apolar (gamma(LW)(SV)) components of the SFE were also calculated and a mathematical relation was between both values was found. Values of gamma(AB)(SV) and gamma(LW)(SV) could also be associated with the fruit family and the tissue origins in the ovary region. Finally, it has been shown that fruit epicarps exhibited predominantly electron-donator behaviour since gamma(-)(SV) &gt; gamma(+)(SV). We believe that the results reported here can potentially impact in food engineering because the compatibility of coatings and fruit epicarps depends on the interaction of their respective chemical and physical properties.</t>
  </si>
  <si>
    <t>Enrione, Javier/I-9225-2014; skurtys, olivier/HNS-4835-2023; osorio, fernando/AAY-7304-2021</t>
  </si>
  <si>
    <t>Enrione, Javier/0000-0002-3916-6775; Velasquez, Patricia/0000-0002-6646-2238; osorio, fernando/0000-0001-7206-0924; skurtys, olivier/0000-0003-1432-7242</t>
  </si>
  <si>
    <t>1557-1858</t>
  </si>
  <si>
    <t>1557-1866</t>
  </si>
  <si>
    <t>10.1007/s11483-011-9209-0</t>
  </si>
  <si>
    <t>WOS:000292979300002</t>
  </si>
  <si>
    <t>Castillo, A; Cottet, L; Castro, M; Sepúlveda, F</t>
  </si>
  <si>
    <t>Castillo, Antonio; Cottet, Luis; Castro, Miguel; Sepulveda, Felipe</t>
  </si>
  <si>
    <t>Rapid isolation of mycoviral double-stranded RNA from Botrytis cinerea and Saccharomyces cerevisiae</t>
  </si>
  <si>
    <t>VIROLOGY JOURNAL</t>
  </si>
  <si>
    <t>Background: In most of the infected fungi, the mycoviruses are latent or cryptic, the infected fungus does not show disease symptoms, and it is phenotypically identical to a non-infected strain of the same species. Because of these properties, the initial stage in the search for fungi infected with mycoviruses is the detection of their viral genome, which in most of the described cases corresponds to double-stranded RNA (dsRNA). So to analyze a large number of fungal isolates it is necessary to have a simple and rapid method to detect dsRNA. Results: A rapid method to isolate dsRNA from a virus-infected filamentous fungus, Botrytis cinerea, and from a killer strain of Saccharomyces cerevisiae using commercial minicolumns packed with CF11 cellulose was developed. In addition to being a rapid method, it allows to use small quantities of yeasts or mycelium as starting material, being obtained sufficient dsRNA quantity that can later be analyzed by agarose gel electrophoresis, treated with enzymes for its partial characterization, amplified by RT-PCR and cloned in appropriate vectors for further sequencing. Conclusions: The method yields high quality dsRNA, free from DNA and ssRNA. The use of nucleases to degrade the DNA or the ssRNA is not required, and it can be used to isolate dsRNA from any type of fungi or any biological sample that contains dsRNA.</t>
  </si>
  <si>
    <t>Castillo, Antonio/0000-0003-0639-6045</t>
  </si>
  <si>
    <t>1743-422X</t>
  </si>
  <si>
    <t>JAN 25</t>
  </si>
  <si>
    <t>10.1186/1743-422X-8-38</t>
  </si>
  <si>
    <t>WOS:000287308100001</t>
  </si>
  <si>
    <t>Zolezzi, JM; Garay, A; Reveco, M</t>
  </si>
  <si>
    <t>Zolezzi, J. M.; Garay, A.; Reveco, M.</t>
  </si>
  <si>
    <t>Large scale hydrogen production from wind energy in the Magallanes area for consumption in the central zone of Chile</t>
  </si>
  <si>
    <t>JOURNAL OF POWER SOURCES</t>
  </si>
  <si>
    <t>The energy proposal of this research suggests the use of places with abundant wind resources for the production of H(2) on a large scale to be transported and used in the central zone of Chile with the purpose of diversifying the country's energy matrix in order to decrease its dependence on fossil fuels, increase its autonomy, and cover the future increases in energy demand. This research showed that the load factor of the proposed wind park reaches a value of 54.5%, putting in evidence the excellent wind conditions of the zone. This implies that the cost of the electricity produced by the wind park located in the Chilean Patagonia would have a cost of 0.0213 US$ kWh(-1) in the year 2030. The low prices of the electricity obtained from the park, thanks to the economy of scale and the huge wind potential, represent a very attractive scenario for the production of H(2) in the future. The study concludes that by the year 2030 the cost of the H(2) generated in Magallanes and transported to the port of Quinteros would be 18.36 US$ MBTU(-1), while by that time the cost of oil would be about 17.241 US$ MBTU(-1), a situation that places H(2) in a very competitive position as a fuel. (C) 2010 Elsevier B.V. All rights reserved.</t>
  </si>
  <si>
    <t>Zolezzi Cid, Juan Manuel/0009-0001-5377-0688</t>
  </si>
  <si>
    <t>0378-7753</t>
  </si>
  <si>
    <t>DEC 15</t>
  </si>
  <si>
    <t>10.1016/j.jpowsour.2009.12.060</t>
  </si>
  <si>
    <t>WOS:000282251900047</t>
  </si>
  <si>
    <t>Campos, A; Villalobos, C; Lissi, E</t>
  </si>
  <si>
    <t>Campos, Ana; Villalobos, Carolina; Lissi, Eduardo</t>
  </si>
  <si>
    <t>REACTION OF ALKYL GALLATES WITH DIPHENYL PICRYLHYDRACYL RADICALS IN SDS MICELLES</t>
  </si>
  <si>
    <t>Diphenylpicrylhydracyl is a stable free radical that readily reacts with phenol groups. In the present work we have measured the reaction of DPPH with three alkyl gallates of different hydrophobicity: methyl gallate, propyl gallate, and octyl gallate. Experiments were carried out in acetate buffer (pH 5.0) in presence of several SDS concentrations. At surfactant concentrations higher than 20 mM, the gallates are almost totally associated to the micellar pseudophase. Under these conditions the rate of the reaction becomes almost independent of the length of the alkyl group. This indicates that the average localization of the gallate reactive group is almost independent of the solute hydrophobicity.</t>
  </si>
  <si>
    <t>0717-9324</t>
  </si>
  <si>
    <t>10.4067/S0717-97072010000400010</t>
  </si>
  <si>
    <t>WOS:000288584300013</t>
  </si>
  <si>
    <t>Letelier, MF; Siginer, DA; Stockle, JS; Ulloa, FA</t>
  </si>
  <si>
    <t>Letelier, Mario F.; Siginer, Dennis A.; Stockle, Juan S.; Ulloa, Francisco A.</t>
  </si>
  <si>
    <t>COMPLEX PRESSURE PULSES IN MICRO-CHANNELS MAGNETICALLY INDUCED</t>
  </si>
  <si>
    <t>IMECE 2009: PROCEEDINGS OF THE ASME INTERNATIONAL MECHANICAL ENGINEERING CONGRESS AND EXPOSITION, VOL 9, PTS A-C</t>
  </si>
  <si>
    <t>NOV 13-19, 2009</t>
  </si>
  <si>
    <t>Lake Buena Vista, FL</t>
  </si>
  <si>
    <t>Micro-channels are presently used extensively in applications related to biomedicine and others. These applications commonly involve flow patterns apt for separating particles in suspension, or fluid layers or fluid portions. In order to find a desired optimum performance it is necessary, among other factors, to determine the pressure gradients that would generate the required flow patterns. Presently the driving pressure gradients are produced by means of mechanical devices, such as syringe pumps, which have obvious limitations in the case where the flow time-pattern is complex. High frequency flows with varying amplitude or swift changes in acceleration imply overcoming big inertia forces in mechanisms. In this paper it is presented a novel and alternative methods for providing complex pressure pulses for the case were the working fluid changes properties when affected by magnetic fields. It is shown that an appropriate arrangement of parallel tubes, subject to different magnetic fields, can induce a wide variety of pressure pulses in selected stations of the system. These stations can be used for connecting the working channel. An analytical model is presented together with several applications.</t>
  </si>
  <si>
    <t>978-0-7918-4382-6</t>
  </si>
  <si>
    <t>WOS:000280196300011</t>
  </si>
  <si>
    <t>Meza, E; Alburquenque, D; Ortiz, J; Gautier, JL</t>
  </si>
  <si>
    <t>Meza, Erika; Alburquenque, Daniela; Ortiz, Juan; Gautier, Juan Luis</t>
  </si>
  <si>
    <t>Lithium cobalt spinel oxide: A structural and electrochemical study</t>
  </si>
  <si>
    <t>Lithium cobaltite, LiCo2O4, prepared by thermal decomposition of nitrates salts was synthesized at 400 degrees C. X-ray Rietveld refinement showed the presence of two phases: a cubic spinel (Co3O4) and other corresponding to spinel-like, which could not be classified as LiCo2O4 or LiCoO2 since both crystallized in Fd3na S.G. Electrochemical determinations (charge-discharge curves and impedance spectroscopy measurements) showed that Li+ ion is inserted into the spinel lattice, with D = 8 10(-16) cm s(-1) at 2.00-2.25 V potential range whereas lithium extraction occurred at. 3.2-3.8 V potential range.</t>
  </si>
  <si>
    <t>Meza, Erika/S-5934-2017</t>
  </si>
  <si>
    <t>Alburquenque, Daniela/0000-0001-9236-3308; Meza, Erika/0009-0009-0588-1808</t>
  </si>
  <si>
    <t>WOS:000256268500010</t>
  </si>
  <si>
    <t>Rojas, RV; Timmling, HF</t>
  </si>
  <si>
    <t>Irazbal, C</t>
  </si>
  <si>
    <t>Vidal Rojas, Rodrigo; Fox Timmling, Hans</t>
  </si>
  <si>
    <t>A Memorable Public Space: The Plaza of the Central Station in Santiago de Chile</t>
  </si>
  <si>
    <t>ORDINARY PLACES, EXTRAORDINARY EVENTS: CITIZENSHIP, DEMOCRACY AND PUBLIC SPACE IN LATIN AMERICA</t>
  </si>
  <si>
    <t>Planning History and Environment Series</t>
  </si>
  <si>
    <t>Valcarcel-Rojas, Roberto/S-5563-2016</t>
  </si>
  <si>
    <t>978-0-203-00121-9</t>
  </si>
  <si>
    <t>WOS:000272735900006</t>
  </si>
  <si>
    <t>Rezende, MC; Pizarro, C; Millán, D</t>
  </si>
  <si>
    <t>Rezende, Marcos Caroli; Pizarro, Claudia; Millan, Daniela</t>
  </si>
  <si>
    <t>Preparation, spectroscopic and acidity properties of two hydrazones:: An organic lab experiment</t>
  </si>
  <si>
    <t>QUIMICA NOVA</t>
  </si>
  <si>
    <t>An undergraduate organic lab experiment is described based on the preparation of two readily accessible hydrazones. The UV-visible spectra of these N-H acids and of their conjugate bases are employed to illustrate the importance of through-conjugation in determining their acid strength and their internal charge-transfer-band transitions.</t>
  </si>
  <si>
    <t>Caroli, Marcos/H-3570-2019; Millan, Daniela/ABD-4398-2021</t>
  </si>
  <si>
    <t>Rezende, Marcos/0000-0003-2040-9009; Millan, Daniela/0000-0002-4264-7967</t>
  </si>
  <si>
    <t>0100-4042</t>
  </si>
  <si>
    <t>1678-7064</t>
  </si>
  <si>
    <t>10.1590/S0100-40422007000100037</t>
  </si>
  <si>
    <t>WOS:000243879900037</t>
  </si>
  <si>
    <t>Cubillos, F; Acuña, G</t>
  </si>
  <si>
    <t>Wang, J; Yi, Z; Zurada, JM; Lu, BL; Yin, H</t>
  </si>
  <si>
    <t>Cubillos, Francisco; Acuna, Gonzalo</t>
  </si>
  <si>
    <t>Simulation studies of on-line identification of complex processes with neural networks</t>
  </si>
  <si>
    <t>ADVANCES IN NEURAL NETWORKS - ISNN 2006, PT 2, PROCEEDINGS</t>
  </si>
  <si>
    <t>LECTURE NOTES IN COMPUTER SCIENCE</t>
  </si>
  <si>
    <t>3rd International Symposium on Neural Networks (ISNN 2006)</t>
  </si>
  <si>
    <t>MAY 28-31, 2006</t>
  </si>
  <si>
    <t>Chengdu, PEOPLES R CHINA</t>
  </si>
  <si>
    <t>Univ Electr Sci &amp; Technol China,Chinese Univ Hong Kong,Asia Pacific Neural Network Assembly,European Neural Network Soc,IEEE Circuits &amp; Syst Soc,IEEE Computat Intelligence Soc,Int Neural Network Soc,Natl Nat Sci Fdn China,KC Wong Educ Fdn Hong Kong</t>
  </si>
  <si>
    <t>This paper analyzes various formulations for the recursive training of neural networks that can be used for identifying and optimizing nonlinear processes on line. The study considers feedforward type networks (FFNN) adapted by three different methods: inverse Hessian matrix approximation, calculation of the inverse Hessian matrix using a Gauss-Newton recursive sequential algorithm, and calculation of the inverse Hessian matrix in a recursive type Gauss-Newton algorithm. The study is completed using two network structures that are linear in the parameters: a radial basis network and a principal components network, both trained using a recursive least squares algorithm. The corresponding algorithms and a comparative test consisting of the on-line estimation of a reaction rate are detailed. The results indicate that all the structures were capable of converging satisfactorily in a few iteration cycles, FFNN type networks showing better prediction capacity, but the computational effort of the recursive algorithms is greater.</t>
  </si>
  <si>
    <t>Acuna Leiva, Gonzalo Pedro/0000-0002-0519-7792; CUBILLOS, FRANCISCO/0000-0001-7863-4394</t>
  </si>
  <si>
    <t>3-540-34437-3</t>
  </si>
  <si>
    <t>WOS:000239483000120</t>
  </si>
  <si>
    <t>Pereda, J; Valdez, E</t>
  </si>
  <si>
    <t>A critical analysis of the vascular relationship between the human embryo and its yolk sac</t>
  </si>
  <si>
    <t>PLACENTA</t>
  </si>
  <si>
    <t>Joint Meeting of the 2nd Latinamerican Symposium on Fetal-Mateanal Interaction and Placenta/19th Annual Meeting of the Chilean-Society-of-Physiological-Sciences</t>
  </si>
  <si>
    <t>NOV 06-09, 2005</t>
  </si>
  <si>
    <t>Chilean Soc Physiol Sci</t>
  </si>
  <si>
    <t>0143-4004</t>
  </si>
  <si>
    <t>A39</t>
  </si>
  <si>
    <t>WOS:000233996200131</t>
  </si>
  <si>
    <t>Gamboa, J; López-Sarrión, J</t>
  </si>
  <si>
    <t>U(1) noncommutative gauge fields and magnetogenesis -: art. no. 067702</t>
  </si>
  <si>
    <t>The connection between the Lorentz invariance violation in the Lagrangian context and the quantum theory of noncommutative fields is established for the U(1) gauge field. The modified Maxwell equations coincide with other derivations obtained using different procedures. These modified equations are interpreted as describing macroscopic ones in a polarized and magnetized medium. A tiny magnetic field (seed) emerges as particular static solution that gradually increases once the modified Maxwell equations are solved as a self-consistent equations system.</t>
  </si>
  <si>
    <t>Gamboa, Jorge/R-8744-2019</t>
  </si>
  <si>
    <t>Lopez Sarrion, Justo Javier/0000-0002-2868-194X</t>
  </si>
  <si>
    <t>10.1103/PhysRevD.71.067702</t>
  </si>
  <si>
    <t>WOS:000228490100106</t>
  </si>
  <si>
    <t>Costoya, MJM</t>
  </si>
  <si>
    <t>Theology, crisis and knowledge-constitutive interests, or towards a social theoretical interpretation of theological knowledge</t>
  </si>
  <si>
    <t>The author provides a social theoretical interpretation of the theological crisis marked by the emergence of the theologies of liberation from the point Of view of the theory of knowledge of the early Habermas as a tension between the practical interest of the historical-hermeneutic sciences and the emancipatory interest of the critically oriented sciences. Modern theologies have understood themselves within the limits of the historical-hermeneutic sciences to the extent that they have established theological knowledge through the interpretation of the meaning of transcendence. The theologies of liberation are not satisfied with the practical cognitive interest of the historical-hermeneutic sciences. Rather, they overcome the practical cognitive interest through an emancipatory cognitive interest that interlocks knowledge and interest. The theologies of liberation generate a theological knowledge that theoretically aims to grasp the invariance that exists between God-as-limit and the socio-historical conditions of misery, and praxeologically aims to overcome this invariance in the interest of liberation.</t>
  </si>
  <si>
    <t>10.1177/0037768604045637</t>
  </si>
  <si>
    <t>WOS:000223968900007</t>
  </si>
  <si>
    <t>Galotto, MJ; Guarda, A</t>
  </si>
  <si>
    <t>Suitability of alternative fatty food simulants to study the effect of thermal and microwave heating on overall migration of plastic packaging</t>
  </si>
  <si>
    <t>PACKAGING TECHNOLOGY AND SCIENCE</t>
  </si>
  <si>
    <t>The suitability of alternative fatty food simulants on overall migration determination under thermal treatment and microwave heating were analysed for different plastic materials commonly used for packs subjected to thermal treatment or microwave heating. Elevated temperature and microwave heating increased overall migration. The results demonstrated that polymer-simulant affinity plays a large role in determining the suitability of the alternative simulant. For PA/PE, ethanol 95% represented the best alternative fatty food simulant to reproduce overall migration with olive oil. PVC presented a high overall migration. Microwave heating increased migration up to 45mg/dm(2). For PVC, isopropanol was able to reproduce olive oil even after microwave heating. For PP, none of the alternative fatty food simulants were able to reproduce overall migration with olive oil. PP presented high inert behaviour. Microwave heating did not produce a significant increase in overall migration; meanwhile, the time of exposure produced a more significant migration. Copyright (C) 2004 John Wiley Sons, Ltd.</t>
  </si>
  <si>
    <t>0894-3214</t>
  </si>
  <si>
    <t>JUL-AUG</t>
  </si>
  <si>
    <t>10.1002/pts.660</t>
  </si>
  <si>
    <t>WOS:000223429300006</t>
  </si>
  <si>
    <t>Urzúa, A</t>
  </si>
  <si>
    <t>Secondary metabolites in the epicuticle of Haplopappus foliosus DC. (Asteraceae)</t>
  </si>
  <si>
    <t>Front the CH2Cl2, extract of the Surface of Haplopappus foliosus, monoterpenes, sesquiterpenes, flavonoids, coumarins, phenyl propanoids, n-alkanes and different miscellaneous compounds were identified. The complexity of the chemistry in terms of number of families and coin-pounds makes attractive the use of this specie as a model to study variations in the cuticle chemistry, triggered by different ecological pressures.</t>
  </si>
  <si>
    <t>WOS:000221509600006</t>
  </si>
  <si>
    <t>Kri, F; Feeley, M</t>
  </si>
  <si>
    <t>ieee computer society</t>
  </si>
  <si>
    <t>Genetic instruction scheduling and register allocation</t>
  </si>
  <si>
    <t>SCCC 2004: XXIV INTERNATIONAL CONFERENCE OF THE CHILEAN COMPUTER SCIENCE SOCIETY</t>
  </si>
  <si>
    <t>24th International Conference of the Chilean-Computer-Science-Society</t>
  </si>
  <si>
    <t>NOV 11-12, 2004</t>
  </si>
  <si>
    <t>Arica, CHILE</t>
  </si>
  <si>
    <t>Chilean Comp Sci Soc,Univ Tarapaca</t>
  </si>
  <si>
    <t>The construction of efficient compilers is very complex, since it has to contend with various optimization problems and depends on the characteristics of the architecture of the machine for which they generate code. Many of these problems are NP-hard. The genetics algorithms have been shown to be effective in the resolution of difficult problems, however their use in compilation is practically nonexistent. In this paper we propose a solution to the problems of register allocation and instruction scheduling. We carry out an analysis of performance by comparing with the more traditional approaches for these problems and we obtain profits on the speed of the generated code varying between -2% and 26%.</t>
  </si>
  <si>
    <t>0-7695-2200-9</t>
  </si>
  <si>
    <t>WOS:000226253100008</t>
  </si>
  <si>
    <t>Palma, G; Raff, U</t>
  </si>
  <si>
    <t>Addendum to: The one-dimensional harmonic oscillator in the presence of a dipole-like interaction [Am. J. Phys. 71 (3), 247-249 (2003)]</t>
  </si>
  <si>
    <t>AMERICAN JOURNAL OF PHYSICS</t>
  </si>
  <si>
    <t>0002-9505</t>
  </si>
  <si>
    <t>10.1119/1.1592514</t>
  </si>
  <si>
    <t>WOS:000184835700023</t>
  </si>
  <si>
    <t>Sánchez, J; Ubilla, P</t>
  </si>
  <si>
    <t>Uniqueness results for the one-dimensional m-Laplacian considering superlinear nonlinearities</t>
  </si>
  <si>
    <t>We study existence and uniqueness of positive solutions of the boundary value problem (P)lambda {- (\u'\(m-2)u')' = lambdaf(u) in (0, 1), u(0) = u(1) = 0, where lambda is a positive parameter, m &gt; 1, and f : [0, + infinity) --&gt; R is a continuous function which vanishes at most once in (0, + infinity). Assuming that f is superlinear at + infinity, we study its behavior near zero to obtain uniqueness results, which are proved using the shooting method. (C) 2003 Elsevier Science Ltd. All rights reserved.</t>
  </si>
  <si>
    <t>Sánchez, Justino/AAB-8477-2022</t>
  </si>
  <si>
    <t>Sanchez, Justino/0000-0002-9607-5204</t>
  </si>
  <si>
    <t>10.1016/S0362-546X(03)00118-4</t>
  </si>
  <si>
    <t>WOS:000184289300008</t>
  </si>
  <si>
    <t>Ammann, JJ; Donoso, BAG; Martínez, FH</t>
  </si>
  <si>
    <t>Walker, WF; Insana, MF</t>
  </si>
  <si>
    <t>Tissue-mimiciking materials assessment through ultrasound velocity measurement</t>
  </si>
  <si>
    <t>MEDICAL IMAGING 2003: ULTRASONIC IMAGING AND SIGNAL PROCESSING</t>
  </si>
  <si>
    <t>PROCEEDINGS OF THE SOCIETY OF PHOTO-OPTICAL INSTRUMENTATION ENGINEERS (SPIE)</t>
  </si>
  <si>
    <t>Medical Imaging 2003 Conference</t>
  </si>
  <si>
    <t>FEB 17-20, 2003</t>
  </si>
  <si>
    <t>SAN DIEGO, CA</t>
  </si>
  <si>
    <t>SPIE,Amer Assoc Phys Med,Amer Physiol Soc,Ctr Devices &amp; Radiol Hlth,Soc Imaging Sci &amp; Technol,Natl Elect Mfg Assoc, Diagnost Imaging &amp; Therapy Syst Div,Radiol Soc N Amer,Soc Comp Appl Radiol</t>
  </si>
  <si>
    <t>Ultrasound characterization of biological tissues is facing the challenge of accurate sound velocity determination in soft materials of poorly controlled shape. In this work, an original method based on a through-transmission configuration is proposed to accurately determine the sound velocity c,, in non-parallel bio-mimetic specimens. To account for the possible lack of parallelism of the specimen, a set of 8 geometrical parameters is introduced. In a three-step process, the transducer spacing and mis-orientation are deduced from a pair of reference echoes with no specimen in the burst path. Then, main and intermediate echoes in presence of the specimen are processed to yield the characteristic distances of the through-transmission configuration. Finally, the orientations of the specimen faces are determined through a minimization algorithm. Once the system geometry is fully determined, the specimen sound velocity is obtained. A scan of the specimen along the acoustic path (Z-scan) provides the necessary information to completely determine the equation set. The proposed method has been applied to determine the sound velocity in oil-in-gel emulsions as Well as in their pure constituents. It is expected that the above method could provide accurate sound velocity data for a better understanding of complex material acoustic response to achieve a more efficient biological tissues characterization.</t>
  </si>
  <si>
    <t>0277-786X</t>
  </si>
  <si>
    <t>0-8194-4836-2</t>
  </si>
  <si>
    <t>10.1117/12.479918</t>
  </si>
  <si>
    <t>WOS:000183593400048</t>
  </si>
  <si>
    <t>Mannheim, RL; Bustos, OL; Garin, J</t>
  </si>
  <si>
    <t>Chandra, T; Torralba, JM; Sakai, T</t>
  </si>
  <si>
    <t>Study on segregation-dezincification relationship in Bi-Se-bearing brasses</t>
  </si>
  <si>
    <t>THERMEC'2003, PTS 1-5</t>
  </si>
  <si>
    <t>MATERIALS SCIENCE FORUM</t>
  </si>
  <si>
    <t>4th International Conference on Processing and Manufacturing of Advanced Materials</t>
  </si>
  <si>
    <t>JUL 07-11, 2003</t>
  </si>
  <si>
    <t>UNIV CARLOS III MADRID, MADRID, SPAIN</t>
  </si>
  <si>
    <t>Minerals, Met &amp; Mat Soc</t>
  </si>
  <si>
    <t>UNIV CARLOS III MADRID</t>
  </si>
  <si>
    <t>Tombal-brasses with impurities such as Ni, Fe, Sri and Al, together with Bi and Se are the most inexpensive raw materials used in the manufacturing of plumbing and faucets, as replacement for the traditional Pb-bearing tombal brasses. The present paper deals with the segregation of those impurity elements and their effects upon addition of phosphorus and arsenic. Phosphorus and arsenic are normally considered as retardant elements in the dezincification process observed in brasses. However, the operating mechanism has not been totally resolved. This work describes the interaction of phosphorus and arsenic with the impurities contained in this type of brasses, concluding that the main effect results upon the combination of the impurities with Fe or Al or both, allowing for cleaning of the beta-phase, which is most susceptible to dezincification.</t>
  </si>
  <si>
    <t>0255-5476</t>
  </si>
  <si>
    <t>0-87849-919-9</t>
  </si>
  <si>
    <t>426-4</t>
  </si>
  <si>
    <t>10.4028/www.scientific.net/MSF.426-432.4501</t>
  </si>
  <si>
    <t>WOS:000183626400728</t>
  </si>
  <si>
    <t>Bubnovich, VI; Rosas, CE; Moraga, NO</t>
  </si>
  <si>
    <t>A stream function implicit finite difference scheme for 2D incompressible flows of Newtonian fluids</t>
  </si>
  <si>
    <t>INTERNATIONAL JOURNAL FOR NUMERICAL METHODS IN ENGINEERING</t>
  </si>
  <si>
    <t>The development of a new algorithm to solve the Navier-Stokes equations by an implicit formulation for the finite difference method is presented, that can be used to solve two-dimensional incompressible flows by formulating the problem in terms of only one variable, the stream function. Two algebraic equations with 11 unknowns are obtained from the discretized mathematical model through the ADI method. An original algorithm is developed which allows a reduction from the original 11 unknowns to five and the use of the Pentadiagonal Matrix Algorithm (PDMA) in each one of the equations. An iterative cycle of calculations is implemented to assess the accuracy and speed of convergence of the algorithm. The relaxation parameter required is analytically obtained in terms of the size of the grid and the value of the Reynolds number by imposing the diagonal dominancy condition in the resulting pentadiagonal matrixes. The algorithm developed is tested by solving two classical steady fluid mechanics problems: cavity-driven flow with Re= 100, 400 and 1000 and flow in a sudden expansion with expansion ratio H/h = 2 and Re = 50, 100 and 200. The results obtained for the stream function are compared with values obtained by different available numerical methods, to evaluate the accuracy and the CPU time required by the proposed algorithm. Copyright (C) 2002 John Wiley Sons, Ltd.</t>
  </si>
  <si>
    <t>0029-5981</t>
  </si>
  <si>
    <t>1097-0207</t>
  </si>
  <si>
    <t>MAR 30</t>
  </si>
  <si>
    <t>10.1002/nme.378</t>
  </si>
  <si>
    <t>WOS:000174109300007</t>
  </si>
  <si>
    <t>Cárdenas-Jirón, GI; Gulppi, MA; Caro, CA; del Río, R; Páez, M; Zagal, JH</t>
  </si>
  <si>
    <t>Reactivity of electrodes modified with substituted metallophthalocyanines.: Correlations with redox potentials, Hammett parameters and donor-acceptor intermolecular hardness</t>
  </si>
  <si>
    <t>51st Annual Meeting of the International-Society-of-Electrochemistry</t>
  </si>
  <si>
    <t>SEP 03-08, 2000</t>
  </si>
  <si>
    <t>WARSAW, POLAND</t>
  </si>
  <si>
    <t>Int Soc Electrochem</t>
  </si>
  <si>
    <t>We have carried out a systematic study of the electrocatalytic activity of metallophthalocyanines (M(II)-Pcs) adsorbed on graphite electrodes for the electro-oxidation of thiols (R-SH) and for the electroreduction of molecular oxygen. We have found for both reactions that when comparing the activity of substituted phthalocyanines of the same metal, plots of log k at constant potential versus the redox potential of the metallophthalocyanine, the rate of the reaction decreases with increasing driving force of the catalyst. In this work we present evidence that this behavior can be rationalized in terms of the donor-acceptor intermolecular chemical hardness (eta (DA)). The energies of frontier orbitals involved in the estimation of eta (DA) were calculated using the PM3 semi-empirical theoretical method. For the donor-acceptor pairs the lower is the hardness, the higher is the reactivity. (C) 2001 Elsevier Science Ltd. All rights reserved.</t>
  </si>
  <si>
    <t>Gulppi, Miguel/KTA-6210-2024; Paez, Maritza/M-2010-2014; zagal, jose/L-9648-2014; Del Rio, Rodrigo/B-2440-2008; Cardenas-Jiron, Gloria/H-9508-2012</t>
  </si>
  <si>
    <t>Del Rio, Rodrigo/0000-0003-0315-6660; Gulppi, Miguel/0000-0001-6099-4463; Cardenas-Jiron, Gloria/0000-0003-4305-8088; paez, maritza/0000-0001-5881-884X</t>
  </si>
  <si>
    <t>JUL 30</t>
  </si>
  <si>
    <t>20-21</t>
  </si>
  <si>
    <t>10.1016/S0013-4686(01)00614-4</t>
  </si>
  <si>
    <t>WOS:000170862000022</t>
  </si>
  <si>
    <t>Urzúa, A; Modak, B; Torres, R</t>
  </si>
  <si>
    <t>Identification of a new aromatic geranyl derivative in the resinous exudate of Heliotropium filifolium (Boraginaceae)</t>
  </si>
  <si>
    <t>A new aromatic geranyl derivative was isolated from the resinous exudate of Heliotropium filifolium. The structure was elucidated by high-resolution spectroscopic methods as filifolinyl senecionate. The compound has shown antibacterial activity against Escherichia coli K-12. After irradiation of a solution of filifolinyl senecionate with UV at 366 nm, the antibacterial activity was enhanced by 100%.</t>
  </si>
  <si>
    <t>WOS:000170137700011</t>
  </si>
  <si>
    <t>Ureta-Zañartu, S; Yáñez, C; Zagal, JH</t>
  </si>
  <si>
    <t>Changes in the EQCM response of platinum deposits in the hydrogen region induced by repetitive cycling of the electrode</t>
  </si>
  <si>
    <t>The effect of ageing the electrode on the mass response was studied by two approaches, namely: i) ageing the Pt deposits on the Au/Q substrate and ii) ageing the Au/Q substrate and then examining the response of the Pt deposit on the aged Au/Q. Mass changes in the H-region are observed in both cases, which are attributed to an increase in water adsorption/desorption on the Pt surface, due to changes in the structure of the Pt deposit. These changes are not visible in CV curves.</t>
  </si>
  <si>
    <t>Yañez, Claudia/I-2840-2013; zagal, jose/L-9648-2014</t>
  </si>
  <si>
    <t>WOS:000168175900004</t>
  </si>
  <si>
    <t>Bruzzone, M; Barro, M; Spencer, E</t>
  </si>
  <si>
    <t>Identification of adenovirus 7h heterogeneity in the E3 region</t>
  </si>
  <si>
    <t>Adenovirus genotype 7h was previously reported to be originated from a recombination event between adenovirus genotypes 7p and 3p. Based on those findings, further characterization of other adenovirus 7h strains become important to determine whether all adenovirus 7h strains arose from a single recombinational event. To explore such a possibility, 160 clinical isolates were studied after developing a PCR assay using a primer set designed to amplify the region corresponding to E3-7,7 Kd of adenovirus ADV 7p and E3-9 Kd of adenovirus 3p. The assay was able to differentiate most of the subgenus B strains from adeno 7h with the genotype 3d. The study of several adenovirus 7h clinical isolates revealed the existence of three variants of adeno7h. One of the variants, 7h3, shows a high degree of similarity with gene E3-9 Kd of ADV 3p, but lacks the corresponding AUG codon. Our results suggest that more than one recombination event may explain the detection of three different types of adenovirus 7h. The genotype variants of adeno 7h were detected in different years, indicating that the recombination events took place independently from each other. The study of the recombination region may allow further understanding of the function of several viral polypeptides in the immune response, and understanding the mechanism involved in virulence associated to adenovirus 7h.</t>
  </si>
  <si>
    <t>BARRO HERNÁNDEZ, MARIO/GWU-9543-2022</t>
  </si>
  <si>
    <t>Spencer, Eugenio/0000-0001-6109-140X</t>
  </si>
  <si>
    <t>WOS:000171382700005</t>
  </si>
  <si>
    <t>Sanchez, Justino; Ubilla, Pedro</t>
  </si>
  <si>
    <t>One-dimensional elliptic equation with concave and convex nonlinearities</t>
  </si>
  <si>
    <t>ELECTRONIC JOURNAL OF DIFFERENTIAL EQUATIONS</t>
  </si>
  <si>
    <t>We establish the exact number of positive solutions for the boundary-value problem -(vertical bar u'vertical bar(m-2)u')' = lambda u(q) + u(p) in (0, 1) u(0) = u(1) = 0, where 0 &lt;= q &lt; m - 1 &lt; p and lambda is positive.</t>
  </si>
  <si>
    <t>1072-6691</t>
  </si>
  <si>
    <t>JUN 25</t>
  </si>
  <si>
    <t>WOS:000208501600001</t>
  </si>
  <si>
    <t>Yévenes, A; Cardemil, E</t>
  </si>
  <si>
    <t>Expression of the Trypanosoma brucei phosphoenolpyruvate carboxykinase gene in Saccharomyces cerevisiae</t>
  </si>
  <si>
    <t>BIOCHIMIE</t>
  </si>
  <si>
    <t>Plasmid pTbp60B (Kueng et al., J. Biol. Chem. 264 (1989) 5203-5209) was employed to obtain, through the polymerase chain reaction, the Trypanosoma brucei gene coding for phosphoenolpyruvate (PEP) carboxykinase, and then cloned into the yeast expression plasmid pYES2. The cloned gene was completely sequenced and the expression plasmid transformed into Saccharomyces cerevisiae PUK-3B (MAT alpha pck1 ura3 ade1) competent cells. Gene expression took place upon induction with 2% galactose, and the recombinant I: brucei PEP carboxykinase was purified to near homogeneity. The basic molecular and catalytic characteristics of the recombinant enzyme were determined, and they showed to be essentially similar to those reported for wild type I: brucei PEP carboxykinase (Hunt and Kohler, Biochim. Biophys. Acta 1249 (1995) 15-22). The expression system here described is a reliable non-pathogenic source of T. brucei PEP carboxykinase. (C) 2000 Societe francaise de biochimie et biologie moleculaire / Editions scientifiques et medicales Elsevier SAS.</t>
  </si>
  <si>
    <t>Yevenes, Alejandro/0000-0003-3799-1509</t>
  </si>
  <si>
    <t>0300-9084</t>
  </si>
  <si>
    <t>10.1016/S0300-9084(00)00189-9</t>
  </si>
  <si>
    <t>WOS:000086197600004</t>
  </si>
  <si>
    <t>González-Nilo, FD; Vega, R; Cardemil, E</t>
  </si>
  <si>
    <t>Molecular modeling of the complexes between Saccharomyces cerevisiae phosphoenolpyruvate carboxykinase and the ATP analogs pyridoxal 5′-diphosphoadenosine and pyridoxal 5′-triphosphoadenosine.: Specific labeling of lysine 290</t>
  </si>
  <si>
    <t>Molecular mechanics calculations have been employed to obtain models of the complexes between Saccharomyces cerevisiae phosphoenolpyruvate (PEP) kinase and the ATP analogs pyridoxal 5'-diphosphoadenosine (PLP-AMP) and pyridoxal 5'-triphosphoadenosine (PLP-ADP), using the crystalline coordinates of the ATP-pyruvate-Mn2+-Mg2+ complex of Escherichia coli PEP carboxykinase [Tari et al. (1997), Nature Struct. Biol. 4, 990-994]. In these models, the preferred conformation of the pyridoxyl moiety of PLP-ADP and PLP-AMP was established through rotational barrier and simulated annealing procedures. Distances from the carbonyl-C of each analog to epsilon-N of active-site lysyl residues were calculated for the most stable enzyme-analog complex conformation, and it was found that the closest epsilon-N is that from Lys(290), thus predicting Schiff base formation between the corresponding carbonyl and amino groups. This prediction was experimentally verified through chemical modification of S. cerevisiae PEP carboxykinase with PLP-ADP and PLP-AMP. The results here described demonstrate the use of molecular modeling procedures when planning chemical modification of enzyme-active sites.</t>
  </si>
  <si>
    <t>Gonzalez Nilo, Fernando Danilo/M-5671-2016</t>
  </si>
  <si>
    <t>Gonzalez Nilo, Fernando Danilo/0000-0001-6857-3575</t>
  </si>
  <si>
    <t>10.1023/A:1007099010762</t>
  </si>
  <si>
    <t>WOS:000087777700008</t>
  </si>
  <si>
    <t>Jerez, J; Matsuhiro, B; Urzua, CC; Zuñiga, EA</t>
  </si>
  <si>
    <t>Chemical modification of alginic acid and its conjugation to tetanus toxoid.</t>
  </si>
  <si>
    <t>Alginic acid from Lessonia trabeculata was treated with bromine giving a product in 72% yield with 50% of the secondary alcohol groups oxidized to ketone. The oxidized alginic acid gave Schiff bases with amines and reductive amination products in the presence of sodium cyanoborohydride. The modified products were characterized by FT-IR and Raman spectroscopies. The amidation of alginic acid with caprolactam in the presence of carboiimide allowed the introduction of a side chain which in a second amidation, also activated with carbodiimide, was covalently linked to tetanus toroid in 44% yield. This alginic acid modification may be used for the synthesis of glycoconjugates with antigenic properties.</t>
  </si>
  <si>
    <t>WOS:000081380600013</t>
  </si>
  <si>
    <t>Guzmán, EC</t>
  </si>
  <si>
    <t>Chang, YK; Wang, SS</t>
  </si>
  <si>
    <t>Quality parameters for fish meal</t>
  </si>
  <si>
    <t>ADVANCES IN EXTRUSION TECHNOLOGY: AQUACULTURE/ANIMAL FEEDS AND FOODS</t>
  </si>
  <si>
    <t>International Symposium on Animal and Aquaculture Feedstuffs by Extrusion Technology/International Seminar on Advanced Extrusion Technology in Food Applications</t>
  </si>
  <si>
    <t>MAR 09-14, 1998</t>
  </si>
  <si>
    <t>SAO PAULO, BRAZIL</t>
  </si>
  <si>
    <t>Univ Estadual Campinas, Fac Engenharia Alimentos,FAPESP,CAPES,Estelar Com Ind Imp Exp Ltda,Natl Starch &amp; Chem Ind Ltda,Buher SA,Wenger Mfg Inc,Bio Prod Inc,Inbramaq Technol Extrusao Cereais,Krupp Werner &amp; Pfleiderer Co,Grupo Tecnal</t>
  </si>
  <si>
    <t>This paper is an overview of the various analytical parameters utilized to evaluate fish meal quality by the international market of this commodity, information was gathered in the fish industry, private laboratories, and official institutions.</t>
  </si>
  <si>
    <t>1-56676-717-2</t>
  </si>
  <si>
    <t>WOS:000089217300002</t>
  </si>
  <si>
    <t>A new approach to the evaluation of fish meal quality by reaction with 2,4,6-trinitrobenzenesulfonic acid</t>
  </si>
  <si>
    <t>The reaction between powdered fish meals and trinitrobenzenesulfonic acid (TNBS) was studied in order to check if this chemical is able to label those nitrogen compounds of importance for the fish meal quality control. The reaction performed under optimized conditions resulted in five groups of TNBS derivatives: histamine, other biogenic amines, free aminoacids, soluble small proteins and insoluble protein. These groups gave a characteristic pattern closely related to quality. Application of the analytical model to a set of fifteen Chilean fish meals showed that biogenic amines and histamine had a high correlation with toxicity, free aminoacids correlated slightly and soluble proteins did not correlate at all. TNBS bound to the insoluble protein matrix showed potential for evaluating the nutritional status of the fish meal.</t>
  </si>
  <si>
    <t>WOS:000089217300019</t>
  </si>
  <si>
    <t>Aliaga, C; Lissi, EA</t>
  </si>
  <si>
    <t>Reaction of 2,2′-azinobis(3-ethylbenzothiazoline-6-sulfonic acid (ABTS) derived radicals with hydroperoxides.: Kinetics and mechanism</t>
  </si>
  <si>
    <t>INTERNATIONAL JOURNAL OF CHEMICAL KINETICS</t>
  </si>
  <si>
    <t>Tert-Butyl hydroperoxide and hydrogen peroxide readily react with the radical cation derived from 2,2'-azinobis(3-ethylbenzothiazoline-6-sulfonic acid) (ABTS). The reaction is inhibited by ABTS and protons, and can be interpreted in terms of a mechanism comprising a partially reversible electron transfer ROOH + ABTS(.+) &lt;--&gt; ROO. + ABTS + H+ (1) followed by the self-reactions of the hydroperoxide derived radicals and reactions between them and another ABTS derived radical. A complete kinetic analysis allows an evaluation of the rate constant for reaction (1). A Value of 0.2 M-1 s(-1) was obtained for both compounds. The back reaction of process (1) is more relevant when tert-butyl hydroperoxide is employed. (C) 1998 John Wiley &amp; Sons, Inc. Int J Chem Kinet 10: 565-570, 1998.</t>
  </si>
  <si>
    <t>Aliaga, Carolina/G-6024-2019</t>
  </si>
  <si>
    <t>Aliaga, Carolina/0000-0002-1352-3164</t>
  </si>
  <si>
    <t>0538-8066</t>
  </si>
  <si>
    <t>10.1002/(SICI)1097-4601(1998)30:8&lt;565::AID-KIN5&gt;3.0.CO;2-Q</t>
  </si>
  <si>
    <t>WOS:000074871100005</t>
  </si>
  <si>
    <t>Costamagna, J; Barroso, NP; Matsuhiro, B; Villagran, M</t>
  </si>
  <si>
    <t>Copper(II) complexes with aminosugar derived Schiff bases as ligands</t>
  </si>
  <si>
    <t>INORGANICA CHIMICA ACTA</t>
  </si>
  <si>
    <t>33rd International Conference on Coordination Chemistry</t>
  </si>
  <si>
    <t>AUG 30-SEP 04, 1998</t>
  </si>
  <si>
    <t>FLORENCE, ITALY</t>
  </si>
  <si>
    <t>The reaction of cupric chloride with the Schiff base of methyl 2-amino-2-deoxy-beta-D-glucopyranoside with 2-hydroxynaphthaldehyde gave a copper(II) complex which was characterized by cyclic voltammetry and by FT-IR and electronic spectroscopies. Circular dichroism spectra of this complex and the copper(II) complex with the D-glucosamine derived Schiff base exhibited Cotton effects in the d-d transition region, which is characteristic of a square planar copper(II) environment. The coordination of the Schiff bases to the metal is through the enol-imine tautomeric form. The participation of the hydroxyl groups of the sugar moieties in the complexation is excluded. (C) 1998 Elsevier Science S.A. All rights reserved.</t>
  </si>
  <si>
    <t>0020-1693</t>
  </si>
  <si>
    <t>1873-3255</t>
  </si>
  <si>
    <t>10.1016/S0020-1693(97)06075-1</t>
  </si>
  <si>
    <t>WOS:000073728200026</t>
  </si>
  <si>
    <t>Guinez, V</t>
  </si>
  <si>
    <t>Rank two codimension 1 singularities of positive quadratic differential forms</t>
  </si>
  <si>
    <t>NONLINEARITY</t>
  </si>
  <si>
    <t>Every positive C-infinity-quadratic differential form defined on an oriented surface has two transversal C-infinity-one-dimensional foliations with common singularities associated with it. In this article we begin the description of the simplest patterns of topological change-bifurcation-in one-parameter families of positive C-infinity-quadratic differential forms xi(t), depending smoothly on areal parameter t, which occur at values t = t(0) where xi(t) has a non-locally stable singular point.</t>
  </si>
  <si>
    <t>0951-7715</t>
  </si>
  <si>
    <t>1361-6544</t>
  </si>
  <si>
    <t>10.1088/0951-7715/10/3/004</t>
  </si>
  <si>
    <t>WOS:A1997WZ93800004</t>
  </si>
  <si>
    <t>Blasco, R; Diaz, G; Reyes, GA</t>
  </si>
  <si>
    <t>Strumillo, C; Pakowski, Z</t>
  </si>
  <si>
    <t>Pneumatic suspension drying</t>
  </si>
  <si>
    <t>DRYING '96, VOL A</t>
  </si>
  <si>
    <t>10th International Drying Symposium (IDS 96)</t>
  </si>
  <si>
    <t>JUL 30-AUG 02, 1996</t>
  </si>
  <si>
    <t>KRAKOW, POLAND</t>
  </si>
  <si>
    <t>Polish Acad Sci,State Comm Sci Res, Poland,SiTPChem, Poland,European Federat Chem Engineers,Drying Working Party EFChEng,Canadian Soc Chem Engn,Amer Inst Chem Engineers,Inst Chem Engineers, London,Japan Soc Chem Engineers,AFSIA, France</t>
  </si>
  <si>
    <t>83-86903-06-6</t>
  </si>
  <si>
    <t>WOS:A1996BG33W00049</t>
  </si>
  <si>
    <t>OPEN-CIRCUIT REDUCTION OF OXYGEN COVERAGE ON IR BY HYDRAZINE</t>
  </si>
  <si>
    <t>Our previous work with the iridium/hydrazine system suggested the possibility of a chemical reaction between the superficial iridium oxide and the hydrazine molecules in the solution. In this work, we have adapted the Christov work to our experimental conditions and we have obtained the algebraic equations which could account for the processes here described. The use of these equations with our experimental results, obtained from E-t curves confirms the hypothesis of a charge transfer reaction between hydrazine and superficial Ir oxide.</t>
  </si>
  <si>
    <t>WOS:A1995QV98900006</t>
  </si>
  <si>
    <t>2ND-DERIVATIVE FOURIER-TRANSFORM INFRARED-SPECTRA OF SEAWEED GALACTANS</t>
  </si>
  <si>
    <t>The Fourier transform infrared spectra of agar, agarose, kappa-, iota-, and lambda-carrageenan, and of Chondrus canaliculatus, Iridaea ciliata, I. membranacea, I. laminarioides and Gracilaria chilensis polysaccharides were recorded in the 4000-400 cm-1 region. The bands in the second derivative mode are sharper and more bands are resolved than in the normal spectra. Agar, agarose and G. chilensis phycocolloids exhibit diagnostic bands at almost-equal-to 790 and almost-equal-to 713 cm-1 . kappa-, iota- and lambda-carrageenans, and native carrageenan-type polysaccharides from C. canaliculatus and Iridaea species exhibit bands at around 1160, 1140, 1100, 1070, 1040, 1008, 610, and 580 cm-1. Therefore, FT-IR spectroscopy in the second-derivative mode may be applied to differentiate between agar- and carrageenan-types seaweed galactans.</t>
  </si>
  <si>
    <t>1573-5176</t>
  </si>
  <si>
    <t>10.1007/BF02182421</t>
  </si>
  <si>
    <t>WOS:A1993KQ71300006</t>
  </si>
  <si>
    <t>ZAGAL, JH; VERA, RM; URETAZANARTU, MS</t>
  </si>
  <si>
    <t>ELECTROOXIDATION OF FORMIC-ACID AT IRIDIUM ELECTRODES - ROLE OF DEPOSITED HEAVY-METALS</t>
  </si>
  <si>
    <t>Vera, Rodrigo/AAF-5070-2019; Ureta-Zañartu, Maria/G-5239-2019; zagal, jose/L-9648-2014</t>
  </si>
  <si>
    <t>SEP 25</t>
  </si>
  <si>
    <t>10.1016/0022-0728(90)87181-I</t>
  </si>
  <si>
    <t>WOS:A1990ED40100010</t>
  </si>
  <si>
    <t>ENCINAS, MV; QUINONES, V; CARDEMIL, E</t>
  </si>
  <si>
    <t>SACCHAROMYCES-CEREVISIAE PHOSPHOENOLPYRUVATE CARBOXYKINASE - PHYSICOCHEMICAL CHARACTERISTICS OF THE NUCLEOTIDE BINDING-SITE, AS DEDUCED FROM FLUORESCENT SPECTROSCOPY MEASUREMENTS</t>
  </si>
  <si>
    <t>BIOCHEMISTRY</t>
  </si>
  <si>
    <t>Saccharomyces cerevisiae phosphoenolpyruvate carboxykinase [ATP:oxaloacetate carboxy-lyase (transphosphorylating), EC 4.1.1.49] is inactivated by the fluorescent sulfhydryl reagent N-(iodoacetyl-N''-(5-sulfo-1-naphthyl)ethylenediamine (1,5-IAEDANS). The inactivation reaction follows pseudo-first-order kinetics with respect to active enzyme to less than 10% remaining enzyme activty, with a second-order inactivation rate constant of 2.6 min-1 mM-1 at pH 7.5 and 30.degree. C. A stoichiometry of 1.05 mol of reagent incorporated per mole of enzyme subunit was found for the completely inactivated enzyme. Almost complete protection of the enzyme activity and of dansyl label incorporation are afforded by MnADP or MnATP, thus suggesting that 1,5-IAEDANS interacts with an enzyme sulfhydryl group at the nucleotide binding site. The fluorescence decay of the AEDANS attached to the protein shows a single-exponential behavior with a lifetime of 18 ns. A comparison of the fluorescence band position and the fluorescence decay with those of the adduct AEDANS-acetylcysteine indicates a reduced polarity for the microenvironment of the substrate binding site. The quenching of the AEDANS moiety in the protein can be described in terms of a collisional and a static component. The rate constant for the collisional component is much lower than that obtained for the adduct in a medium of reduced polarity. These last results indicate that the AEDANS moiety is considerably shielded from the solvent when it is covalently attached to PEPCK.</t>
  </si>
  <si>
    <t>0006-2960</t>
  </si>
  <si>
    <t>1520-4995</t>
  </si>
  <si>
    <t>10.1021/bi00471a007</t>
  </si>
  <si>
    <t>WOS:A1990DD60800007</t>
  </si>
  <si>
    <t>GAUTIER, JL; ZAPATA, S; ORTIZ, J</t>
  </si>
  <si>
    <t>EASY-REFINE</t>
  </si>
  <si>
    <t>JOURNAL OF APPLIED CRYSTALLOGRAPHY</t>
  </si>
  <si>
    <t>0021-8898</t>
  </si>
  <si>
    <t>OCT 1</t>
  </si>
  <si>
    <t>10.1107/S0021889887086278</t>
  </si>
  <si>
    <t>WOS:A1987K372500027</t>
  </si>
  <si>
    <t>GILLLAMBIAS, FJ; RODRIGUEZ, H; BOUYSSIERES, I; ESCUDEY, M; CARKOVIC, I</t>
  </si>
  <si>
    <t>HYDRODESULFURIZATION CATALYSTS - ELECTROPHORETIC STUDY OF MO(OR W) - CO, MO(OR W) - NI, AND MO(OR W) - CA SULFIDED PHASES</t>
  </si>
  <si>
    <t>JOURNAL OF CATALYSIS</t>
  </si>
  <si>
    <t>0021-9517</t>
  </si>
  <si>
    <t>10.1016/0021-9517(86)90138-7</t>
  </si>
  <si>
    <t>WOS:A1986E594700005</t>
  </si>
  <si>
    <t>HENRIQUEZ, HR</t>
  </si>
  <si>
    <t>ON NON-EXACT CONTROLLABLE SYSTEMS</t>
  </si>
  <si>
    <t>INTERNATIONAL JOURNAL OF CONTROL</t>
  </si>
  <si>
    <t>0020-7179</t>
  </si>
  <si>
    <t>10.1080/00207178508933347</t>
  </si>
  <si>
    <t>WOS:A1985AQP5900006</t>
  </si>
  <si>
    <t>MATSUHIRO, B; ZANLUNGO, AB</t>
  </si>
  <si>
    <t>THE SULFONYL DERIVATIVES OF ALDITOLS .3. DITOSYLATION OF 3,4-DI-O-PARA--TOLYLSULFONYL-D-MANNITOL - ISOLATION OF 1,3,4,6-TETRA-O-PARA-TOLYLSULFONYL-D-MANNITOL AND OF 1,5-ANHYDRO-3,4,6-TRI-O-PARA-TOLYLSULFONYL-D-MANNITOL</t>
  </si>
  <si>
    <t>CARBOHYDRATE RESEARCH</t>
  </si>
  <si>
    <t>0008-6215</t>
  </si>
  <si>
    <t>10.1016/S0008-6215(00)85238-6</t>
  </si>
  <si>
    <t>WOS:A1981LG16700015</t>
  </si>
  <si>
    <t>TRUMBULL, GC</t>
  </si>
  <si>
    <t>HIGH DOSE ETHAMBUTOL</t>
  </si>
  <si>
    <t>AMERICAN REVIEW OF RESPIRATORY DISEASE</t>
  </si>
  <si>
    <t>0003-0805</t>
  </si>
  <si>
    <t>WOS:A1977DF78300021</t>
  </si>
  <si>
    <t>Urrea, C; Vélez, M</t>
  </si>
  <si>
    <t>Urrea, Claudio; Velez, Maximiliano</t>
  </si>
  <si>
    <t>Advances in Deep Learning for Semantic Segmentation of Low-Contrast Images: A Systematic Review of Methods, Challenges, and Future Directions</t>
  </si>
  <si>
    <t>SENSORS</t>
  </si>
  <si>
    <t>The semantic segmentation (SS) of low-contrast images (LCIs) remains a significant challenge in computer vision, particularly for sensor-driven applications like medical imaging, autonomous navigation, and industrial defect detection, where accurate object delineation is critical. This systematic review develops a comprehensive evaluation of state-of-the-art deep learning (DL) techniques to improve segmentation accuracy in LCI scenarios by addressing key challenges such as diffuse boundaries and regions with similar pixel intensities. It tackles primary challenges, such as diffuse boundaries and regions with similar pixel intensities, which limit conventional methods. Key advancements include attention mechanisms, multi-scale feature extraction, and hybrid architectures combining Convolutional Neural Networks (CNNs) with Vision Transformers (ViTs), which expand the Effective Receptive Field (ERF), improve feature representation, and optimize information flow. We compare the performance of 25 models, evaluating accuracy (e.g., mean Intersection over Union (mIoU), Dice Similarity Coefficient (DSC)), computational efficiency, and robustness across benchmark datasets relevant to automation and robotics. This review identifies limitations, including the scarcity of diverse, annotated LCI datasets and the high computational demands of transformer-based models. Future opportunities emphasize lightweight architectures, advanced data augmentation, integration with multimodal sensor data (e.g., LiDAR, thermal imaging), and ethically transparent AI to build trust in automation systems. This work contributes a practical guide for enhancing LCI segmentation, improving mean accuracy metrics like mIoU by up to 15% in sensor-based applications, as evidenced by benchmark comparisons. It serves as a concise, comprehensive guide for researchers and practitioners advancing DL-based LCI segmentation in real-world sensor applications.</t>
  </si>
  <si>
    <t>1424-8220</t>
  </si>
  <si>
    <t>MAR 25</t>
  </si>
  <si>
    <t>10.3390/s25072043</t>
  </si>
  <si>
    <t>WOS:001465781400001</t>
  </si>
  <si>
    <t>Acuña, M; Walter, M; Paez, M; Azocar, MI</t>
  </si>
  <si>
    <t>Acuna, Monica; Walter, Mariana; Paez, Maritza; Azocar, Manuel Ignacio</t>
  </si>
  <si>
    <t>Colorimetric Detection of Bovine Serum Albumin (BSA Protein) by Interaction and Modification of Silver Nanoparticles</t>
  </si>
  <si>
    <t>ACS OMEGA</t>
  </si>
  <si>
    <t>The detection of serum albumin is of great relevance because its presence in urine above normal levels is implicated in different pathologies, such as Diabetes Mellitus and Preeclampsia. The main objective of this work was to develop a protocol to sense serum albumin using the well-known unusual optical phenomenon that nanoparticles present, which is called surface plasmon resonance (SPR), as well as the influence of proteins on the size and morphology of nanoparticles, and consequently, on the SPR. The interaction of these nanoparticles with proteins forms biocoronates, which modify the optical and morphological properties of nanostructures. This behavior could be important for the construction of colorimetric sensors for medical or environmental applications. Considering the above, in the present study, we propose to sense Serum Albumin in the presence of silver nanoparticles (AgNps) for its determination and quantification under various physiological conditions that simulate the environment of human urine. The analysis of the growth of small AgNps (seeds) in the presence of the protein generated colorimetric changes, which were a function of pH, urea content, and chloride concentration. The presence of Serum Albumin also produced variations in the morphology and size of nanoparticles. With this methodology, the quantification of BSA was determined in a concentration range between 0.28 and 0.75 g/L and in less than 5 min of reaction.</t>
  </si>
  <si>
    <t>Paez, Maritza/M-2010-2014</t>
  </si>
  <si>
    <t>2470-1343</t>
  </si>
  <si>
    <t>JAN 14</t>
  </si>
  <si>
    <t>10.1021/acsomega.4c07828</t>
  </si>
  <si>
    <t>WOS:001395920800001</t>
  </si>
  <si>
    <t>Kern, J; Bernal, DFQ; Urrea, C</t>
  </si>
  <si>
    <t>Kern, John; Bernal, Daniel Fernando Quintero; Urrea, Claudio</t>
  </si>
  <si>
    <t>Multimodal Data Fusion System for Accurate Identification of Impact Points on Rocks in Mining Comminution Tasks</t>
  </si>
  <si>
    <t>PROCESSES</t>
  </si>
  <si>
    <t>This study presents a multimodal data fusion system to identify and impact rocks in mining comminution tasks, specifically during the crushing stage. The system integrates information from various sensory modalities to enhance data accuracy, even under challenging environmental conditions such as dust and lighting variations. For the strategy selected in this study, 15 rock characteristics are extracted at neighborhood radii of 5 mm, 10 mm, 15 mm, 20 mm, and 25 mm to determine the suitable impact points. Through processes like the Ball-Pivoting Algorithm (BPA) and Poisson Surface Reconstruction techniques, the study achieves a detailed reconstruction of filtered points based on the selected characteristics. Unlike related studies focused on controlled conditions or limited analysis of specific rock shapes, this study examines all rock faces, ensuring the more accurate identification of impact points under adverse conditions. Results show that rock faces with the largest support areas are most suitable for receiving impacts, enhancing the efficiency and stability of the crushing process. This approach addresses the limitations of manual operations and provides a pathway for reducing operational costs and energy consumption. Furthermore, it establishes a robust foundation for future research to develop fully autonomous systems capable of maintaining reliable performance in extreme mining environments.</t>
  </si>
  <si>
    <t>Quintero Bernal, Daniel Fernando/0000-0002-0745-6452; Urrea, Claudio/0000-0001-7197-8928</t>
  </si>
  <si>
    <t>2227-9717</t>
  </si>
  <si>
    <t>10.3390/pr13010087</t>
  </si>
  <si>
    <t>WOS:001403908700001</t>
  </si>
  <si>
    <t>Ureta, T; Higuera, S; Galvez, D; Santander, P; Delgado, L; Lopez, B</t>
  </si>
  <si>
    <t>Ureta, Tahia; Higuera, Sabrina; Galvez, Daniel; Santander, Pavlo; Delgado, Lorena; Lopez, Betzabe</t>
  </si>
  <si>
    <t>Proposal for a Management Indicator of the Capability of Organizations for the Development of Sustainable Innovations</t>
  </si>
  <si>
    <t>HUMAN-CENTRED TECHNOLOGY MANAGEMENT FOR A SUSTAINABLE FUTURE, VOL 3, IAMOT 2024</t>
  </si>
  <si>
    <t>Innovation allows organizations to generate new solutions that add value, provide competitive advantages and enable economic growth. However, the current challenges embodied in the 17 Sustainable Development Goals, such as climate change, poverty, health, hunger, education, among others, force innovation to consider not only economic factors, but also social and environmental factors. This is how the concept of sustainable innovation arises, which seeks to integrate three factors: economic, social and environmental. This article proposes a model for managing the capability of organizations to develop and implement sustainable innovations that have this triple impact. Based on a model of best practices evaluated from maturity grids, the potential of organizations to carry out sustainable innovation is diagnosed. The objective is that this diagnosis serves as a starting point to propose improvement strategies in this aspect.</t>
  </si>
  <si>
    <t>978-3-031-72492-3; 978-3-031-72490-9; 978-3-031-72489-3</t>
  </si>
  <si>
    <t>10.1007/978-3-031-72490-9_54</t>
  </si>
  <si>
    <t>WOS:001460827600054</t>
  </si>
  <si>
    <t>Henríquez-Vargas, L; Donoso-García, P; Lackey, L; Bravo-Gutiérrez, M; Cajas, B; Reyes, A; Pailahueque, N; Diaz-Aburto, I; Bubnovich, V</t>
  </si>
  <si>
    <t>Henriquez-Vargas, Luis; Donoso-Garcia, Pablo; Lackey, Lawrence; Bravo-Gutierrez, Mauricio; Cajas, Benjamin; Reyes, Alejandro; Pailahueque, Nicolas; Diaz-Aburto, Isaac; Bubnovich, Valeri</t>
  </si>
  <si>
    <t>Modeling of the Solid Stress Tensor in the MP-PIC Method: A Review of Methods and Applications</t>
  </si>
  <si>
    <t>MATHEMATICS</t>
  </si>
  <si>
    <t>In recent years, the fast growth of computational power has allowed the application of computational fluid dynamics (CFD) in a wide range of areas of interest, such as gas-solid unit operations. In this context, the multiphase particle-in-cell (MP-PIC) method appears as an option to represent fluid-particle and particle-particle interactions, avoiding the complexity of tracking each particle and the high computational cost derived from this. The MP-PIC method can represent the particles as a group with the same characteristics, allowing the simulation of gas-solid systems at different scales. To achieve this, the particle-particle interactions are simplified using the solid stress tensor to represent them; this does not require explicit expressions. This approach has a low computational cost, allowing the simulation of industrial cases using just workstations. This paper provides a review of the literature on the solid stress tensor and its commercial and non-commercial applications, including its historical and mathematical development in the description of particle-particle interactions. In addition, to consolidate the knowledge and advancing understanding in this crucial aspect of multiphase flow simulations, this review identifies the current challenges and opportunities for future research in multiphase systems based on the solid stress tensor. In addition, this review identifies the current challenges and opportunities for future research in multiphase systems based on the solid stress tensor.</t>
  </si>
  <si>
    <t>Henríquez-Vargas, Luis/Q-3617-2019; Pailahueque, Nicolas/GYA-3286-2022; Donosoga, Pablo/HZI-2632-2023; DIAZ-ABURTO, ISAAC/AAN-4170-2021</t>
  </si>
  <si>
    <t>Bravo-Gutierrez, Mauricio/0009-0006-6874-6513; Donoso Garcia, Pablo/0000-0001-9839-8691; DIAZ-ABURTO, ISAAC/0000-0002-4850-1125</t>
  </si>
  <si>
    <t>2227-7390</t>
  </si>
  <si>
    <t>10.3390/math12233700</t>
  </si>
  <si>
    <t>WOS:001376341900001</t>
  </si>
  <si>
    <t>Caputo, R; Ordóñez, F</t>
  </si>
  <si>
    <t>Caputo, Rodrigo; Ordonez, Felix</t>
  </si>
  <si>
    <t>Pension inequality and collective pensions funds: the trade-offs of pension redistribution</t>
  </si>
  <si>
    <t>APPLIED ECONOMICS</t>
  </si>
  <si>
    <t>This paper evaluates the macroeconomic and welfare impacts of introducing a Collective Defined Contribution (CDC) scheme to reduce pension inequality within a Fully Funded Defined Contribution (FDC) system. Using an overlapping generations (OLG) model, we analyse the Chilean pension system to assess how a CDC scheme reallocates resources from high- to low-productivity pensioners, increasing overall welfare by improving the replacement rates of low-income retirees. Results show that implementing a CDC scheme boosts the capital stock and GDP while only slightly decreasing private savings and consumption. Although high-productivity workers experience a welfare loss due to increased contributions, the positive redistribution effect for low-productivity workers results in a net welfare gain for society. When compared to raising taxes on labour, capital, or consumption, the CDC scheme proves more efficient, as tax-based alternatives lead to larger welfare losses. Capital taxes significantly reduce investment and GDP, causing a 6.9% drop in steady-state consumption. Our findings are robust across different worker ratios, demonstrating that the CDC scheme is an effective policy for reducing pension inequality while supporting economic growth and maintaining overall welfare.</t>
  </si>
  <si>
    <t>Caputo Galarce, Rodrigo Ernesto/0000-0003-1658-2802</t>
  </si>
  <si>
    <t>0003-6846</t>
  </si>
  <si>
    <t>1466-4283</t>
  </si>
  <si>
    <t>2024 NOV 8</t>
  </si>
  <si>
    <t>10.1080/00036846.2024.2425862</t>
  </si>
  <si>
    <t>WOS:001349255300001</t>
  </si>
  <si>
    <t>Chourio-Acevedo, L; González-Ibañez, R</t>
  </si>
  <si>
    <t>Chourio-Acevedo, Luz; Gonzalez-Ibanez, Roberto</t>
  </si>
  <si>
    <t>Evaluation of Online Inquiry Competencies of Chilean Elementary School Students: A Dataset</t>
  </si>
  <si>
    <t>DATA</t>
  </si>
  <si>
    <t>In the age of abundant digital content, children and adolescents face the challenge of developing new information literacy competencies, particularly those pertaining to online inquiry, in order to thrive academically and personally. This article addresses the challenge encountered by Chilean students in developing online inquiry competencies (OICs) essential for completing school assignments, particularly in natural science education. A diagnostic study was conducted with 279 elementary school students (from fourth to eighth grade) from four educational institutions in Chile, representing diverse socioeconomic backgrounds. An instrument aligned with the national curriculum, featuring questions related to natural sciences, was administered through a game named NEURONE-Trivia, which integrates a search engine and a logging component to record students' search behavior. The primary outcome of this study is a dataset comprising demographic information, self-perception, and information-seeking behaviors data collected during students' online search sessions for natural science research tasks. This dataset serves as a valuable resource for researchers, educators, and practitioners interested in investigating the interplay between demographic characteristics, self-perception, and information-seeking behaviors among elementary students within the context of OIC development. Furthermore, it enables further examination of students' search behaviors concerning source evaluation, information retrieval, and information utilization. Dataset: The dataset is available in the Mendeley Data repository. Doi: 10.17632/dwkh4yfm7f.4. Dataset License: The license under which the dataset is made available is CC-BY 4.0</t>
  </si>
  <si>
    <t>Chourio-Acevedo, Luz Mairet/0000-0001-8434-4553; Gonzalez-Ibanez, Roberto/0000-0002-4193-6548</t>
  </si>
  <si>
    <t>2306-5729</t>
  </si>
  <si>
    <t>10.3390/data9070085</t>
  </si>
  <si>
    <t>WOS:001278148700001</t>
  </si>
  <si>
    <t>Cerro, D; Torres, A; Romero, J; Streitt, C; Rojas, A; Matiacevich, S; Machuca, S</t>
  </si>
  <si>
    <t>Cerro, Daniela; Torres, Alejandra; Romero, Julio; Streitt, Camilo; Rojas, Adrian; Matiacevich, Silvia; Machuca, Sebastian</t>
  </si>
  <si>
    <t>Supercritical fluid extraction of emulsion-assisted encapsulation of hypocholesterolemic bioactive compounds</t>
  </si>
  <si>
    <t>JOURNAL OF SUPERCRITICAL FLUIDS</t>
  </si>
  <si>
    <t>(3-sitosterol and Curcumin, known for their hypocholesterolemic effects, have difficulties for application in aqueous foods due to their reduced water solubility and stability. The encapsulation technique allows these compounds to be protected, resulting in increased bioavailability and bioaccessibility. This study investigated the feasibility of producing capsules using different biopolymeric coating materials through a Supercritical Fluids Extraction of Emulsions (SFEE) encapsulation process. Emulsions with homogeneous droplet sizes were processed at 40 [degrees C] by the SFEE method at pressures of 9 and 13 [MPa]. (3-sitosterol powder was successfully encapsulated in both polycaprolactone and modified-starch matrices. Curcumin could only be encapsulated in modified starch, probably because of the highly hydrophobic nature of this compound. The resulting powders, with process efficiencies higher than 60%, were characterized by thermal, structural and morphological analyses, indicating agglomerated spherical capsules. Optimal encapsulation was at 9 [MPa] due to smaller capsule sizes, lower pressure requirements and reduced CO2 consumption.</t>
  </si>
  <si>
    <t>Torres, Alejandra/LPQ-5664-2024; Rojas, Adrián/AAR-9441-2021; Romero, Julio/I-6705-2013</t>
  </si>
  <si>
    <t>Romero, Julio/0000-0002-1229-1592</t>
  </si>
  <si>
    <t>0896-8446</t>
  </si>
  <si>
    <t>1872-8162</t>
  </si>
  <si>
    <t>10.1016/j.supflu.2024.106306</t>
  </si>
  <si>
    <t>MAY 2024</t>
  </si>
  <si>
    <t>WOS:001345271000001</t>
  </si>
  <si>
    <t>Gacitúa-Casanova, C; Pavez, AL</t>
  </si>
  <si>
    <t>Gacitua-Casanova, Camila; Pavez, Amaya L.</t>
  </si>
  <si>
    <t>Desgener[iz]ated bodies: rescuing the experiences of intersex people as users of the Chilean public health system</t>
  </si>
  <si>
    <t>CULTURA DE LOS CUIDADOS</t>
  </si>
  <si>
    <t>Introduction: Intersexuality includes extremely rare conditions where a person is born with a sexual anatomy different from the male-female binary; this supposes inhabiting a body outside the intelligible, configuring a stigma. Historically and from the heteronorm, the biomedical model has sought to surgically normalize them in order to precociously and arbitrarily assign a gender in harmony with genitality. From Human Rights, these practices have been questioned by Intersex groups. Materials and method: During the years 2019 and 2020, case studies were carried out through in-depth interviews with two adult users of the Urology and Endocrinology Polyclinics of a public hospital at Santiago, Chile; Husserl's phenomenology was used to visualize the phenomenon according to how it is experienced by the subjects who carry it, using the procedure described by Colaizzi as an information analysis plan. Results: Main and overlapping units of meaning were recognized, whose essences allowed describing the phenomenon of: being a child and inhabiting the hospital space, currently living with the condition, and the experience of using the health system as an adult, with new and own meanings. Conclusions: Various agency strategies were identified both in the hospital space and in everyday life, through a personal and silent process of learning about the implications of being intersex.</t>
  </si>
  <si>
    <t>1138-1728</t>
  </si>
  <si>
    <t>1699-6003</t>
  </si>
  <si>
    <t>10.14198/cuid.26147</t>
  </si>
  <si>
    <t>WOS:001258699800005</t>
  </si>
  <si>
    <t>Neira, H</t>
  </si>
  <si>
    <t>Neira, Hernan</t>
  </si>
  <si>
    <t>LUCRETIA'S MOTIVES A PHILOSOPHICAL CONSIDERATION ON RAPE AND SELF-KILLING</t>
  </si>
  <si>
    <t>IDEAS Y VALORES</t>
  </si>
  <si>
    <t>Lucretia narrates her rape and promptly commits suicide. Her act is private, but she joins it with another of public consequences; this act regards the State and it is also offered to public discussion. With this act, she transfers political responsibilities on the patricians and awakes public duties on them. Agustin of Hippo's and Kant's analysis on that suicide, centred on shame and honour, neglects the relevance of testify and making known the crime, do not glimpse the chain of moral and political deeds that Lucretia enlightens and they do not discern the public interest of the fact. A philosophical consideration about narrating rape and suicide allows elucidating some political acts of the heroine and of rape.</t>
  </si>
  <si>
    <t>0120-0062</t>
  </si>
  <si>
    <t>2011-3668</t>
  </si>
  <si>
    <t>10.15446/ideasyvalores.v73n185.93604</t>
  </si>
  <si>
    <t>WOS:001190409700008</t>
  </si>
  <si>
    <t>Dhanalakshmi, R; Denardin, JC</t>
  </si>
  <si>
    <t>Dhanalakshmi, Radhalayam; Denardin, Juliano C.</t>
  </si>
  <si>
    <t>Effect of the magnetic field on simultaneous photocatalytic detoxification of Cr (VI) and phenol red over LaFeO3/ZnFe2O4 heterostructures</t>
  </si>
  <si>
    <t>MATERIALS LETTERS</t>
  </si>
  <si>
    <t>LaFeO3/ZnFe2O4 (LFO/ZFO) p-n heterostructures were prepared by hydrothermal method and employed in the reduction of heavy metal Cr (VI) and degradation of organic pollutant phenol red (PR) from contaminated water in the absence and presence of external magnetic field (MF) under visible light irradiation. The LFO/ZFO dis-played notable catalytic activity in the presence of the MF for treating the Cr (VI) and PR single pollutants (SP). Especially, the catalyst showed superior performance to detoxify the pollutants from Cr (VI)-PR mixed pollutants (MP) solution at 0.4 T of MF, i.e., 97.1 % Cr (VI) and 99.8 % PR degraded simultaneously.</t>
  </si>
  <si>
    <t>Denardin, Juliano/S-6407-2019</t>
  </si>
  <si>
    <t>0167-577X</t>
  </si>
  <si>
    <t>1873-4979</t>
  </si>
  <si>
    <t>JAN 1</t>
  </si>
  <si>
    <t>10.1016/j.matlet.2022.133389</t>
  </si>
  <si>
    <t>OCT 2022</t>
  </si>
  <si>
    <t>WOS:000878718600001</t>
  </si>
  <si>
    <t>Páez, F; Kaschel, H</t>
  </si>
  <si>
    <t>Paez, Felipe; Kaschel, Hector</t>
  </si>
  <si>
    <t>Design and Testing of a Computer Security Layer for the LIN Bus</t>
  </si>
  <si>
    <t>Most modern vehicles are connected to the internet via cellular networks for navigation, assistance, etc. via their onboard computer, which can also provide onboard Wi-Fi and Bluetooth services. The main in-vehicle communication buses (CAN, LIN, FlexRay) converge at the vehicle's onboard computer and offer no computer security features to protect the communication between nodes, thus being highly vulnerable to local and remote cyberattacks which target the onboard computer and/or the vehicle's electronic control units through the aforementioned buses. To date, several computer security proposals for CAN and FlexRay buses have been published; a formal computer security proposal for the LIN bus communications has not been presented. So, we researched possible security mechanisms suitable for this bus's particularities, tested those mechanisms in microcontroller and PSoC hardware, and developed a prototype LIN network using PSoC nodes programmed with computer security features. This work presents a novel combination of encryption and a hash-based message authentication code (HMAC) scheme with replay attack rejection for the LIN communications. The obtained results are promising and show the feasibility of the implementation of an LIN network with real-time computer security protection.</t>
  </si>
  <si>
    <t>Kaschel, Hector/0000-0002-0868-7834; PAEZ, FELIPE/0000-0003-2777-7330</t>
  </si>
  <si>
    <t>10.3390/s22186901</t>
  </si>
  <si>
    <t>WOS:000857104900001</t>
  </si>
  <si>
    <t>Abejón, R</t>
  </si>
  <si>
    <t>Abejon, Ricardo</t>
  </si>
  <si>
    <t>An Overview to Technical Solutions for Molybdenum Removal: Perspective from the Analysis of the Scientific Literature on Molybdenum and Drinking Water (1990-2019)</t>
  </si>
  <si>
    <t>WATER</t>
  </si>
  <si>
    <t>A bibliometric analysis using the Scopus database was performed to investigate the research documents published from 1990 to 2019 in scientific sources related to molybdenum in drinking water and determine the quantitative characteristics of the research in this period. The results from the analysis revealed that the number of publications was maintained at a regular production of around 5 papers per year until 2009, followed by a fast linear increase in the production in the period from 2010 to 2016 (29 papers in 2016), but the scientific production regarding this topic was reduced in 2017 and 2018 to recover the production obtained in 2016 once again in 2019. The total contribution of the three most productive countries (USA, China and India, respectively) accounted for around 50% of the total number of publications. Environmental Science was the most common subject (51.4% contribution), followed by Chemistry (26.7% contribution). The research efforts targeted toward the search for technical solutions for molybdenum removal from water are not as important as the ones focused on the identification of molybdenum-polluted water bodies and the analysis of the health effects of the intake of molybdenum. Nevertheless, examples of technological treatments to remove molybdenum from the aqueous solution include the use of adsorption and ion exchange; coagulation, flocculation and precipitation followed by filtration; membrane technologies and biological treatments.</t>
  </si>
  <si>
    <t>Abejon, Ricardo/I-7171-2019</t>
  </si>
  <si>
    <t>ABEJON, Ricardo/0000-0002-8030-7752</t>
  </si>
  <si>
    <t>2073-4441</t>
  </si>
  <si>
    <t>10.3390/w14132108</t>
  </si>
  <si>
    <t>WOS:000824554500001</t>
  </si>
  <si>
    <t>Dynamics, symmetries, anomaly and vortices in a rotating cosmic string background</t>
  </si>
  <si>
    <t>Non-relativistic conformally invariant systems in a rotating cosmic string (conical) spacetime are analyzed at the classical and quantum levels by means of the gravitoelectromagnetic interpretation of the background. Solutions of the equations of motion are found by employing a local canonical transformation, that leads to their natural interpretation in terms of Riemann surfaces. The cone parameter alpha and the angular velocity Omega of the background determine the existence of hidden symmetries. Globally defined higher order integrals associated with perihelion of geodesic orbits appear at rational values of alpha. For the harmonic oscillator system with frequency omega, the integrals responsible for the trajectory closure arise only for rational values of alpha and vertical bar gamma vertical bar = vertical bar Omega/omega vertical bar, with vertical bar gamma vertical bar = 1 corresponding to the Landau problem. We face a quantum anomaly problem since the hidden symmetry operators can only be constructed when alpha is integer. Such operators are non-local in the case of the free particle. For the harmonic oscillator, the symmetry generators are obtained with the help of the conformal bridge transformation. We also study a multi-particle version of the harmonic oscillator system with vertical bar gamma vertical bar = 1 using the mean-field theory and find that the emerging vortex structure respects a singular point of the background.Y</t>
  </si>
  <si>
    <t>JAN 28</t>
  </si>
  <si>
    <t>10.1007/JHEP01(2022)179</t>
  </si>
  <si>
    <t>WOS:000748250900003</t>
  </si>
  <si>
    <t>Beltramin, Jorge Brower</t>
  </si>
  <si>
    <t>Analysis of Chile's Migration Legislation as a Discursive Device</t>
  </si>
  <si>
    <t>REVISTA MEXICANA DE CIENCIAS POLITICAS Y SOCIALES</t>
  </si>
  <si>
    <t>0185-1918</t>
  </si>
  <si>
    <t>10.22201/fcpys.2448492xe.2022.244.80755</t>
  </si>
  <si>
    <t>WOS:000976336300020</t>
  </si>
  <si>
    <t>Rojas, RV</t>
  </si>
  <si>
    <t>Vidal Rojas, Rodrigo</t>
  </si>
  <si>
    <t>Urban Configuration for Pollution at Ground Level. Analysis of the Probable Case of the New High-Rise Buildings in the district of Estacion Central, Chile</t>
  </si>
  <si>
    <t>REVISTA DE URBANISMO</t>
  </si>
  <si>
    <t>Between 2013 and 2018, building permits were granted to 80 towers of more than 20 floors in the district of Estacion Central, in Santiago de Chile. This complex occupies 23.6 hectares and causes, to the south of them, a permanent shadow cone of 8,615,195.70 m3 at solar noon on June 22. As the concentration of polluting gases increases with cold, humidity and poor air circulation, the objective of this work was to know if urban conditions meet in this shadow cone to cause an increase in said concentration at ground level. For this, the shadow cone of the buildings, their continuity and distance relationships, the ventilation conditions, the presence of vegetation and the automotive fleet were studied in detail. A quantitative method was applied that combined observation and verification in the field; graphic and statistical analysis of existing documents and the elaboration of a three-dimensional model of the fragment under study. The research demonstrated the strong increase in shade, the decrease in tree vegetation and the increase in the automobile fleet in the commune. In addition, the existence of conditions that could be causing a decrease in air circulation in the shadow cone and an unfavorable orientation of the prevailing winds was verified.</t>
  </si>
  <si>
    <t>0717-5051</t>
  </si>
  <si>
    <t>10.5354/0717-5051.2021.61324</t>
  </si>
  <si>
    <t>WOS:000740014400003</t>
  </si>
  <si>
    <t>Fredes, HV; Acosta, B; Olivares, M; Garcia-Munoz, F; Tobar, F; Toro, V; Smith, C; Becker, C</t>
  </si>
  <si>
    <t>Fredes, Humberto Verdejo; Acosta, Benjamin; Olivares, Mauricio; Garcia-Munoz, Fernando; Tobar, Francisco; Toro, Vannia; Smith, Cesar; Becker, Cristhian</t>
  </si>
  <si>
    <t>Impact of Energy Price Stabilization Mechanism on Regulated Clients' Tariffs: The Case of Chile</t>
  </si>
  <si>
    <t>The Chilean socio-political explosion in October 2019 embodies a milestone in Chile's national history, challenging the current government's administration and the management of state resources. One of the triggering factors of this crisis was the increase in electricity prices for those clients previously subject to flat pricing. As an example, in 2019, electricity fees increased by 25% at the national level. In order to solve the conflict, the Ministry of Energy proposed a mechanism, applicable for two years, which would freeze energy charges for companies, industries and domestic customers subject to a regulated tariff. This mechanism was employed and would produce a debt favoring generation companies, which could not exceed CLD 1.350 million. This article analyzes the effectiveness of the energy price stabilization mechanism and the effects of the Chilean socio-economic instability-resulting from the aggregated debt generated by the mechanism applicability-on the exchange rate over its duration of operation. The results suggest that the effects of the current law will not fulfill the purpose of tariff stabilization until 2024; additionally, there will be a sustained increase in tariffs until the year 2027.</t>
  </si>
  <si>
    <t>García-Muñoz, Fernando/AAX-9963-2020</t>
  </si>
  <si>
    <t>Garcia-Munoz, Fernando/0000-0001-9376-4357; , Cristhian Becker/0000-0001-6943-5086</t>
  </si>
  <si>
    <t>10.3390/su132111870</t>
  </si>
  <si>
    <t>WOS:000718644300001</t>
  </si>
  <si>
    <t>Silva-Alé, JA</t>
  </si>
  <si>
    <t>Alfredo Silva-Ale, Jhon</t>
  </si>
  <si>
    <t>Determination of gravity acceleration with smart-phone ambient light sensor</t>
  </si>
  <si>
    <t>PHYSICS TEACHER</t>
  </si>
  <si>
    <t>Alé, Jhon/MIT-2747-2025</t>
  </si>
  <si>
    <t>Ale Silva, Jhon Alfredo/0000-0002-1999-4012</t>
  </si>
  <si>
    <t>0031-921X</t>
  </si>
  <si>
    <t>1943-4928</t>
  </si>
  <si>
    <t>10.1119/10.0003674</t>
  </si>
  <si>
    <t>WOS:000626104200025</t>
  </si>
  <si>
    <t>Mery, CJ</t>
  </si>
  <si>
    <t>Jorquera Mery, Constanza</t>
  </si>
  <si>
    <t>Is it possible to think of a Korean school of international relations? an American reflection on Korean internationalist thought and its intellectuality</t>
  </si>
  <si>
    <t>ENCRUCIJADA AMERICANA</t>
  </si>
  <si>
    <t>In the Asia Pacific region, where the reception, appropriation, and criticism of Western thought is expressed in contrast to one's thought, the problem of identifying intellectual agents in the field of international studies and their ideas, understood as theoretical and conceptual contributions to understanding what is being thought in this specific geoeidetic space is established. This paper seeks to account for the production of ideas in this field and their voices in Korea, understood as a periphery/part of the global south concerning the center/mainstream of international studies, and to think the place of the country in the international system, through the identification of the critical axes in this thought. The article aims to problematize and challenge the premise that the recent pursuit of the Korean internationalist intellectuals that aims to form an independent and self-sufficient Korean school or theory of international relations, with universal applicability, still operates under a colonial and dependent mindset, treating Korea as a testing ground for mainstream rationalist approaches and theories of international relations.</t>
  </si>
  <si>
    <t>0719-3432</t>
  </si>
  <si>
    <t>0718-5766</t>
  </si>
  <si>
    <t>WOS:000740694200007</t>
  </si>
  <si>
    <t>Sepúlveda, L; Contreras, E; Cerro, D; Quintulén, L</t>
  </si>
  <si>
    <t>Sepulveda, Luisa; Contreras, Elsa; Cerro, Daniela; Quintulen, Leonardo</t>
  </si>
  <si>
    <t>Technical feasibility of natural antioxidant recovery from the mixture of the inedible fractions of vegetables produced in a wholesale market</t>
  </si>
  <si>
    <t>CYTA-JOURNAL OF FOOD</t>
  </si>
  <si>
    <t>The study evaluated the technical feasibility of directly using the mixture of the inedible fractions of vegetables collected in a wholesale market, for the recovery of a (poly)-phenolic extract with antioxidant capacity. First, the characterization of the leaves and stems of broccoli, celery, carrots, beetroots, cauliflower and cabbage was carried out. Subsequently, the technical feasibility of the recovery of antioxidant compounds from the mixture of these vegetables was analyzed, using a fractional factorial design tailored for screening of the process conditions. Finally, a freeze-dried powdered product was obtained from the extract previously concentrated by vacuum evaporation. The results showed that the product had a total phenolic content of 1752 +/- 58 GAE/100 g and antioxidant capacity of 1020 +/- 44 mg Fe2+/100 g of dry powder. These inedible vegetable wastes could be an attractive source of natural antioxidants to obtain high added-value products with diverse uses as food and feed techno-functional ingredients.</t>
  </si>
  <si>
    <t>Sepulveda Cuevas, Luisa antonia/0000-0001-8350-739X</t>
  </si>
  <si>
    <t>1947-6337</t>
  </si>
  <si>
    <t>1947-6345</t>
  </si>
  <si>
    <t>10.1080/19476337.2021.1915878</t>
  </si>
  <si>
    <t>WOS:000646886000001</t>
  </si>
  <si>
    <t>Dintrans, PV</t>
  </si>
  <si>
    <t>Villalobos Dintrans, Pablo</t>
  </si>
  <si>
    <t>Health Systems, Aging, and Inequity: An Example from Chile</t>
  </si>
  <si>
    <t>INTERNATIONAL JOURNAL OF ENVIRONMENTAL RESEARCH AND PUBLIC HEALTH</t>
  </si>
  <si>
    <t>Background:Just like many other countries around the world, Chile is facing the challenges of demographic transition and population aging. Considering this context, the question of how prepared the health system is to deal with these challenges arises;Methods:A framework to assess the health system's preparedness for aging was proposed, considering the health system's goals and features and using an equity approach. Indicators related to the health system's goals were calculated for the year 2015 using three nationally-representative sources: health status (suicide rate), financial protection (out-of-pocket and catastrophic expenditures), and responsiveness (satisfaction). Age ratios were used to compare the system's response to different age groups;Results:Results for Chile revealed the existence of inequities, particularly when assessing the system in terms of its ability to improve health status and financial protection. These gaps increase with age, suggesting that the Chilean health system is not prepared to meet older people's needs; andConclusions:These results call for a reform in the health system, as well as the need for implementing a long-term care system in the country.</t>
  </si>
  <si>
    <t>Dintrans, Pablo/AAM-6248-2020</t>
  </si>
  <si>
    <t>Villalobos Dintrans, Pablo/0000-0002-2236-6447</t>
  </si>
  <si>
    <t>1660-4601</t>
  </si>
  <si>
    <t>10.3390/ijerph17186546</t>
  </si>
  <si>
    <t>WOS:000580699200001</t>
  </si>
  <si>
    <t>Urrea, C; Kern, J; Morales, C</t>
  </si>
  <si>
    <t>Urrea, Claudio; Kern, John; Morales, Claudio</t>
  </si>
  <si>
    <t>Error detection and correction to enhance the data rate of smart metering systems using Modbus-RTU</t>
  </si>
  <si>
    <t>ELECTRICAL ENGINEERING</t>
  </si>
  <si>
    <t>This work presents a system and method to improve transmission quality in smart meter networks that use Modbus-RTU. Energy management systems in industries, buildings and urban infrastructure use smart meters interconnected in a network. These systems can demand a great quantity of interconnected devices, which sets down increasing requirements to communication networks in terms of transmission quality and speed. At the plant level, Modbus-RTU is the de facto protocol for the interconnection of electric meters. However, since it was created more than 4 decades ago, this protocol imposes constraints to transmission speed, maximum number of interconnected devices and error detection mechanisms. This proposal is applicable to Modbus-RTU meter networks that need to increase data transmission speed to be integrated into smart metering systems but face problems due to the increase in transmission errors caused by noise and electromagnetic interference in the field bus. The effectiveness of the proposed method to increase the data rate while maintaining reliability is studied, and simulation and experimental results are presented.</t>
  </si>
  <si>
    <t>0948-7921</t>
  </si>
  <si>
    <t>1432-0487</t>
  </si>
  <si>
    <t>10.1007/s00202-020-01067-7</t>
  </si>
  <si>
    <t>JUL 2020</t>
  </si>
  <si>
    <t>WOS:000551783200002</t>
  </si>
  <si>
    <t>Fernando, MP; Claudio, AV</t>
  </si>
  <si>
    <t>Perez Fernando, Machuca; Vergara Claudio, Arellano</t>
  </si>
  <si>
    <t>Considering environmental variables in the design of waste dumpsites</t>
  </si>
  <si>
    <t>ENVIRONMENTAL SCIENCE AND POLLUTION RESEARCH</t>
  </si>
  <si>
    <t>Mining generates a significant quantity of waste material including ballast, gravel, and slags, which are often deposited in areas without taking into account the environment impacts and the need to ensure the physical and chemical stability of the disposed waste. One of the less studied problems is the emission of particulate matter produced by wind erosion at the dumpsites. This erosion is mainly caused by two factors, wind speed and turbulence, due to surface phenomenon. Until now, the design of waste dumpsites in the Chilean mining industry has not considered these environmental conditions. Efforts to minimize disposal costs have always been achieved by depositing ballast without considering these variables. When wind impacts this unprotected surface, it creates a source of dust that requires some special attention. The problem that this research tries to solve is to reduce particulate material to the atmosphere from waste dumps in which, under certain atmospherics and geographic conditions, specifically on winter season, its concentrations overpass the maximum limit allowed by law, generating bronchopulmonary diseases and even closing partially or totally mine operation. The result is the creation of a waste dumpsite design model, with its corresponding algorithms, which will allow optimization of the waste dumpsite design. From these results, future researches could explore more sustainable mining, such as unit operations, drilling, blasting, load and crushing material, reducing particulate material emissions to the atmosphere, and minimizing environmental impact due to exploitation.</t>
  </si>
  <si>
    <t>0944-1344</t>
  </si>
  <si>
    <t>1614-7499</t>
  </si>
  <si>
    <t>10.1007/s11356-020-08657-9</t>
  </si>
  <si>
    <t>WOS:000544408800034</t>
  </si>
  <si>
    <t>Boza, ASA; Muñoz, CM</t>
  </si>
  <si>
    <t>Aguirre Boza, Alvaro Sebastian; Moreno Munoz, Cristobal</t>
  </si>
  <si>
    <t>DEVELOPMENT OF STUDY TEXTS FOR USE OF DIGITAL RESOURCES AND PLANIMETRIC NORMALIZATION IN THE IMPROVEMENT OF GRAPHIC LANGUAGE IN INDUSTRIAL DESIGN</t>
  </si>
  <si>
    <t>The way of expression of the student of the Technologist in Industrial Design is, greatly, through graphic resources. Although the presentation, discussion and analysis of an industrial design project is done by writing or oral means, it is greatly expressed by graphic way. The standardized planimetry done in digital systems as CAD (Computer Aided Design) and the three-dimensional representation generated from modeling software to show ideas or products with a high degree of precision, today have become a standard in the specialty. The knowledge of these techniques and the theory that support it are complex, difficult and arid as much in its understanding as in processes memorization, use of equipment and software which causes to the student an effort overburden in their use, many times without the expected success, which generates deep frustration in him. For these reasons the need of develop study texts and learning guides about these knowledges was born, so that the student can use it as an aid to improve the work of modelling, construction and editing of three-dimensional models in CAD, as much for its use as student, as its professional use.</t>
  </si>
  <si>
    <t>WOS:000608842500009</t>
  </si>
  <si>
    <t>Alvarez, C</t>
  </si>
  <si>
    <t>Deves, E; Alvarez, ST</t>
  </si>
  <si>
    <t>Alvarez, Christian</t>
  </si>
  <si>
    <t>HETEROGENEOUS DISTRIBUTION OF SCIENCE AND TECHNOLOGY</t>
  </si>
  <si>
    <t>PROBLEMATICAS INTERNACIONALES Y MUNDIALES DESDE EL PENSAMIENTO LATINOAMERICANO: TEORIAS, ESCUELAS, CONCEPTOS, DOCTRINAS, FIGURAS</t>
  </si>
  <si>
    <t>Coleccion Estudios de las Ideas</t>
  </si>
  <si>
    <t>978-956-6095-02-6</t>
  </si>
  <si>
    <t>WOS:000608865900025</t>
  </si>
  <si>
    <t>Neutrino mass generation from the perspective of presymmetry</t>
  </si>
  <si>
    <t>The Standard Model (SM) with one right-handed neutrino per generation is revisited with presymmetry being the global U(1)(B-L) symmetry of an electroweak theory of leptons and quarks with initially postulated symmetric fractional charges. The cancellation of gauge anomalies and the non-perturbative normalization of lepton charges proceed through the mixing of local and topological charges, the global B - L measuring the induced charge associated with a unit of topological charge, and the mathematical replacement of the original fractional charges with the experimentally observed ones. The U(1)(B-L) symmetry of the SM with Dirac neutrinos is seen as a residual presymmetry. High-scale and low-scale seesaw mechanisms proposed to explain the mass of neutrinos are examined from the perspective of presymmetry, be they of Majorana or pseudo-Dirac type. We find that the tiny mass splitting in pseudo-Dirac neutrinos and the mass of heavy neutrinos ride on the opposite ends of the seesaw. We show that pseudo-Dirac neutrinos contain extra sterile neutrinos with imprints of presymmetry and for heavy ones we get constraints favoring the low-scale linear seesaw over the inverse variant.</t>
  </si>
  <si>
    <t>Matute, Ernesto/0000-0002-0547-6732</t>
  </si>
  <si>
    <t>NOV 10</t>
  </si>
  <si>
    <t>10.1142/S0217732319502845</t>
  </si>
  <si>
    <t>WOS:000495398300009</t>
  </si>
  <si>
    <t>WHY DOES PHILOSOPHY MATTER IN THE UNIVERSITY AND IN THE CULTURE OF OUR TIME? COMMENT TO CARLOS PENA</t>
  </si>
  <si>
    <t>REVISTA DE FILOSOFIA</t>
  </si>
  <si>
    <t>0034-8236</t>
  </si>
  <si>
    <t>0718-4360</t>
  </si>
  <si>
    <t>WOS:000594488700020</t>
  </si>
  <si>
    <t>Díaz-Saldívar, P; Huidobro-Toro, JP</t>
  </si>
  <si>
    <t>Diaz-Saldivar, Patricia; Pablo Huidobro-Toro, Juan</t>
  </si>
  <si>
    <t>ATP-loaded biomimetic nanoparticles as controlled release system for extracellular drugs in cancer applications</t>
  </si>
  <si>
    <t>INTERNATIONAL JOURNAL OF NANOMEDICINE</t>
  </si>
  <si>
    <t>Purpose: The antitumoral effect of ATP requires its accumulation in the extracellular space to interact with membrane receptors in target cells. We propose the use of albumin nanoparticles (ANPs) coated with erythrocyte membranes (EMs) to load, deliver, release, and enhance the extracellular anticancer activity of ATP. Materials and methods: ANPs were synthesized by desolvation method and optimal values of pH, albumin concentration, and ethanol volume were determined. EMs were derived from erythrocyte lysates and were coated on to ANPs using an extruder. Size was determined by transmission electron microscopy (TEM) and hydrodynamic size and zeta potential were determined by dynamic light scattering. Coating of the ANPs with the EMs was verified by TEM and confocal microscopy. Nanoparticle cell uptake was analyzed by confocal microscopy using HeLa and HEK-293 cell cultures treated with nanoparticles stained with 1,1'-dioctadecyl-3,3,3', 3'-tetramethylindodicarbocyanine, 4-chlorobenzenesulfonate salt (DiD) for EM-ANPs and Alexa 488 for ANPs. Cell viability was analyzed by [3-(4,5-dimethylthiazol-2-yl)-5-(3-carboxymethoxyphenyl)-2-(4-sulfophenyl)-2H-tetrazolium, inner salt (MTS) and Annexin V/propidium iodide assays. Results: Optimal values of ANP preparation were as follows: pH=9, 10 mg/mL albumin concentration, and 2.33 +/- 0.04 mL ethanol volume. Size distributions as analyzed by TEM were as follows: ANPs=91.9 +/- 4.3 nm and EM-ANPs=98.3 +/- 5.1 nm; hydrodynamic sizes: ANPs=180.5 +/- 6.8 nm and EM-ANPs=197.8 +/- 3.2 nm; and zeta potentials: ANPs=17.8 +/- 3.5 mV, ANPs+ATP=-13.60 +/- 0.48 and EM-ANPs=-13.7 +/- 2.9 mV. The EMs coating the ANPs were observed by TEM and confocal microscopy. A fewer number of internalized EM-ANPs+ATP compared to non-coated ANPs+ATP was observed in HeLa and HEK-293 cells. Cell viability decreased up to 48.6%+/- 2.0% with a concentration of 400 mu M ATP after 72 hours of treatment and cell death is caused mainly via apoptosis. Conclusion: Our current results show that it is possible to obtain nanoparticles from highly biocompatible, biodegradable materials and that their coating with EMs allows the regulation of the internalization process in order to promote extracellular activity of ATP.</t>
  </si>
  <si>
    <t>Díaz, Patricia/GOV-2972-2022</t>
  </si>
  <si>
    <t>Diaz, Patricia/0000-0003-2099-1019</t>
  </si>
  <si>
    <t>1178-2013</t>
  </si>
  <si>
    <t>10.2147/IJN.S192925</t>
  </si>
  <si>
    <t>WOS:000463728200003</t>
  </si>
  <si>
    <t>The gestation of german biology</t>
  </si>
  <si>
    <t>STUDIES IN HISTORY AND PHILOSOPHY OF SCIENCE PART C-STUDIES IN HISTORY AND PHILOSOPHY OF BIOLOGICAL AND BIOMEDICAL SCIENCES</t>
  </si>
  <si>
    <t>1369-8486</t>
  </si>
  <si>
    <t>1879-2499</t>
  </si>
  <si>
    <t>10.1016/j.shpsc.2018.05.010</t>
  </si>
  <si>
    <t>WOS:000441624400004</t>
  </si>
  <si>
    <t>Galvez, ACC</t>
  </si>
  <si>
    <t>Comandini Galvez, Ana Carolina</t>
  </si>
  <si>
    <t>Prostitution and white slave trafficking: The international discourse of victimhood (Chile, 1934)</t>
  </si>
  <si>
    <t>HISTORIA UNISINOS</t>
  </si>
  <si>
    <t>This article seeks to describe and analyze how the association between the trafficking of white women and prostitution was established and reproduced in Chile, in a way similar to how the discourse was expanding internationally, with a marked direction from Europe to America, where well-defined profiles of the subjects involved in that crime were constructed: the foreign pimp or pander and the prostitute who is a victim of tricks and sexual exploitation far from her native country. The case of Chile is particularly attractive, as this country, unlike what happened on the Latin American Atlantic coast, had not received a large contingent of European immigrants to justify that this kind of discourse was so successful among local authorities and the population in general. Through the study of an indictment for white slave trafficking filed in 1934 against an Italian subject residing in Santiago de Chile, we will reconstruct at the national and international level the scenarios and contexts that allowed this type of ideas to permeate the interpretation of the local reality, which, as we will see, was far from what the victimizing paradigm of white slave trafficking tried to define as a cross-border crime.</t>
  </si>
  <si>
    <t>1519-3861</t>
  </si>
  <si>
    <t>2236-1782</t>
  </si>
  <si>
    <t>MAY-AUG</t>
  </si>
  <si>
    <t>10.4013/htu.2018.222.12</t>
  </si>
  <si>
    <t>WOS:000442681100013</t>
  </si>
  <si>
    <t>Clarke, D</t>
  </si>
  <si>
    <t>Clarke, Damian</t>
  </si>
  <si>
    <t>CHILDREN AND THEIR PARENTS: A REVIEW OF FERTILITY AND CAUSALITY</t>
  </si>
  <si>
    <t>JOURNAL OF ECONOMIC SURVEYS</t>
  </si>
  <si>
    <t>Childbearing decisions are not made in isolation. They are taken in concert with decisions regarding work, marriage, health investments and stocks, as well as many other observable and non-observable considerations. Drawing causal inferences regarding the effect of additional children on family outcomes is complicated by these endogenous factors. This paper lays out the issues involved in estimating the effect of additional child births on family outcomes, and the assumptions underlying the range of estimators and methodologies proposed in the economic literature. The common pitfalls of these estimators are discussed, as well as their potential to bias our interpretation of the effect additional births have on children and parents, both in the existing literature and in future work in the face of changing patterns of childbearing and child-rearing.</t>
  </si>
  <si>
    <t>Clarke, Damian/Y-7318-2019</t>
  </si>
  <si>
    <t>Clarke, Damian/0009-0000-9113-2188</t>
  </si>
  <si>
    <t>0950-0804</t>
  </si>
  <si>
    <t>1467-6419</t>
  </si>
  <si>
    <t>10.1111/joes.12202</t>
  </si>
  <si>
    <t>WOS:000427123800010</t>
  </si>
  <si>
    <t>Pérez-Cortes, S; Aguilera-Carvajal, Y; Hurtado-Cruz, J; Vargas-Norambuena, JP</t>
  </si>
  <si>
    <t>Perez-Cortes, S.; Aguilera-Carvajal, Y.; Hurtado-Cruz, J.; Vargas-Norambuena, J. P.</t>
  </si>
  <si>
    <t>Computational fluid dynamics simulation of cooling system for copper smelter gases by Teniente Converter with evaporative cooler</t>
  </si>
  <si>
    <t>REVISTA INTERNACIONAL DE METODOS NUMERICOS PARA CALCULO Y DISENO EN INGENIERIA</t>
  </si>
  <si>
    <t>In the copper sulfides smelting process, the Teniente-type converter generates highly corrosive and toxic gases, which is why treating them is crucial in order to avoid environmental damage. The present study proposes a new methodology to simulate the capture and cooling system of smelting gases through the application of Computational Fluid Dynamics (CFD) to the gases that emanate from a Teniente-type converter, where a series of assumptions that allow the adaptation of the physical model for the CFD simulation are proposed along with the validation of the results using real industrial-scale instruments. By applying this method, it is possible to obtain a behavioral simulation model of the smelting gases with an acceptable relative error. In practical terms, this means that the tendencies that metallurgical gases show in the simulation flowing through the bell and the cooling chamber can be trusted to predict the thermal behavior of the gases contained in the gas management network. (C) 2016 CIMNE (Universitat Politecnica de Catalunya). Published by Elsevier Espana, S.L.U.</t>
  </si>
  <si>
    <t>Hurtado Cruz, Juan/K-2568-2013</t>
  </si>
  <si>
    <t>0213-1315</t>
  </si>
  <si>
    <t>10.1016/j.rimni.2016.04.007</t>
  </si>
  <si>
    <t>WOS:000402446200004</t>
  </si>
  <si>
    <t>Arias, P; Arza, A; Gamboa, J</t>
  </si>
  <si>
    <t>Arias, Paola; Arza, Ariel; Gamboa, Jorge</t>
  </si>
  <si>
    <t>Mixing of photons with light pseudoscalars in time-dependent magnetic fields</t>
  </si>
  <si>
    <t>EUROPEAN PHYSICAL JOURNAL C</t>
  </si>
  <si>
    <t>The effects of an external time-dependent magnetic field in the conversion probability of photon-to axion-like particles are studied. Our findings show that for a certain time regime, the amplitude of the produced axion-like field can be enlarged with respect to the static case, thus enhancing the probability of conversion.</t>
  </si>
  <si>
    <t>Gamboa, Jorge/R-8744-2019; Arias, Paola/Q-5912-2017</t>
  </si>
  <si>
    <t>Arza, Ariel/0000-0002-2254-7408; Arias, Paola/0000-0001-5551-9182; Gamboa, Jorge/0000-0001-7992-7199</t>
  </si>
  <si>
    <t>1434-6044</t>
  </si>
  <si>
    <t>1434-6052</t>
  </si>
  <si>
    <t>NOV 15</t>
  </si>
  <si>
    <t>10.1140/epjc/s10052-016-4483-0</t>
  </si>
  <si>
    <t>WOS:000388680400002</t>
  </si>
  <si>
    <t>Rodríguez, CR</t>
  </si>
  <si>
    <t>Ruiz Rodriguez, Carlos</t>
  </si>
  <si>
    <t>The Mapuche in Modern Chile: A Cultural History</t>
  </si>
  <si>
    <t>HAHR-HISPANIC AMERICAN HISTORICAL REVIEW</t>
  </si>
  <si>
    <t>0018-2168</t>
  </si>
  <si>
    <t>1527-1900</t>
  </si>
  <si>
    <t>10.1215/00182168-3601910</t>
  </si>
  <si>
    <t>WOS:000383376100026</t>
  </si>
  <si>
    <t>Bravo, R; Plyushchay, MS</t>
  </si>
  <si>
    <t>Bravo, Rafael; Plyushchay, Mikhail S.</t>
  </si>
  <si>
    <t>Position-dependent mass, finite-gap systems, and supersymmetry</t>
  </si>
  <si>
    <t>The ordering problem in quantum systems with position-dependent mass (PDM) is treated by inclusion of the classically fictitious similarity transformation into the kinetic term. This provides a generation of supersymmetry with the first-order supercharges from the kinetic term alone, while inclusion of the potential term allows us also to generate nonlinear supersymmetry with higher-order supercharges. A broad class of finite-gap systems with PDM is obtained by different reduction procedures, and general results on supersymmetry generation are applied to them. We show that elliptic finite-gap systems of Lame and Darboux-Treibich-Verdier types can be obtained by reduction to Seiffert's spherical spiral and Bernoulli lemniscate in the presence of Calogero-like or harmonic oscillator potentials, or by angular momentum reduction of a free motion on some AdS(2) - related surfaces in the presence of Aharonov-Bohm flux. The limiting cases include the Higgs and Mathews-Lakshmanan oscillator models as well as a reflectionless model with PDM exploited recently in the discussion of cosmological inflationary scenarios.</t>
  </si>
  <si>
    <t>Bravo, Rafael/HTL-7043-2023</t>
  </si>
  <si>
    <t>Bravo Guerraty, Rafael/0000-0003-1598-9061</t>
  </si>
  <si>
    <t>MAY 16</t>
  </si>
  <si>
    <t>10.1103/PhysRevD.93.105023</t>
  </si>
  <si>
    <t>WOS:000376256900008</t>
  </si>
  <si>
    <t>de Dicastillo, CL; Rodríguez, F; Guarda, A; Galotto, MJ</t>
  </si>
  <si>
    <t>Lopez de Dicastillo, Carol; Rodriguez, Francisco; Guarda, Abel; Jose Galotto, Maria</t>
  </si>
  <si>
    <t>Antioxidant films based on cross-linked methyl cellulose and native Chilean berry for food packaging applications</t>
  </si>
  <si>
    <t>CARBOHYDRATE POLYMERS</t>
  </si>
  <si>
    <t>Development of antioxidant and antimicrobial active food packaging materials based on biodegradable polymer and natural plant extracts has numerous advantages as reduction of synthetic additives into the food, reduction of plastic waste, and food protection against microorganisms and oxidation reactions. In this way, active films based on methylcellulose (MC) and maqui (Aristotelia chilensis) berry fruit extract, as a source of antioxidants agents, were studied. On the other hand, due to the high water affinity of MC, this polymer was firstly cross-linked with glutaraldehyde (GA) at different concentrations. The results showed that the addition of GA decreased water solubility, swelling, water vapor permeability of MC films, and the release of antioxidant substances from the active materials increased with the concentration of GA. Natural extract and active cross-linked films were characterized in order to obtain the optimal formulation with the highest antioxidant activity and the best physical properties for latter active food packaging application. (c) 2015 Elsevier Ltd. All rights reserved.</t>
  </si>
  <si>
    <t>Rodríguez, Francisco/I-5283-2018; Lopez-de-Dicastillo, Carol/C-6347-2019</t>
  </si>
  <si>
    <t>Rodriguez-Mercado, Francisco/0000-0002-0530-6653; Lopez-de-Dicastillo, Carol/0000-0003-0067-9765</t>
  </si>
  <si>
    <t>0144-8617</t>
  </si>
  <si>
    <t>1879-1344</t>
  </si>
  <si>
    <t>JAN 20</t>
  </si>
  <si>
    <t>10.1016/j.carbpol.2015.10.013</t>
  </si>
  <si>
    <t>WOS:000365972000125</t>
  </si>
  <si>
    <t>Contreras, F; Cruz, N; González, E</t>
  </si>
  <si>
    <t>Gutierrez, G; Roa, L</t>
  </si>
  <si>
    <t>Contreras, F.; Cruz, N.; Gonzalez, E.</t>
  </si>
  <si>
    <t>Generalized equations of state and regular universes</t>
  </si>
  <si>
    <t>XIX CHILEAN PHYSICS SYMPOSIUM 2014</t>
  </si>
  <si>
    <t>Symposium on 19th Chilean Physics</t>
  </si>
  <si>
    <t>NOV 26-28, 2014</t>
  </si>
  <si>
    <t>Concepcion, CHILE</t>
  </si>
  <si>
    <t>We found non singular solutions for universes filled with a fluid which obey a Generalized Equation of State of the form P(rho) = -A rho+gamma rho(lambda). An emergent universe is obtained if A = 1 and lambda = 1/2. If the matter source is reinterpret as that of a scalar matter field with some potential, the corresponding potential is derived. For a closed universe, an exact bounce solution is found for A = 1/3 and the same lambda. We also explore how the composition of theses universes can be interpreted in terms of known fluids. It is of interest to note that accelerated solutions previously found for the late time evolution also represent regular solutions at early times.</t>
  </si>
  <si>
    <t>González, Esteban/AGF-1575-2022</t>
  </si>
  <si>
    <t>Gonzalez Banda, Esteban/0000-0001-6769-5722</t>
  </si>
  <si>
    <t>10.1088/1742-6596/720/1/012014</t>
  </si>
  <si>
    <t>WOS:000443419700014</t>
  </si>
  <si>
    <t>León, JE; Olivares, MJ; Beltrán-Castillo, S</t>
  </si>
  <si>
    <t>VonBernhardi, R</t>
  </si>
  <si>
    <t>Eugenin Leon, Jaime; Jose Olivares, Maria; Beltran-Castillo, Sebastian</t>
  </si>
  <si>
    <t>Role of Astrocytes in Central Respiratory Chemoreception</t>
  </si>
  <si>
    <t>GLIAL CELLS IN HEALTH AND DISEASE OF THE CNS</t>
  </si>
  <si>
    <t>Advances in Experimental Medicine and Biology</t>
  </si>
  <si>
    <t>Astrocytes perform various homeostatic functions in the nervous system beyond that of a supportive or metabolic role for neurons. A growing body of evidence indicates that astrocytes are crucial for central respiratory chemoreception. This review presents a classical overview of respiratory central chemoreception and the new evidence for astrocytes as brainstem sensors in the respiratory response to hypercapnia. We review properties of astrocytes for chemosensory function and for modulation of the respiratory network. We propose that astrocytes not only mediate between CO2/H+ levels and motor responses, but they also allow for two emergent functions: (1) Amplifying the responses of intrinsic chemosensitive neurons through feedforward signaling via gliotransmitters and; (2) Recruiting non-intrinsically chemosensitive cells thanks to volume spreading of signals (calcium waves and gliotransmitters) to regions distant from the CO2/H+ sensitive domains. Thus, astrocytes may both increase the intensity of the neuron responses at the chemosensitive sites and recruit of a greater number of respiratory neurons to participate in the response to hypercapnia.</t>
  </si>
  <si>
    <t>Beltran Castillo, Sebastian/AAT-2028-2021; Olivares, Maria Jose/M-9606-2017</t>
  </si>
  <si>
    <t>Beltran-Castillo, Sebastian/0000-0003-4550-6323; Olivares, Maria Jose/0000-0002-0109-0672</t>
  </si>
  <si>
    <t>0065-2598</t>
  </si>
  <si>
    <t>2214-8019</t>
  </si>
  <si>
    <t>978-3-319-40764-7; 978-3-319-40762-3</t>
  </si>
  <si>
    <t>10.1007/978-3-319-40764-7_6</t>
  </si>
  <si>
    <t>10.1007/978-3-319-40764-7</t>
  </si>
  <si>
    <t>WOS:000400932800006</t>
  </si>
  <si>
    <t>Wladdimiro, D; Gonzalez-Cantergiani, P; Hidalgo, N; Rosas, E</t>
  </si>
  <si>
    <t>Pielorz, J; Duro, R; Preinerstorfer, A</t>
  </si>
  <si>
    <t>Wladdimiro, Daniel; Gonzalez-Cantergiani, Pablo; Hidalgo, Nicolas; Rosas, Erika</t>
  </si>
  <si>
    <t>Disaster Management Platform to Support Real-time Analytics</t>
  </si>
  <si>
    <t>PROCEEDINGS OF THE 2016 3RD INTERNATIONAL CONFERENCE ON INFORMATION AND COMMUNICATION TECHNOLOGIES FOR DISASTER MANAGEMENT (ICT-DM)</t>
  </si>
  <si>
    <t>International Conference on Information and Communication Technologies for Disaster Management</t>
  </si>
  <si>
    <t>3rd International Conference on Information and Communication Technologies for Disaster Management (ICT-DM)</t>
  </si>
  <si>
    <t>DEC 13-15, 2016</t>
  </si>
  <si>
    <t>AIT Austrian Inst Technol GmBH, Vienna, AUSTRIA</t>
  </si>
  <si>
    <t>IEEE,IEEE Commun Soc,Bundesministerium Inneres,Ctr Rech Informat Sci &amp; Tech</t>
  </si>
  <si>
    <t>AIT Austrian Inst Technol GmBH</t>
  </si>
  <si>
    <t>Every year, thousands of disasters impact the world, generating substantial loss in terms of lives and public infrastructure. The recovery phase requires substantial money investment for governments, in order to rebuild the affected region. To minimize the effects of a disaster, applications supporting decision-making through real-time analytics must be fast and accurate. These tools may be supported by stream processing systems that enable the real-time processing of structure-less data; however, their use and configuration require expert programming knowledge and a setup phase that could lead to loss relevant data. This work proposes a platform based on stream processing systems for supporting the analysis of large streams of data emitted in case the event of disasters. This platform facilitates deploying applications tailored for specific disaster scenarios, provides elasticity in case of changes in the amount of traffic and enables applying migration to increase robustness. We have built a study case to detect needs in case of an earthquake and discuss the properties of the system.</t>
  </si>
  <si>
    <t>Rosas, Erika/AFY-6048-2022</t>
  </si>
  <si>
    <t>2469-8822</t>
  </si>
  <si>
    <t>978-1-5090-5234-9</t>
  </si>
  <si>
    <t>WOS:000406047200012</t>
  </si>
  <si>
    <t>Gil, SR</t>
  </si>
  <si>
    <t>Reyes Gil, Sebastian</t>
  </si>
  <si>
    <t>ANIMALITY AND SEXUALITY IN THREE MONSTROUS CASES OF PERUVIAN CHRONICLE (XVI AND XVII CENTURIES)</t>
  </si>
  <si>
    <t>HISPANIC REVIEW</t>
  </si>
  <si>
    <t>Gil, Sara/KHE-3663-2024</t>
  </si>
  <si>
    <t>0018-2176</t>
  </si>
  <si>
    <t>1553-0639</t>
  </si>
  <si>
    <t>10.1353/hir.2015.0036</t>
  </si>
  <si>
    <t>WOS:000368418200003</t>
  </si>
  <si>
    <t>Aujogue, JB</t>
  </si>
  <si>
    <t>Aujogue, Jean-Baptiste</t>
  </si>
  <si>
    <t>Ellis enveloping semigroup for almost canonical model sets of an Euclidean space</t>
  </si>
  <si>
    <t>ALGEBRAIC AND GEOMETRIC TOPOLOGY</t>
  </si>
  <si>
    <t>We consider certain point patterns of a Euclidean space and calculate the Ellis enveloping semigroup of their associated dynamical systems. The algebraic structure and the topology of the Ellis semigroup, as well as its action on the underlying space, are explicitly described. As an example, we treat the vertex pattern of the Amman-Beenker tiling of the plane.</t>
  </si>
  <si>
    <t>1472-2739</t>
  </si>
  <si>
    <t>10.2140/agt.2015.15.2195</t>
  </si>
  <si>
    <t>WOS:000361976100009</t>
  </si>
  <si>
    <t>Durán, CA; Córdova, FM</t>
  </si>
  <si>
    <t>Duran, Claudia A.; Cordova, Felisa M.</t>
  </si>
  <si>
    <t>Synergy and technology gaps in export logistics chains between a chilean and a spanish medium-sized port</t>
  </si>
  <si>
    <t>In this study we analyze the integral logistics links in a Chilean and Spanish medium-sized port to determine the synergy and technological gaps in the export logistics chain, according to the links they hold with both the business core and processes at operational level. To assess the degree of synergy in a technological context, flow-charts of each service process in the Chilean port system are provided. A comparative analysis was accomplished for a Chilean and a Spanish medium-sized port, and then we determine the key factors related to Process and Communication Technologies PCT, technological integration and collaboration among the actors in the integral logistics; at strategic and business levels, some apparent causes that may account for the technology gaps in these two ports are also analyzed at operational level. New trends to implement a port platform for the export logistics chain based on a collaborative model to improve efficiency, effectiveness and efficacy in the port are proposed. Different technologies present in export logistics chains are used to improve the management of the cargo transportation by trucks and ensure traceability and tracking of cargo from the exporter to the port. Finally, discusses the main trends in technological development in ports at the country level. (C) 2015 Published by Elsevier B.V.</t>
  </si>
  <si>
    <t>CORDOVA, FELISA/S-1093-2019; Duran, Claudia/S-1175-2019</t>
  </si>
  <si>
    <t>Duran, Claudia/0000-0002-0903-4333; CORDOVA, FELISA/0000-0002-5557-8569</t>
  </si>
  <si>
    <t>10.1016/j.procs.2015.07.055</t>
  </si>
  <si>
    <t>WOS:000360101400070</t>
  </si>
  <si>
    <t>Mahn, A; Angulo, A; Cabañas, F</t>
  </si>
  <si>
    <t>Mahn, Andrea; Angulo, Alejandro; Cabanas, Fernanda</t>
  </si>
  <si>
    <t>Purification and Characterization of Broccoli (Brassica oleracea var. italica) Myrosinase (β-Thioglucosidase Glucohydrolase)</t>
  </si>
  <si>
    <t>JOURNAL OF AGRICULTURAL AND FOOD CHEMISTRY</t>
  </si>
  <si>
    <t>Myrosinase (beta-thioglucosidase glucohydrolase, EC 3.2.1.147) from broccoli (Brassica oleracea var. italica) was purified by ammonium sulfate precipitation followed by concanavalin A affinity chromatography, with an intermediate dialysis step, resulting in 88% recovery and 1318-fold purification. These are the highest values reported for the purification of any myrosinase. The subunits of broccoli myrosinase have a molecular mass of 50-55 kDa. The native molecular mass of myrosinase was 157 kDa, and accordingly, it is composed of three subunits. The maximum activity was observed at 40 degrees C and at pH below 5.0. Kinetic assays demonstrated that broccoli myrosinase is subjected to substrate (sinigrin) inhibition. The Michaelis-Menten model, considering substrate inhibition, gave V-max equal to 0.246 mu mol min(-1), K-m equal to 0.086 mM, and K-I equal to 0.368 mM. This is the first study about purification and characterization of broccoli myrosinase.</t>
  </si>
  <si>
    <t>0021-8561</t>
  </si>
  <si>
    <t>1520-5118</t>
  </si>
  <si>
    <t>DEC 3</t>
  </si>
  <si>
    <t>10.1021/jf504957c</t>
  </si>
  <si>
    <t>WOS:000345883800007</t>
  </si>
  <si>
    <t>Honorato, MR</t>
  </si>
  <si>
    <t>Ruperthuz Honorato, Mariano</t>
  </si>
  <si>
    <t>German Greve Schlegel and Reception of Psychoanalysis in Chile: The Story of a Probably German Chilean Physician</t>
  </si>
  <si>
    <t>The present article extends the historical precedents of one of the first references on the psychoanalysis in Latin America: the dissertation of the Chilean doctor German Greve Schlegel in Buenos Aires in 1910. It is verified, based on historical primary sources, how Greve would have taken contact with the Freudism from ends of the 19th century, describing the specific frame of this meeting and details are analyzed on the participation of this doctor in the medical Chilean scene. This work defines to the psychoanalysis as a system of ideas and beliefs of transnational character, which reception in any local space involves an active process of reading, reintepretation and adjustment to the different realities those who are inserted.</t>
  </si>
  <si>
    <t>Ruperthuz, Mariano/GWC-5381-2022</t>
  </si>
  <si>
    <t>WOS:000362271500015</t>
  </si>
  <si>
    <t>Groups, orders, and laws</t>
  </si>
  <si>
    <t>It is unknown - yet very likely false - whether left-orderable groups satisfying a non-trivial identity must be virtually solvable. Starting from this, we explore several notions/conjectures/questions that are closely related. As a concrete result, we provide examples of left-orders on the free group satisfying no nontrivial law.</t>
  </si>
  <si>
    <t>Navas Flores, Andres Ignacio/0000-0002-0853-5136</t>
  </si>
  <si>
    <t>10.4171/GGD/251</t>
  </si>
  <si>
    <t>WOS:000345957800012</t>
  </si>
  <si>
    <t>Martinez, JL; Urzúa, A; Laurido, C</t>
  </si>
  <si>
    <t>Martinez, Jose L.; Urzua, Alejandro; Laurido, Claudio</t>
  </si>
  <si>
    <t>My dreams will have no borders</t>
  </si>
  <si>
    <t>Martinez, Jose/AAA-1725-2020</t>
  </si>
  <si>
    <t>Martinez, Jose/0000-0002-0177-4847; Urzua, Alejandro/0000-0003-2638-0921</t>
  </si>
  <si>
    <t>WOS:000316942700001</t>
  </si>
  <si>
    <t>Martinez, JL</t>
  </si>
  <si>
    <t>Martinez, Jose L.</t>
  </si>
  <si>
    <t>Again we are present as co-organizer of scientific events in Latin America</t>
  </si>
  <si>
    <t>Martinez, Jose/0000-0002-0177-4847</t>
  </si>
  <si>
    <t>WOS:000304712600001</t>
  </si>
  <si>
    <t>Reyes-Cerpa, S; Reyes-López, FE; Toro-Ascuy, D; Ibañez, J; Maisey, K; Sandino, AM; Imarai, M</t>
  </si>
  <si>
    <t>Reyes-Cerpa, Sebastian; Reyes-Lopez, Felipe E.; Toro-Ascuy, Daniela; Ibanez, Jorge; Maisey, Kevin; Maria Sandino, Ana; Imarai, Monica</t>
  </si>
  <si>
    <t>IPNV modulation of pro and anti-inflammatory cytokine expression in Atlantic salmon might help the establishment of infection and persistence</t>
  </si>
  <si>
    <t>IPNV is the agent of a well-characterized acute disease that produces a systemic infection and high mortality in farmed fish species and persistent infection in surviving fish after outbreaks. Because modulation of the host expression of pro and anti-inflammatory cytokines can help establish persistence, in this study, we examined the expression of IL-1 beta, IL-8, IFN alpha 1 and IL-10 during acute and persistent IPNV infection of Atlantic salmon. Results showed that IPNV infection induces an increase of the IFN alpha 1 and IL-10 mRNA levels in the spleen and head kidney (HK) of fish after acute experimental infection. Levels of the pro-inflammatory cytokines IL-1 beta and IL-8 did not rise in the spleen although an increase of IL-1 beta, but not of IL-8, was observed in head kidney. In carrier asymptomatic salmon, cytokine gene expression of IFN alpha 1 in the spleen and IL-10 in head kidney were also significantly higher than expression in non-carrier fish. Interestingly, a decrease of IL-8 expression was also observed. IPNV infection of SHK-1, which is a macrophage-like cell line of salmon, also induced an increase of expression of the anti-inflammatory cytokine IL-10 with no effects on the expression of IL-1 beta and IL-8. The effects are induced by an unknown mechanism during viral infection because poly I:C and the viral genomic dsRNA showed the opposite effects on cytokine expression in SHK-1 cells. In summary, IPNV always induces up-regulation of the anti-inflammatory cytokine IL-10 in Atlantic salmon. As this is accompanied by a lack of induction of the pro-inflammatory cytokines IL-1 beta and IL-8, the anti-inflammatory milieu may explain the high frequency, prevalence and persistence of IPNV in salmon. Effects might be part of the viral mechanisms of immune evasion. (C) 2011 Elsevier Ltd. All rights reserved.</t>
  </si>
  <si>
    <t>Reyes-López, Felipe/S-1760-2018; Maisey, Kevin/AAP-2886-2021; Toro-Ascuy, Daniela/JDC-8224-2023</t>
  </si>
  <si>
    <t>Ibanez, Jorge/0000-0003-4317-8573; Toro-Ascuy, Daniela/0000-0002-2563-9711; Maisey, Kevin/0000-0002-7423-6329; Reyes-Lopez, Felipe E./0000-0002-5001-457X; SANDINO, ANA MARIA/0000-0002-3862-3743; Reyes, Sebastian/0000-0002-7676-1266; Imarai, Monica/0000-0001-8767-9180</t>
  </si>
  <si>
    <t>10.1016/j.fsi.2011.11.018</t>
  </si>
  <si>
    <t>WOS:000300751800007</t>
  </si>
  <si>
    <t>Gutierrez, JR; Ortega, A; Guzman, AM</t>
  </si>
  <si>
    <t>Gutierrez, Julian R.; Ortega, Alfonso; Guzman, Amador M.</t>
  </si>
  <si>
    <t>FLOW AND HEAT TRANSFER ENHANCEMENT CHARACTERISTICS OF IMPINGING JETS IN TRANSITIONAL TIME PERIODIC FLOW REGIMES</t>
  </si>
  <si>
    <t>The flow and heat transfer characteristics of an impinging jet on a perpendicular flat surface are obtained by two dimensional numerical simulations of laminar and transitional flow regimes for the Reynolds number of Re=300, 350, and 400 for a Prandtl number of Pr=0.7. A fixed jet to plate spacing of H/W=5 and a given heat flux on the plate surface are considered. Temporal evolution of velocity and temperature fields, Fourier spectra of the velocity temporal evolution and time average local and global Nusselt numbers are obtained for increasing Reynolds numbers for determining the time depending behavior and its effect on the heat transfer characteristics. Numerical simulation results demonstrate that self-sustained transitional periodic flow regimes arise from a laminar regime, when the Reynolds number is further increased to Re=400 and that these regimes spread out to the whole domain with similar time dependent characteristics due to the flow incompressibility. Evaluations of time average local and global Nusselt numbers demonstrate the asymmetric Gaussian-type spatial distribution and the increase of both parameters when the flow evolves through the transitional periodic regime, with reasonable increases on the pumping power requirements.</t>
  </si>
  <si>
    <t>WOS:000320625900161</t>
  </si>
  <si>
    <t>Letelier, M; Carrasco, R; Matamala, D; Oliva, C; Rodés, D; Sandoval, MJ</t>
  </si>
  <si>
    <t>Nair, CS; Patil, A; Mertova, P</t>
  </si>
  <si>
    <t>Letelier, Mario; Carrasco, Rosario; Matamala, Daniela; Oliva, Claudia; Rodes, Doris; Sandoval, Maria Jose</t>
  </si>
  <si>
    <t>Advances in engineering education in Chile using student feedback</t>
  </si>
  <si>
    <t>ENHANCING LEARNING AND TEACHING THROUGH STUDENT FEEDBACK IN ENGINEERING</t>
  </si>
  <si>
    <t>Two main social forces are causing universities in Chile increase their effectiveness in translating market and political signals into actions in order to improve the quality and impact of the engineering education they provide. Since 2000 these forces have been expressed in government policies of programme accreditation and funding. This national context is exemplified through the experience at the University of Santiago of Chile. The expectations of the workplace with regard to the strengths and weaknesses of engineering education have been usually expressed through the desired learning outcomes of the programmes, many of which address attitudes rather than scientific or technological aspects. From this perspective, the actual developments in student feedback, considered as a significant resource for quality improvement, are discussed. Finally, some conclusions about structural factors that, in both the industrial sector and the universities, strengthen the achievement of the necessary consistency between the country's needs and university responses are drawn.</t>
  </si>
  <si>
    <t>Sandoval, Maria/LSL-1657-2024</t>
  </si>
  <si>
    <t>Oliva Leiva, Claudia/0009-0008-6689-8737</t>
  </si>
  <si>
    <t>978-1-84334-645-6; 978-1-78063-299-5</t>
  </si>
  <si>
    <t>WOS:000314304500003</t>
  </si>
  <si>
    <t>Andújar-Matalobos, M; García-Río, L; López-García, S; Rodríguez-Dafonte, P</t>
  </si>
  <si>
    <t>Andujar-Matalobos, Maria; Garcia-Rio, Luis; Lopez-Garcia, Susana; Rodriguez-Dafonte, Pedro</t>
  </si>
  <si>
    <t>Polarity of the interface in ionic liquid in oil microemulsions</t>
  </si>
  <si>
    <t>JOURNAL OF COLLOID AND INTERFACE SCIENCE</t>
  </si>
  <si>
    <t>Ionic liquid based microemulsions were characterized by absorption solvatochromic shifts, H-1 NMR and kinetic measurements in order to investigate the properties of the ionic liquid within the restricted geometry provided by microemulsions and the interactions of the ionic liquid with the interface. Experimental results show a significant difference between the interfaces of normal water and the new ionic liquid microemulsions. Absorption solvatochromic shift experiments and kinetic studies on the aminolysis of 4-nitrophenyl laurate by n-decylamine show that the polarity at the interface of the ionic liquid in oil microemulsions (IL/O) is higher than at the interface of water in oil microemulsions (W/O) despite the fact that the polarity of [bmiml[BF4-] is lower than the polarity of water. H-1 NMR experiments showed that an increase in the ionic liquid content of the microemulsion led to an increase in the interaction between [bmim][BF4-] and TX-100. The reason for the higher polarity of the microemulsions with the ionic liquid can be explained in terms of the incorporation of higher levels of the ionic liquid at the interface of the microemulsions, as compared to water in the traditional systems. (C) 2011 Elsevier Inc. All rights reserved.</t>
  </si>
  <si>
    <t>Garcia-Rio, Luis/L-5882-2014; Rodriguez-Dafonte, Pedro/I-6241-2016</t>
  </si>
  <si>
    <t>Rodriguez-Dafonte, Pedro/0000-0001-6508-0388</t>
  </si>
  <si>
    <t>0021-9797</t>
  </si>
  <si>
    <t>1095-7103</t>
  </si>
  <si>
    <t>10.1016/j.jcis.2011.06.066</t>
  </si>
  <si>
    <t>WOS:000294740400031</t>
  </si>
  <si>
    <t>Maisey, K; Imarai, M</t>
  </si>
  <si>
    <t>Maisey, Kevin; Imarai, Monica</t>
  </si>
  <si>
    <t>Diversity of teleost leukocyte molecules: Role of alternative splicing</t>
  </si>
  <si>
    <t>Alternative splicing is an important mechanism of gene expression control that also produces a large proteome from a limited number of genes. In the immune system of mammals, numerous relevant genes have been found to undergo alternative splicing that contributes to the complexity of immune response. An increasing number of reports have recently indicated that alternative splicing also occurs in other vertebrates, such as fish. In this review we summarize the general features of such molecular events in cytokines and leukocyte co-receptors and their contribution to diversity and regulation of fish leukocytes. (C) 2010 Elsevier Ltd. All rights reserved.</t>
  </si>
  <si>
    <t>Maisey, Kevin/AAP-2886-2021</t>
  </si>
  <si>
    <t>Imarai, Monica/0000-0001-8767-9180; Maisey, Kevin/0000-0002-7423-6329</t>
  </si>
  <si>
    <t>10.1016/j.fsi.2010.08.001</t>
  </si>
  <si>
    <t>WOS:000296126100007</t>
  </si>
  <si>
    <t>Mahn, AV; Antoine, P; Reyes, A</t>
  </si>
  <si>
    <t>Mahn, Andrea V.; Antoine, Paola; Reyes, Alejandro</t>
  </si>
  <si>
    <t>Optimization of Drying Kinetics and Quality Parameters of Broccoli Florets</t>
  </si>
  <si>
    <t>INTERNATIONAL JOURNAL OF FOOD ENGINEERING</t>
  </si>
  <si>
    <t>Drying kinetics of broccoli florets in a tunnel dryer was studied. Effective moisture diffusivity (Deff) and activation energy for moisture diffusion (E-0) were estimated. The effect of air temperature, air flow rate and particle size on antioxidant capacity, greenness and texture were calculated through a 2(3) factorial design. Air flow rate and temperature significantly affected drying time. Deff fluctuated between 2.82 x 10(-10) and 2.00 x 10(-9) (m(2)/s), and E-0 was around 42 KJ/mol, agreeing with values reported in literature. The maximum antioxidant activity was obtained at 60 degrees C, air flow rate of 4 m/s and 1.5 cm particle diameter, resulting in a 70 percent reduction in free radical scavenging ability and a 29 percent increase in total reductive capability. Air temperature had significant effect on greenness, and air flow rate significantly affected texture. The optimization of convective drying of broccoli allows maximizing antioxidant activity and minimizing cost by saving energy and time.</t>
  </si>
  <si>
    <t>2194-5764</t>
  </si>
  <si>
    <t>1556-3758</t>
  </si>
  <si>
    <t>10.2202/1556-3758.2181</t>
  </si>
  <si>
    <t>WOS:000289119300006</t>
  </si>
  <si>
    <t>Torres, F; de la Fuente, F; Rannou, FR</t>
  </si>
  <si>
    <t>Torres, Felipe; de la Fuente, Francisco; Rannou, Fernando R.</t>
  </si>
  <si>
    <t>Shared-Memory Alternatives for Parallel Image Reconstruction</t>
  </si>
  <si>
    <t>2011 IEEE NUCLEAR SCIENCE SYMPOSIUM AND MEDICAL IMAGING CONFERENCE (NSS/MIC)</t>
  </si>
  <si>
    <t>IEEE Nuclear Science Symposium and Medical Imaging Conference</t>
  </si>
  <si>
    <t>IEEE Nuclear Science Symposium/Medical Imaging Conference (NSS/MIC)/18th International Workshop on Room-Temperature Semiconductor X-Ray and Gamma-Ray Detectors</t>
  </si>
  <si>
    <t>OCT 23-29, 2011</t>
  </si>
  <si>
    <t>Valencia, SPAIN</t>
  </si>
  <si>
    <t>IEEE,Inst Elect &amp; Elect Engineers Nucl &amp; Plasma Sci Soc (IEEE NPSS)</t>
  </si>
  <si>
    <t>Shared-memory multiprocessor computers are nowadays ubiquitous and can deliver substantial computing power. However, users are not always able to exploit this computing power because they either lack an in-depth knowledge of parallel computation or the tools they have In this paper, we investigate two new tools for shared-memory multi-threading programming, namely OpenMP and Partitioned Global Address Space, both of which promise to ease the burden of designing and implementing parallel image reconstruction algorithms. With these tools we implemented EM-ML and Separable Surrogate MAP reconstruction programs for PET and compare their performance against the traditional Pthreads multi-threading approach. We show that these new tools can parallelize complicated reconstruction code with the simply addition of a few new language directives, and more importantly, that this can be done incrementally starting from existing sequential code. We measure reconstruction execution time in a 24 core computer for two small animal PET imaging data sets and compute speedup gains.</t>
  </si>
  <si>
    <t>Rannou, Fernando/G-5749-2019; delaFuente, Francisco/KWT-6900-2024</t>
  </si>
  <si>
    <t>1095-7863</t>
  </si>
  <si>
    <t>978-1-4673-0120-6</t>
  </si>
  <si>
    <t>WOS:000304755602159</t>
  </si>
  <si>
    <t>Contreras, ND; Vásquez, CC</t>
  </si>
  <si>
    <t>Contreras, Nataly del P.; Vasquez, Claudio C.</t>
  </si>
  <si>
    <t>Tellurite-induced carbonylation of the Escherichia coli pyruvate dehydrogenase multienzyme complex</t>
  </si>
  <si>
    <t>The soluble tellurium oxyanion, tellurite, is toxic for most organisms. At least in part, tellurite toxicity involves the generation of oxygen-reactive species which induce an oxidative stress status that damages different macromolecules with DNA, lipids and proteins as oxidation targets. The objective of this work was to determine the effects of tellurite exposure upon the Escherichia coli pyruvate dehydrogenase (PDH) complex. The complex displays two distinct enzymatic activities: pyruvate dehydrogenase that oxidatively decarboxylates pyruvate to acetylCoA and tellurite reductase, which reduces tellurite (Te4+) to elemental tellurium (Te-o). PDH complex components (AceE, AceF and Lpd) become oxidized upon tellurite exposure as a consequence of increased carbonyl group formation. When the individual enzymatic activities from each component were analyzed, AceE and Lpd did not show significant changes after tellurite treatment. AceF activity (dihydrolipoil acetyltransferase) decreased similar to 30% when cells were exposed to the toxicant. Finally, pyruvate dehydrogenase activity decreased &gt; 80%, while no evident changes were observed in complex's tellurite reductase activity.</t>
  </si>
  <si>
    <t>Contreras, Nataly/HJA-6849-2022</t>
  </si>
  <si>
    <t>10.1007/s00203-010-0624-2</t>
  </si>
  <si>
    <t>WOS:000283089800010</t>
  </si>
  <si>
    <t>Zamorano, M; Llanquin, P; Montealegre, R</t>
  </si>
  <si>
    <t>Zamorano, M.; Llanquin, P.; Montealegre, R.</t>
  </si>
  <si>
    <t>Fatty acid profile of high consumption foods by school population of the region Metropolitan of Chile, including trans fatty acid content</t>
  </si>
  <si>
    <t>ARCHIVOS LATINOAMERICANOS DE NUTRICION</t>
  </si>
  <si>
    <t>Fatty acid profile of high consumption foods by school population of the region Metropolitan of Chile, including trans fatty acid content. The Chilean school population has shown remarkable changes in their eating habits, incorporating high fat content foods to their diet, which could explain the current high obesity rates. A great proportion of these foods uses industrial fats whit high content of saturated fatty acids (SFA) and potentially contains trans fatty acids (TFA) as a result of partial oil hydrogenation or as a natural form in ruminant animals fat. The purpose of this investigation was to determine fatty acid profile, including trans fatty acids, from food consumed by the Metropolitan Region school population. A food consumption survey was applied to 203 Metropolitan Region of Chile school-children, which consisted of questions about food consumption frequency and consumer preferences. Based on the results, ten types of food products were selected. Fat content, fatty acids profile, including trans fatty acid, were determinate by GLC according to the UNE 5509 Norm. Each analysis was carried out in duplicate and three samplings were performed. It was found that a great percentage of the analyzed foods showed low TFA content (&lt;1%). However, some of them presented remarkable saturated fatty acids content, generating a PUFA/SFA ratio with poor fat nutritional quality. The low TFA concentration found in the food may be explained by a decrease in the use of hydrogenated fats, following PAHO/WHO recommendation, which are being applied in Chile.</t>
  </si>
  <si>
    <t>0004-0622</t>
  </si>
  <si>
    <t>2309-5806</t>
  </si>
  <si>
    <t>WOS:000290743300014</t>
  </si>
  <si>
    <t>Calzadillas, S; Lizama, C</t>
  </si>
  <si>
    <t>Calzadillas, Sebastian; Lizama, Carlos</t>
  </si>
  <si>
    <t>Bounded mild solutions of perturbed Volterra equations with infinite delay</t>
  </si>
  <si>
    <t>We study existence and regularity of bounded mild solutions on the real line to perturbed integral equations with infinite delay in the space of almost periodic functions (in the Bohr sense), the space of compact almost automorphic functions, the space of almost automorphic functions and the space of asymptotically almost automorphic functions. (C) 2010 Elsevier Ltd. All rights reserved.</t>
  </si>
  <si>
    <t>1873-5215</t>
  </si>
  <si>
    <t>10.1016/j.na.2010.01.029</t>
  </si>
  <si>
    <t>WOS:000277277500008</t>
  </si>
  <si>
    <t>Pizarro, J; Vergara, PM; Rodríguez, JA; Sanhueza, PA; Castro, SA</t>
  </si>
  <si>
    <t>Pizarro, Jaime; Vergara, Pablo M.; Rodriguez, Jose A.; Sanhueza, Pedro A.; Castro, Sergio A.</t>
  </si>
  <si>
    <t>Nutrients dynamics in the main river basins of the centre-southern region of Chile</t>
  </si>
  <si>
    <t>JOURNAL OF HAZARDOUS MATERIALS</t>
  </si>
  <si>
    <t>Chilean basins have long been exposed to nutrient discharges from human activities and land use changes. A historical seasonal NO3--N and PO43--P database of the last 23 years of the main nine rivers of central-southern region of Chile was analysed. Generalized additive models indicated that annual trends in NO3--N and PO43--P are nonlinear. River basins such as Bio-Bio, Bueno, Imperial, Maule, Rape] and Valdivia showed a clear increase in NO3--N, while PO43--P increased only in the Rapel and Maule basins. Although no seasonal difference in NO3--N and PO43--P Was found in the analysed basins, there was a negative relation between these nutrients and water flow. Sampling stations with high NO3--N concentration were found mostly in sub-basins located in the central valley of central Chile, while several PO43--P over-concentrated sampling stations were located mostly upstream. If NO3--N emissions into Chilean river basins continue at current rates it is probable that the concentration of this nutrient will tend to match that of the most polluted rivers around the world. (C) 2009 Elsevier B.V. All rights reserved.</t>
  </si>
  <si>
    <t>Rodriguez, Jose/KVC-0374-2024; Vergara, Pablo/F-2519-2010</t>
  </si>
  <si>
    <t>Vergara, Pablo/0000-0002-0024-1678</t>
  </si>
  <si>
    <t>0304-3894</t>
  </si>
  <si>
    <t>1873-3336</t>
  </si>
  <si>
    <t>MAR 15</t>
  </si>
  <si>
    <t>1-3</t>
  </si>
  <si>
    <t>10.1016/j.jhazmat.2009.10.048</t>
  </si>
  <si>
    <t>WOS:000274490400075</t>
  </si>
  <si>
    <t>Palominos, P; Quezada, L; Moncada, G</t>
  </si>
  <si>
    <t>Palominos, Pedro; Quezada, Luis; Moncada, German</t>
  </si>
  <si>
    <t>Modeling the response capability of a production system</t>
  </si>
  <si>
    <t>INTERNATIONAL JOURNAL OF PRODUCTION ECONOMICS</t>
  </si>
  <si>
    <t>19th International Conference on Production Research</t>
  </si>
  <si>
    <t>JUL 29-AUG 02, 2007</t>
  </si>
  <si>
    <t>Pontifical Catholic Univ Valparaiso, Valparaiso, CHILE</t>
  </si>
  <si>
    <t>Pontifical Catholic Univ Valparaiso</t>
  </si>
  <si>
    <t>This work is aimed at investigating the impact of labor flexibility and machine flexibility in the response capability of a production system in the clothing industry. To do this the response capability of a production system is modeled as a function of different flexibilities. From this model a 3(2) factorial experimental design is configured, which is implemented in the Arena 7.01 simulation language. The results show greater importance of machine flexibility compared to labor flexibility for the types of variability studied, and the performance of a production system when a high level of flexibility is used is similar to that in which a medium level is used. (C) 2009 Elsevier B.V. All rights reserved.</t>
  </si>
  <si>
    <t>Moncada, Germán/IQT-1289-2023; Quezada, Luis/W-8168-2019</t>
  </si>
  <si>
    <t>Quezada, Luis/0000-0003-1364-9266; Palominos, Pedro/0000-0002-5695-3025</t>
  </si>
  <si>
    <t>0925-5273</t>
  </si>
  <si>
    <t>10.1016/j.ijpe.2009.06.020</t>
  </si>
  <si>
    <t>WOS:000271116400042</t>
  </si>
  <si>
    <t>Espinoza, L; Barbé, J; Gálvez, G</t>
  </si>
  <si>
    <t>Espinoza, Lorena; Barbe, Joaquin; Galvez, Grecia</t>
  </si>
  <si>
    <t>A study of didactics phenomena related to arithmetic teaching in Chilean primary school</t>
  </si>
  <si>
    <t>ENSENANZA DE LAS CIENCIAS</t>
  </si>
  <si>
    <t>The research presented here analyzes the topic of the low levels attained in mathematics by most Chilean students at the end of elementary school. The article focuses on the ease of School Arithmetic. Using the Anthropological Theory of Didactics (Chevallard, 1999) and the Theory of Didactic Situations (Brousseau, 1990). the investigation began with the nuclear mathematical learning and contents of the current official elementary school programs in mathematics. Then, it continued with the observation and analysis of teaching-learning processes developed for arithmetics in elementary schools in the Metropolitan Region and ended with the analysis of the institutional restrictions imposed by schools for the development of those processes. We identified the phenomenon of the progressive inhibition of some mathematical abilities of students through elementary school. The students not only stop learning vital mathematical subjects for their academic and cognitive development at a timely curricular moment, but also a progressive stagnation in their development abilities is caused, especially during the second basic cycle.</t>
  </si>
  <si>
    <t>Espinoza, Lorena/I-2215-2015; Barbe, Joaquim/Q-5419-2017</t>
  </si>
  <si>
    <t>Espinoza, Lorena/0000-0002-8752-3423; Barbe, Joaquim/0000-0002-7260-5178</t>
  </si>
  <si>
    <t>0212-4521</t>
  </si>
  <si>
    <t>2174-6486</t>
  </si>
  <si>
    <t>WOS:000268596300002</t>
  </si>
  <si>
    <t>Henriquez, HR</t>
  </si>
  <si>
    <t>GENERALIZED SOLUTIONS FOR THE ABSTRACT SINGULAR CAUCHY PROBLEM</t>
  </si>
  <si>
    <t>COMMUNICATIONS ON PURE AND APPLIED ANALYSIS</t>
  </si>
  <si>
    <t>In this work we study existence of solutions in convoluted sense for the abstract singular Cauchy problem. We relate the existence of convoluted solutions with the existence of a generalized singular evolution operator, and we establish a Hille-Yosida type theorem to characterize the existence of a local generalized singular evolution operator.</t>
  </si>
  <si>
    <t>1534-0392</t>
  </si>
  <si>
    <t>1553-5258</t>
  </si>
  <si>
    <t>10.3934/cpaa.2009.8.955</t>
  </si>
  <si>
    <t>WOS:000265190300009</t>
  </si>
  <si>
    <t>Ramirez, BU</t>
  </si>
  <si>
    <t>Unwin Ramirez, Beatriz</t>
  </si>
  <si>
    <t>THE SPREAD OF COMPETENCY-BASED EDUCATION</t>
  </si>
  <si>
    <t>JOURNAL OF PHYSIOLOGICAL SCIENCES</t>
  </si>
  <si>
    <t>1880-6546</t>
  </si>
  <si>
    <t>WOS:000271023100519</t>
  </si>
  <si>
    <t>Henriquez, H. R.</t>
  </si>
  <si>
    <t>PERIODIC SOLUTIONS OF ABSTRACT NEUTRAL FUNCTIONAL DIFFERENTIAL EQUATIONS WITH INFINITE DELAY</t>
  </si>
  <si>
    <t>ACTA MATHEMATICA HUNGARICA</t>
  </si>
  <si>
    <t>We establish the existence of mild solutions and periodic mild solutions for a class of abstract first-order non-autonomous neutral functional differential equations with infinite delay in a Banach space.</t>
  </si>
  <si>
    <t>0236-5294</t>
  </si>
  <si>
    <t>10.1007/s10474-008-7009-x</t>
  </si>
  <si>
    <t>WOS:000260468300001</t>
  </si>
  <si>
    <t>Nómez, N</t>
  </si>
  <si>
    <t>Nomez, Nain</t>
  </si>
  <si>
    <t>Chilean poetry: Representations of terror and subject fragmentation during the first years of dictatorship</t>
  </si>
  <si>
    <t>ACTA LITERARIA</t>
  </si>
  <si>
    <t>The objective of this article is to analyze the poetic representations during the first period of the Chilean dictatorship, with special attention to the development of political and aesthetic reconstructions. Conceptions such as the fallen reason, lost paradise nostalgia, need to reconstruct history, search for new languages, configurate a map of diverse discourse strategies in Chile as well as outside the country. All of them, shape a singular and specific matrix of great perspectives for the later poetic production.</t>
  </si>
  <si>
    <t>0717-6848</t>
  </si>
  <si>
    <t>10.4067/S0717-68482008000100007</t>
  </si>
  <si>
    <t>WOS:000260624500007</t>
  </si>
  <si>
    <t>Orihuela, PA</t>
  </si>
  <si>
    <t>Orihuela, Pedro A.</t>
  </si>
  <si>
    <t>Drug evaluation: Ulipristal, a progesterone receptor antagonist as a contraceptive and for the treatment of uterine fibroids</t>
  </si>
  <si>
    <t>CURRENT OPINION IN INVESTIGATIONAL DRUGS</t>
  </si>
  <si>
    <t>HRA Pharma, under license from the Research Triangle Institute, is developing ulipristal, a progesterone receptor modulator, for the potential use as a contraceptive and an emergency contraceptive, and for the potential treatment of uterine fibroids. Phase II clinical trials for uterine fibroids and phase III trials for contraception are underway. The drug was expected to be launched in the US and Europe in 2009.</t>
  </si>
  <si>
    <t>1472-4472</t>
  </si>
  <si>
    <t>2040-3429</t>
  </si>
  <si>
    <t>WOS:000249784600009</t>
  </si>
  <si>
    <t>Tejeda, NO</t>
  </si>
  <si>
    <t>Osorio Tejeda, Nelson</t>
  </si>
  <si>
    <t>Latin American studies and new cultural dependance</t>
  </si>
  <si>
    <t>REVISTA DE CRITICA LITERARIA LATINOAMERICANA</t>
  </si>
  <si>
    <t>0252-8843</t>
  </si>
  <si>
    <t>10.2307/25485839</t>
  </si>
  <si>
    <t>WOS:000265480500014</t>
  </si>
  <si>
    <t>Acuña, D; Parada, V</t>
  </si>
  <si>
    <t>Werner, B</t>
  </si>
  <si>
    <t>Modeling expert players' behavior through data mining</t>
  </si>
  <si>
    <t>SCCC 2005: XXV INTERNATIONAL CONFERENCE OF THE CHILEAN COMPUTER SCIENCE SOCIETY, PROCEEDINGS</t>
  </si>
  <si>
    <t>25th International Conference of the Chilean-Computer-Science-Society</t>
  </si>
  <si>
    <t>NOV 07-11, 2005</t>
  </si>
  <si>
    <t>Valdivia, CHILE</t>
  </si>
  <si>
    <t>Games are afield in which players are implicitly trained and compelled to solve hard problems optimally. By making an appropriate training experiment using a computer game, players can reach expert performance. A computer game tournament that contains Euclidian Traveling Salesman Problem (ETSP) instances is developed and solutions made by expert players are analyzed with human-hehavior hypotheses and data mining techniques. A model for the expert players' behavior that combines apparently different fields is proposed and tested with TSPLIB problems.</t>
  </si>
  <si>
    <t>Acuna, Daniel/JJF-1452-2023; Acuna, Daniel/O-8006-2016</t>
  </si>
  <si>
    <t>Acuna, Daniel/0000-0002-7765-1595</t>
  </si>
  <si>
    <t>0-7695-2491-5</t>
  </si>
  <si>
    <t>WOS:000235354000007</t>
  </si>
  <si>
    <t>Perez, P; Reyes, J</t>
  </si>
  <si>
    <t>Brebbia, CA</t>
  </si>
  <si>
    <t>PM10 forecasting in Santiago, Chile</t>
  </si>
  <si>
    <t>Air Pollution XIII</t>
  </si>
  <si>
    <t>WIT TRANSACTIONS ON ECOLOGY AND THE ENVIRONMENT</t>
  </si>
  <si>
    <t>13th International Conference on Modelling, Monitoring and Management of Air Pollution</t>
  </si>
  <si>
    <t>Cordoba, SPAIN</t>
  </si>
  <si>
    <t>Wessex Inst Technol</t>
  </si>
  <si>
    <t>We show the results produced with a neural network model designed to forecast tomorrow's maximum of the 24 h average of the PM10 concentrations in the city of Santiago, Chile. We were able to generate a daily report at 8 PM based on concentrations measured until 7 PM at five stations on the present day plus measured and forecasted values of meteorological variables. The report delivers maxima for the following day at the site of the same five stations. The dominant condition is assumed to be given by the greatest of the concentrations among the five forecasts. Since, according to the range where the concentrations fall, three classes of air quality are defined, good, bad and critical, we have focused our efforts on the correct prediction of this air quality class. We have trained the models using 2001 and 2002 data to test 2003 conditions and 2002 and 2003 data in order to forecast 2004 values. According to the results reported here, 87% of the 2003 days and 92% of the 2004 cases were correctly classified using the neural model. The forecasting accuracy is significantly better than that obtained with the model that is being used at present by environmental authorities.</t>
  </si>
  <si>
    <t>1746-448X</t>
  </si>
  <si>
    <t>1-84564-014-4</t>
  </si>
  <si>
    <t>WOS:000230300700004</t>
  </si>
  <si>
    <t>Pizarro, A</t>
  </si>
  <si>
    <t>Imaginative and discourse: The Amazon</t>
  </si>
  <si>
    <t>10.2307/25070260</t>
  </si>
  <si>
    <t>WOS:000237713600005</t>
  </si>
  <si>
    <t>Godoy, LM</t>
  </si>
  <si>
    <t>Lider and its lexical family in Chilean Spanish</t>
  </si>
  <si>
    <t>In English, lead has been documented since 825. It has become the basis on which anglicisms have spread all over the world. Some words derived from this morpheme have become part of Spanish, in general, and the dialect spoken in Chile. Its prestige and frequency of use has increased greatly in the last few years. This study makes use of two original sources of data: the Integral Spanish of Chile and Anglichile, and a corpus of anglicisms in Chilean Spanish together with the records of the Chilean texts of Crea and Corde (Spanish Royal Academy).</t>
  </si>
  <si>
    <t>WOS:000224167000002</t>
  </si>
  <si>
    <t>A topological view on baryon number conservation</t>
  </si>
  <si>
    <t>We argue that the charge fractionalization in quarks has a hidden topological character related to a broken Z(2) symmetry between integer-charged bare quarks and leptons. The mechanism is a tunneling process occurring in time between standard field configurations of a pure gauge form with different topological winding numbers associated with integer-charged bare quarks in the far past and future. This transition, which nonperturbatively normalizes local bare charges with a universal accumulated value, corresponds to a specific topologically nontrivial configuration of the weak gauge fields in Euclidean spacetime. The outcome is an effective topological charge equal to the ratio between baryon number and the number of fermion generations associated with baryonic matter. The observed conservation of baryon number is then related to the conservation of this bookkeeping charge on quarks. Baryon number violation may only arise through topological effects as in decays induced by electroweak instantons. However, stability of a free proton is expected.</t>
  </si>
  <si>
    <t>JUN 21</t>
  </si>
  <si>
    <t>10.1142/S0217732304013738</t>
  </si>
  <si>
    <t>WOS:000222257500006</t>
  </si>
  <si>
    <t>Ravanal, MC; Flores, M; Pérez, E; Aroca, F; Cardemil, E</t>
  </si>
  <si>
    <t>Saccharomyces cerevisiae phosphoenolpyruvate carboxykinase:: relevance of arginine 70 for catalysis</t>
  </si>
  <si>
    <t>Saccharomyces cerevisiae phosphoenolpyruvate (PEP) carboxykinase is a key enzyme of the gluconeogenic pathway and catalyzes the decarboxylation of oxaloacetate and transfer of the gamma-phosphoryl group of ATP to yield PEP, ADP, and CO2 in the presence of a divalent metal ion. Previous experiments indicate that mutation of amino acid residues at metal site I decrease the enzyme catalytic efficiency and the affinity of the protein for PEP. evidencing the relevance of hydrogen-bond interactions between PEP and water molecules of the first coordination sphere of the metal ion for catalysis [Biochemistry 41 (2002) 12763]. To further understand the function of amino acid residues located in the PEP binding site, we have now addressed the catalytic importance of Arg(70), whose guanidinium group is close to the PEP carboxyl group. Arg(70)) mutants of PEP carboxykinase were prepared, and almost unaltered kinetic parameters were found for the Arg(70)Lys PEP carboxykinase, while a decrease in 4-5 orders of magnitude for the catalytic efficiency was detected for the Arg70Gln and Arg70Met altered enzymes. To evaluate the enzyme interaction with PEP, the phosphopyridoxyl-derivatives of wild type, Arg70Lys, Arg70Gln, and Arg70Met S. cerevisiae PEP carboxykinase were prepared, and the change in the fluorescence emission of the probe upon PEP binding was used to obtain the dissociation equilibrium constant of the corresponding derivatized enzyme-PEP-Mn2+ comp lex. The titration experiments showed that a loss in 2.1 kcal/mol in PEP binding affinity is produced in the Arg70Met and Arg70Gln mutant enzymes. It is proposed that the electrostatic interaction between the guanidinium group of Arg(70) and the carboxyl group of PEP is important for PEP binding and for further steps in catalysis. (C) 2004 Elsevier SAS. All rights reserved.</t>
  </si>
  <si>
    <t>Ravanal, Maria/G-8682-2018</t>
  </si>
  <si>
    <t>Perez, Estela/0000-0001-6320-5976; Ravanal, Maria Cristina/0000-0003-2462-6270</t>
  </si>
  <si>
    <t>1638-6183</t>
  </si>
  <si>
    <t>10.1016/j.biochi.2004.06.001</t>
  </si>
  <si>
    <t>WOS:000223381400002</t>
  </si>
  <si>
    <t>Sepúlveda, L; Fernández, K; Contreras, E; Palma, C</t>
  </si>
  <si>
    <t>The application of magallanic peat for wastewater treatment:: morphological characterization and decolorization</t>
  </si>
  <si>
    <t>The purpose of this article is to establish the effect of the removal of water from the peat cellular structure, as well its use as adsorbent of textile dyes. To reach this objective, a commercial sphagnum peat form the Magallanic region was used. The original humidity of this commercial peat is 70% and its conditioning requires a drying stage. The tests were performed using a convective air dryer at 30, 60 and 80 degreesC. After drying, the peat structure was analyzed by electronic microscopy to identify the conditions permitting an effective dryness without affecting the peat porous structure. Once these conditions were defined, adsorption laboratory tests were performed to evaluate the feasibility of removing acid, basic and reactive dyes from the solution. The results of the electronic microscopy show that the drying process performed at drastic conditions of temperature to reach lower levels of residual humidity, produce a damage to the porous structure of the solid, affecting the surface area of the adsorbent particles. The study of decolorization under the selected conditions demonstrate that the basic dyes present a high affinity adsorption for peat; whereas, the acid and reactive dyes present low affinity for the adsorbent.</t>
  </si>
  <si>
    <t>Fernandez, Katherina/Y-3907-2019; Toloza, C/H-5501-2015</t>
  </si>
  <si>
    <t>Fernandez, Katherina/0000-0002-0403-7164</t>
  </si>
  <si>
    <t>2339-9686</t>
  </si>
  <si>
    <t>MAY-JUN</t>
  </si>
  <si>
    <t>WOS:000224684800003</t>
  </si>
  <si>
    <t>Lizama, C; Vergara, V</t>
  </si>
  <si>
    <t>Uniform stability of resolvent families</t>
  </si>
  <si>
    <t>PROCEEDINGS OF THE AMERICAN MATHEMATICAL SOCIETY</t>
  </si>
  <si>
    <t>In this article we study uniform stability of resolvent families associated to an integral equation of convolution type. We give sufficient conditions for the uniform stability of the resolvent family in Hilbert and Banach spaces. Our main result can be viewed as a substantial generalization of the Gearhart-Greiner-Pruss characterization of exponential stability for strongly continuous semigroups.</t>
  </si>
  <si>
    <t>Vergara, Vicente/V-9352-2019; Lizama, Carlos/E-5909-2011</t>
  </si>
  <si>
    <t>Vergara, Vicente/0000-0002-4931-2625</t>
  </si>
  <si>
    <t>0002-9939</t>
  </si>
  <si>
    <t>1088-6826</t>
  </si>
  <si>
    <t>10.1090/S0002-9939-03-07073-4</t>
  </si>
  <si>
    <t>WOS:000185589600019</t>
  </si>
  <si>
    <t>Salinas, RA; Raff, U; Coronado, H</t>
  </si>
  <si>
    <t>Uranium density measurements and homogeneity assessment in quality control of low enriched 235U fuel plates using machine vision</t>
  </si>
  <si>
    <t>MEASUREMENT &amp; CONTROL</t>
  </si>
  <si>
    <t>Salinas Domínguez, Rafael/HKN-4842-2023</t>
  </si>
  <si>
    <t>0020-2940</t>
  </si>
  <si>
    <t>10.1177/002029400303601002</t>
  </si>
  <si>
    <t>WOS:000189359900003</t>
  </si>
  <si>
    <t>Gómez-Jeria, JS; Gonzalez-Tejeda, N; Soto-Morales, F</t>
  </si>
  <si>
    <t>A comparison of semiempirical and Ab initio methods for calculating the electronic structure of C60 and C70 fullerenes</t>
  </si>
  <si>
    <t>The aim of this work is to find a method suitable at least for obtaining the isolated molecule band structure approximated by a Gaussian broadening of the discrete eigenvalues, to apply it for a first scan of bigger and more complex structures. We compared the results of several semiempirical and ab initio quantum-chemical methods to calculate the band structure of isolated C-60 and C-70 fullerenes. Theoretical results were compared with experimental photoemission and inverse photoemission spectra. The results show that Extended Huckel Theory is the best method of all analyzed here. It compares well with experimental results related to valence and conduction bands for fullerene but underestimates the valence-conduction band gap by about 50%. Therefore, it is suitable for a first screening of fullerene-like molecules. Finally, EHT is employed to predict the electronic structure of several hypothetical molecules (P60O60, N-70, C30N30 and N-60).</t>
  </si>
  <si>
    <t>Gomez-Jeria, Juan S./0000-0003-1753-6701</t>
  </si>
  <si>
    <t>WOS:000185071000017</t>
  </si>
  <si>
    <t>Rubio, MA; Alvarado, L; Villena, G; Pizarro, J; Lissi, E</t>
  </si>
  <si>
    <t>Deposition, decomposition and stabilization of peroxides in Santiago City dew waters</t>
  </si>
  <si>
    <t>SCIENCE OF THE TOTAL ENVIRONMENT</t>
  </si>
  <si>
    <t>Peroxides present in Santiago City dew waters readily decompose with first order kinetics. In order to minimize the loss of peroxides during the time elapsed between deposition and collection, the collectors were pre-treated with a mercury chloride solution. This reduces, but not completely eliminates, the decomposition. A correction is introduced by a comparison of the levels and decomposition kinetics of the samples collected in treated and untreated collectors. The average concentration estimated by this procedure was 8.1 muM. The mechanism of peroxide decomposition and its stabilization is discussed. (C) 2003 Elsevier Science B.V. All rights reserved.</t>
  </si>
  <si>
    <t>Bajo, Maria/ABF-6991-2020</t>
  </si>
  <si>
    <t>Villena, Guillermo/0000-0002-1867-1879</t>
  </si>
  <si>
    <t>0048-9697</t>
  </si>
  <si>
    <t>SEP 1</t>
  </si>
  <si>
    <t>10.1016/S0048-9697(03)00229-8</t>
  </si>
  <si>
    <t>WOS:000184929200010</t>
  </si>
  <si>
    <t>Amézaga, A; Leiva, C</t>
  </si>
  <si>
    <t>Algebra of chiral currents on the physical surface</t>
  </si>
  <si>
    <t>Using a particular structure for the Lagrangian action in a one-dimensional Thirring model and performing the Dirac's procedure, we are able to obtain the algebra for chiral currents which is entirely defined on the constraint surface in the corresponding Hamiltonian description of the theory.</t>
  </si>
  <si>
    <t>MAR 21</t>
  </si>
  <si>
    <t>10.1142/S0217732303009617</t>
  </si>
  <si>
    <t>WOS:000181974700002</t>
  </si>
  <si>
    <t>Cruchaga, M; Celentano, D</t>
  </si>
  <si>
    <t>Modelling natural and mixed convection in obstructed channels</t>
  </si>
  <si>
    <t>INTERNATIONAL JOURNAL OF NUMERICAL METHODS FOR HEAT &amp; FLUID FLOW</t>
  </si>
  <si>
    <t>The modelling of steady-state natural and mixed convection in obstructed channels is presented The two-dimensional numerical analysis is carried out with a finite element thermally coupled incompressible flow formulation written in terms of the primitive variables of the problem and solved via a generalized streamline operator technique. Natural convection is studied in several vertical channel configurations for a wide range of Rayleigh numbers while mixed convection is analysed in a horizontal channel with a built-in rectangular cylinder for different Reynolds and Grashof numbers. The results obtained in this work are validated with available experiments and other existing numerical solutions.</t>
  </si>
  <si>
    <t>0961-5539</t>
  </si>
  <si>
    <t>1758-6585</t>
  </si>
  <si>
    <t>10.1108/09615530310456769</t>
  </si>
  <si>
    <t>WOS:000181031200003</t>
  </si>
  <si>
    <t>Mery, D</t>
  </si>
  <si>
    <t>New approaches for defect recognition with X-ray testing</t>
  </si>
  <si>
    <t>INSIGHT</t>
  </si>
  <si>
    <t>Mery, Domingo/D-1385-2014</t>
  </si>
  <si>
    <t>Mery, Domingo/0000-0003-4748-3882</t>
  </si>
  <si>
    <t>1354-2575</t>
  </si>
  <si>
    <t>WOS:000178389300007</t>
  </si>
  <si>
    <t>Urzúa, A; Mendoza, L</t>
  </si>
  <si>
    <t>Antibacterial activity of the resinous exudates from Haplopappus uncinatus and Haplopappus foliosus</t>
  </si>
  <si>
    <t>FITOTERAPIA</t>
  </si>
  <si>
    <t>The antibacterial activities of the resinous exudates from Haplopappus uncinatus and H. foliosus are reported. The results provide a justification to the traditional use of the resinous exudates of Haplopappus spp as an antiseptic. (C) 2001 Elsevier Science B.V. All rights reserved.</t>
  </si>
  <si>
    <t>0367-326X</t>
  </si>
  <si>
    <t>10.1016/S0367-326X(00)00332-4</t>
  </si>
  <si>
    <t>WOS:000169566300014</t>
  </si>
  <si>
    <t>Matsuhiro, B</t>
  </si>
  <si>
    <t>Organic derivatives of algal polysaccharides</t>
  </si>
  <si>
    <t>A survey of organic derivatives of commercially important red seaweed polysaccharides is presented. The most important applications of soluble polysaccharides extracted from seaweeds utilize their ability to modify the properties of aqueous solutions. The presence of natural substituents and synthetic derivatives have broadened the area of applicability of phycocolloids. The ability of polysaccharides, such as agarose to form hydrophilic supports of well defined dimensions has been exploited for the purification of biological molecules. By appropiate modification of the polysaccharide matrices, derivatives useful in the field of medicine, biology and, biotechnology have been developed: Selective chemical modifications may facilitate the preparation of derivatives and conjugates with novel applications. Treatment of polysaccharides with bromine and periodate may introduce ketone or aldehyde functions, respectively. Neutral polysaccharides, such as agarose and xylan, were oxidized with aqueous bromine and then coupled with amines to give conjugates with potential biological applications. On the other hand, formation of Schiff bases afforded derivatives with metal chelating properties. One of the recent seaweed polysaccharide manipulation involves conjugates with protein carriers, which can be artificial immunogen. Alginic acid, from Lessonia trabeculata and its homoguluronic enriched fraction by reaction with caprolactam gave amido derivatives which formed covalent bonding with tetanic toroid protein. Introduction of keto group in alginic acid, followed by selective acetylation gave analogs of Salmonella typhi capsular polysaccharide. These analogs can be linked to carrier proteins by reductive amination.</t>
  </si>
  <si>
    <t>WOS:000168120500015</t>
  </si>
  <si>
    <t>Pereda, J; Pozo, J; Motta, PM</t>
  </si>
  <si>
    <t>Motta, PM; Nottola, SA; Macchiarelli, G; Correr, S</t>
  </si>
  <si>
    <t>Is there a mesonephric cell contribution to the gonadal primordium before sexual differentiation in humans?: An ultrastructural study</t>
  </si>
  <si>
    <t>MOLECULAR, CELLULAR AND DEVELOPMENTAL BIOLOGY OF REPRODUCTION: BASIC AND CLINICAL ASPECTS</t>
  </si>
  <si>
    <t>MARCELLO MALPIGHI SYMPOSIA SERIES</t>
  </si>
  <si>
    <t>XVth Congress of International-Federation-of-Associations-of-Anatomists/4th International Malpighi Symposium</t>
  </si>
  <si>
    <t>SEP 11-16, 1999</t>
  </si>
  <si>
    <t>ROME, ITALY</t>
  </si>
  <si>
    <t>Int Federat Assoc Anatomists</t>
  </si>
  <si>
    <t>Differentiation of the intermediate mesoderm involves a complex series of events that result in the formation of the rudiment of the entire adult renal system, gonads and gonoducts. This work, using light, transmission, and scanning electron microscopy describes in human embryos of different ages, the development and spatiotemporal organization of the mesonephric nephron, and the development of the gonadal primordium, with the purpose of knowing if and how these two blastemas contribute to the origin of the non germinal cell content of the gonad primordium. Our results show that between Carnegie stage 13 and 20, the mesonephric nephrons facing the gonadal area, are separated by a band of mesenchymal tissue from the gonad primordium and they retain their structural integrities at the level of epithelial wall and their basement membrane. The morphological stability of basement membranes of different nephric structures, as well as the mesonephric duct during the period studied, confirm the previous opinion that the mesonephros is functional. During the same period of time, the structural events underlying gonad development show that primordial germ cells (PGCs) first invade the gonadal area, and thereafter interact both with epithelial coelomic cells and mesenchymal cells. Both types of cells surround PGCs, initiating the growth and differentiation of the gonadal primordium. Therefore, a mesonephric cell contribution to the genesis of the somatic cell components of the gonadal primordium should be discarded in humans. The present work emphasizes the need for more research in this field.</t>
  </si>
  <si>
    <t>Pozo, Jose/M-7604-2016</t>
  </si>
  <si>
    <t>WOS:000171868200015</t>
  </si>
  <si>
    <t>Pereda, J; Reyes-Parada, M</t>
  </si>
  <si>
    <t>The human retina during the embryonic period: a scanning electron microscopy study</t>
  </si>
  <si>
    <t>JOURNAL OF PHYSIOLOGY-LONDON</t>
  </si>
  <si>
    <t>0022-3751</t>
  </si>
  <si>
    <t>55P</t>
  </si>
  <si>
    <t>56P</t>
  </si>
  <si>
    <t>WOS:000085937100083</t>
  </si>
  <si>
    <t>Comparison between thermal and microwave treatment an the overall migration of plastic materials intended to be in contact with foods</t>
  </si>
  <si>
    <t>The results are presented of overall migration testing of a wide range of plastic packaging, intended to come into direct contact with foodstuffs, after microwave cooking. The values for overall migration obtained for all the plastic materials tested are significantly below the limit required by Directive 90/128/EEC. Among the materials tested it can be pointed out that PVC is the material whose overall migration increases most significantly after microwave cooking, and it is also affected by aqueous simulants in contact with it. Acetic acid promotes migration for PVC after microwave cooking. The results have been compared with overall migration of same samples at normal conditions (40 degrees C for 10 days), and after thermal treatment at 80 degrees C and 121 degrees C for 30 minutes. Copyright (C) 1999 John Wiley &amp; Sons, Ltd.</t>
  </si>
  <si>
    <t>NOV-DEC</t>
  </si>
  <si>
    <t>10.1002/(SICI)1099-1522(199911/12)12:6&lt;277::AID-PTS482&gt;3.0.CO;2-8</t>
  </si>
  <si>
    <t>WOS:000086684100005</t>
  </si>
  <si>
    <t>Abuin, E; Lissi, E; Godoy, X</t>
  </si>
  <si>
    <t>Independent and simultaneous effects of urea and sodium dodecylsulfate on the enzymatic activity of catalase</t>
  </si>
  <si>
    <t>Addition of urea and/or SDS to catalase solutions leads to a progressive loss of the activity of the enzyme that is both concentration and time dependent. Inactivation by SDS takes place at concentrations well below the surfactant FMC and shows a cooperative behavior, indicative of the formation of hydrophobic microdomains on the protein. Inactivation by the surfactant is partially reversible. On the other hand, inactivation by urea is linearly related to the additive concentration ard is totally irreversible. The inactivation promoted by both additives is antagonic, and in all the systems considered the effect of the mixture of additives is smaller than that expected from their individual behavior. The results obtained are explained in terms of different inactivation mechanisms associated to unfolding (urea) or overfolding (SDS).</t>
  </si>
  <si>
    <t>WOS:000079614900015</t>
  </si>
  <si>
    <t>Holmes, D</t>
  </si>
  <si>
    <t>Miners in miniature</t>
  </si>
  <si>
    <t>CHEMISTRY &amp; INDUSTRY</t>
  </si>
  <si>
    <t>Holmes, David/0000-0001-9555-138X</t>
  </si>
  <si>
    <t>0009-3068</t>
  </si>
  <si>
    <t>JAN 4</t>
  </si>
  <si>
    <t>WOS:000078016100022</t>
  </si>
  <si>
    <t>HENRIQUEZ, M; ABUIN, E; LISSI, E</t>
  </si>
  <si>
    <t>INTERACTIONS OF IONIC SURFACTANTS WITH GELATIN IN FLUID SOLUTIONS AND THE GEL STATE STUDIED BY FLUORESCENCE TECHNIQUES, POTENTIOMETRY, AND MEASUREMENTS OF VISCOSITY AND GEL STRENGTH</t>
  </si>
  <si>
    <t>COLLOID AND POLYMER SCIENCE</t>
  </si>
  <si>
    <t>The photobehavior of pyrene (fine structure of the monomeric fluorescence band; excited state lifetimes; excimer/monomeric fluorescence intensity ratios and excited state quenching rates by oxygen) in fluid solutions of gelatin and in the gel state, both in the absence and presence of ionic surfactants, has been examined. Surfactants considered were sodium dodecylsulfate and dodecyltrimethylammonium bromide. Potentiometric measurements performed by using surfactant selective electrodes allowed for the determination of the binding capacity of the surfactants onto gelatin in the gel state. When complemented with viscosity and gel strength measurements, the results obtained allow for a discussion of the effects of the surfactant-gelatin interactions on microscopic properties of the solutions or gels and their relation with macroscopic properties.</t>
  </si>
  <si>
    <t>0303-402X</t>
  </si>
  <si>
    <t>10.1007/BF00654856</t>
  </si>
  <si>
    <t>WOS:A1993ME71300006</t>
  </si>
  <si>
    <t>ABUIN, E; LISSI, E</t>
  </si>
  <si>
    <t>EXPANSION OF POLY(ETHYLENE OXIDE) CHAINS UPON BINDING OF POTASSIUM-SALTS IN METHANOL</t>
  </si>
  <si>
    <t>EUROPEAN POLYMER JOURNAL</t>
  </si>
  <si>
    <t>The effect of the binding of K+ salts (KCl and KF) in methanol on the expansion of poly(ethylene oxide) chains was investigated by measurements of intramolecular excimer formation rates and fluorescence lifetimes in pyrene end-labelled poly(ethylene oxide). The results are relevant in showing that the anion of the salt plays a role in determining the magnitude of the chain expansion, fluoride ion promoting the greater effect. An interpretation of the effect is given in terms of the operation of specific factors (besides coulombic) on the process of anion accumulation in the vicinity of the positively charged chains after K+ binding.</t>
  </si>
  <si>
    <t>0014-3057</t>
  </si>
  <si>
    <t>10.1016/0014-3057(92)90295-D</t>
  </si>
  <si>
    <t>WOS:A1992HD77600003</t>
  </si>
  <si>
    <t>SOLUBILIZATION OF NEUTRAL MOLECULES IN AOT INVERSE MICELLES IN NORMAL-HEPTANE</t>
  </si>
  <si>
    <t>CHEMICAL PHYSICS LETTERS</t>
  </si>
  <si>
    <t>0009-2614</t>
  </si>
  <si>
    <t>DEC 26</t>
  </si>
  <si>
    <t>10.1016/0009-2614(86)87121-4</t>
  </si>
  <si>
    <t>WOS:A1986F600200014</t>
  </si>
  <si>
    <t>CARDEMIL, E; JABALQUINTO, AM</t>
  </si>
  <si>
    <t>MEVALONATE 5-PYROPHOSPHATE DECARBOXYLASE FROM CHICKEN LIVER</t>
  </si>
  <si>
    <t>METHODS IN ENZYMOLOGY</t>
  </si>
  <si>
    <t>0076-6879</t>
  </si>
  <si>
    <t>WOS:A1985AFZ4900010</t>
  </si>
  <si>
    <t>JABALQUINTO, AM; LIRA, P; CARDEMIL, E</t>
  </si>
  <si>
    <t>PH STUDIES OF PYROPHOSPHOMEVALONATE DECARBOXYLASE</t>
  </si>
  <si>
    <t>R86</t>
  </si>
  <si>
    <t>WOS:A1983RG77100048</t>
  </si>
  <si>
    <t>Vallecilla, A; Dávila-Gálvez, S; Quezada, F</t>
  </si>
  <si>
    <t>Vallecilla, Andres; Davila-Galvez, Sebastian; Quezada, Franco</t>
  </si>
  <si>
    <t>A comparative analysis of different carbon cap policies on the economic lot-sizing problem with remanufacturing</t>
  </si>
  <si>
    <t>INTERNATIONAL JOURNAL OF PRODUCTION RESEARCH</t>
  </si>
  <si>
    <t>This paper investigates the implementation of carbon cap policies within a remanufacturing production system, focussing on a single-item lot-sizing problem aimed at meeting the demand for end-of-life products under four distinct carbon cap policies. Our study, motivated by the operational dynamics of ECOCITEX, a Chilean textile remanufacturing company, explores the balance between operational costs, carbon emissions, and production levels in response to environmental policies. We introduce a mixed-integer linear programming (MILP) formulation to address economic lot-sizing with considerations for both remanufacturing and carbon emissions constraints. Through extensive computational experiments, we assess the impact of various carbon emissions policies on production and emissions levels and their associated costs, finding that global and rolling-horizon policies offer the best trade-off between emission reductions and production cost increases. This leads to more environmentally friendly production policies for remanufactured products without compromising financial sustainability. The findings underscore the importance of flexibility in environmental policies for remanufacturing operations, suggesting that stringent carbon caps, while beneficial for emission reductions, may pose challenges to demand fulfillment and cost management. For managers, this highlights the critical need for adaptive policy frameworks that support sustainable production objectives without impeding operational efficiency.</t>
  </si>
  <si>
    <t>0020-7543</t>
  </si>
  <si>
    <t>1366-588X</t>
  </si>
  <si>
    <t>2025 FEB 19</t>
  </si>
  <si>
    <t>10.1080/00207543.2025.2467878</t>
  </si>
  <si>
    <t>FEB 2025</t>
  </si>
  <si>
    <t>WOS:001426687800001</t>
  </si>
  <si>
    <t>Aburto, I; Vidal, M; Yáñez, S; Aliaga, C; Domínguez, M</t>
  </si>
  <si>
    <t>Aburto, Ignacio; Vidal, Matias; Yanez, Sebastian; Aliaga, Carolina; Dominguez, Moises</t>
  </si>
  <si>
    <t>Orientation-dependent solvatochromism in ferrocenyl pyrimidinium conjugates: Comparative analysis and theoretical insights</t>
  </si>
  <si>
    <t>DYES AND PIGMENTS</t>
  </si>
  <si>
    <t>New ferrocenyl-2-pyrimidinium solvatochromic conjugates were synthesized and their solvatochromic inverted behavior was compared to that of ferrocenyl-4-pyrimidinium dyes. These results were rationalized using EPR spectroscopy, multiparametric studies, density functional theory (DFT) calculations, and Monte Carlo simulations. The present work illustrates how a change in the orientation of the donor/acceptor pair in ferrocene-based dyes controls the solvatochromic shift ranges and inversion points, providing anew tool for the future design of ferrocenyl push-pull dyes with controlled polarity-sensing capabilities</t>
  </si>
  <si>
    <t>Domínguez, Moisés/P-2227-2019</t>
  </si>
  <si>
    <t>Dominguez, Moises/0000-0002-8444-3065; Vidal, Matias/0000-0003-4888-7926</t>
  </si>
  <si>
    <t>0143-7208</t>
  </si>
  <si>
    <t>1873-3743</t>
  </si>
  <si>
    <t>10.1016/j.dyepig.2024.112489</t>
  </si>
  <si>
    <t>OCT 2024</t>
  </si>
  <si>
    <t>WOS:001346714800001</t>
  </si>
  <si>
    <t>Donoso, MV; Catalán-Salas, V; Pulgar-Sepúlveda, R; Eugenín, J; Huidobro-Toro, JP</t>
  </si>
  <si>
    <t>Donoso, M. Veronica; Catalan-Salas, Vicente; Pulgar-Sepulveda, Raul; Eugenin, Jaime; Huidobro-Toro, J. Pablo</t>
  </si>
  <si>
    <t>Physiology, Pathophysiology and Clinical Relevance of D-Amino Acids Dynamics: From Neurochemistry to Pharmacotherapy</t>
  </si>
  <si>
    <t>CHEMICAL RECORD</t>
  </si>
  <si>
    <t>Over three decades ago, two independent groups of investigators identified free D-aspartic and later D-serine in specific brain nuclei and endocrine glands. This finding revealed a novel, non-proteinogenic role of these molecules. Moreover, the finding that aged proteins from the human eye crystallin, teeth, bone, blood vessels or the brain incorporate D-aspartic acids to specific primary protein sequences fostered the hypothesis that aging might be related to D-amino acid isomerization of body proteins. The experimental confirmation that schizophrenia and neurodegenerative diseases modify plasma free D-amino acids or tissue levelsnurtured the opportunity of using D-amino acids as therapeutic agents for several disease treatments, a strategy that prompted the successful current application of D-amino acids to human medicine. Neurons, glia or endocrine glands isomerize L-amino acids (L-AAs) to D-AAs counterparts. D-AAs play a signaling role distinct from L-AAs which participate in protein synthesis and metabolism. D-AAs are involved in the pathogenesis of brain and other diseases. In addition, aging human proteins from the eye crystallin, bones or teeth isomerize, exclusively L-aspartic acid residues to D-aspartic acid via a procedure which occurs in selective aspartic acid residue following a distinct isomerization pattern. image</t>
  </si>
  <si>
    <t>Catalan-Salas, Vicente/0009-0006-1691-508X</t>
  </si>
  <si>
    <t>1527-8999</t>
  </si>
  <si>
    <t>1528-0691</t>
  </si>
  <si>
    <t>10.1002/tcr.202400013</t>
  </si>
  <si>
    <t>SEP 2024</t>
  </si>
  <si>
    <t>WOS:001321071900001</t>
  </si>
  <si>
    <t>Kern, J; Urrea, C; Verdejo, H; Agramonte, R; Becker, C</t>
  </si>
  <si>
    <t>Kern, John; Urrea, Claudio; Verdejo, Humberto; Agramonte, Rayko; Becker, Cristhian</t>
  </si>
  <si>
    <t>Trajectory Tracking and Disturbance Rejection Performance Analysis of Classical and Advanced Controllers for a SCORBOT Robot</t>
  </si>
  <si>
    <t>This work presents the design and assessment of four control schemes for the monitoring and regulation of joint trajectories applied in the dynamic model of a SCORBOT-ER V plus robot, which includes the dynamics of the actuators, and the estimation of the friction forces present within the joints. The two classical control strategies calculated torque and PID, and the two advanced control strategies, fuzzy and predictive, are considered. In the latter case, a gravitational compensation stage is incorporated, as well as the inverse models of the motors and the transmissions of belt movement for each joint. Computational tests are performed by applying an external step-type disturbance to the third joint of the robot. Finally, an evaluation of the results obtained is presented through trajectory curves, joint errors, and the three performance indexes residual mean square, residual standard deviation, and index of agreement.</t>
  </si>
  <si>
    <t>Claudio, URREA/KWU-1600-2024; Agramonte, Rayko/HTM-8716-2023</t>
  </si>
  <si>
    <t>Agramonte Alburquerque, Rayko Enrique/0000-0002-7395-5874; , Cristhian Becker/0000-0001-6943-5086; Urrea, Claudio/0000-0001-7197-8928</t>
  </si>
  <si>
    <t>10.3390/robotics13030048</t>
  </si>
  <si>
    <t>WOS:001192865100001</t>
  </si>
  <si>
    <t>Urrea, C; Saa, D; Kern, J</t>
  </si>
  <si>
    <t>Urrea, Claudio; Saa, Daniel; Kern, John</t>
  </si>
  <si>
    <t>Automated Symbolic Processes for Dynamic Modeling of Redundant Manipulator Robots</t>
  </si>
  <si>
    <t>In this study, groundbreaking software has been developed to automate the generation of equations of motion for manipulator robots with varying configurations and degrees of freedom (DoF). The implementation of three algorithms rooted in the Lagrange-Euler (L-E) formulation is achieved through the utilization of .m files in MATLAB R2020a software.This results in the derivation of a symbolic dynamic model for industrial manipulator robots. To comprehend the unique features and advantages of the developed software, dynamic simulations are conducted for two 6- and 9-DoF redundant manipulator robots as well as for a 3-DoF non-redundant manipulator robot equipped with prismatic and rotational joints, which is used to simplify the dynamic equations of the redundant prototypes. Notably, for the 6-DoF manipulator robot, model predictive control (MPC) is employed using insights gained from the dynamic model. This enables optimal control by predicting the future evolution of state variables: specifically, the values of the robot's joint variables. The software is executed to model the dynamics of different types of robots, and the CPU time for a MacBook Pro with a 3 GHz Dual-Core Intel Core i7 processor is less than a minute. Ultimately, the theoretical findings are validated through response graphs and performance indicators of the MPC, affirming the accurate functionality of the developed software. The significance of this work lies in the automation of motion equation generation for manipulator robots, paving the way for enhanced control strategies and facilitating advancements in the field of robotics.</t>
  </si>
  <si>
    <t>10.3390/pr12030593</t>
  </si>
  <si>
    <t>WOS:001192572000001</t>
  </si>
  <si>
    <t>Urrea, C; Domínguez, C; Kern, J</t>
  </si>
  <si>
    <t>Urrea, Claudio; Dominguez, Carlos; Kern, John</t>
  </si>
  <si>
    <t>Modeling, design and control of a 4-arm delta parallel manipulator employing type-1 and interval type-2 fuzzy logic-based techniques for precision applications</t>
  </si>
  <si>
    <t>ROBOTICS AND AUTONOMOUS SYSTEMS</t>
  </si>
  <si>
    <t>This paper presents the virtual design of a four-arm Delta parallel robot for potential applications in the food industry, specifically for the automated preparation of fast foods. Kinematic and dynamic models were developed based on the morphology of this type of robot. Cutting-edge and previously unexplored control strategies for these types of manipulators are then designed and implemented based on Fuzzy PD and Fuzzy PID configurations. Several performance indicators, such as the Integral Square Error (ISE), Integral Time Absolute Error (ITAE) and Integral Time Square Error (ITSE), were used to conduct a performance comparison of the control techniques, considering type-1 and interval type-2 fuzzy sets. In all the analyzed scenarios, the fuzzy controllers correspond to the Takagi-Sugeno-Kang model using linear functions of the inputs in the outputs. Among the main contributions of this work is the development of a detailed dynamic model of the robot in Simscape, incorporating realistic aspects that are often overlooked during analytical modeling. To ensure more accurate results, the rejection of external disturbances is thoroughly analyzed in simulations, considering elements such as time delays and control signal saturations. The results demonstrate the veracity of the proposed design for a four-arm Delta robot, both in models and in the Simscape/Simulink implementation. In the trajectory tracking task and external disturbance rejection, the superiority of the Fuzzy PID controller with interval type-2 fuzzy sets over fuzzy controllers with PD structure and over type-1 fuzzy sets is evidenced.</t>
  </si>
  <si>
    <t>Claudio, URREA/KWU-1600-2024; Domínguez Acosta, Carlos/KBA-8477-2024</t>
  </si>
  <si>
    <t>Dominguez Acosta, Carlos/0000-0002-0626-1186; Urrea, Claudio/0000-0001-7197-8928</t>
  </si>
  <si>
    <t>0921-8890</t>
  </si>
  <si>
    <t>1872-793X</t>
  </si>
  <si>
    <t>10.1016/j.robot.2024.104661</t>
  </si>
  <si>
    <t>FEB 2024</t>
  </si>
  <si>
    <t>WOS:001188020300001</t>
  </si>
  <si>
    <t>Pavlic, RD</t>
  </si>
  <si>
    <t>Pavlic, Rodolfo Disi</t>
  </si>
  <si>
    <t>Indigenous Voices and Votes: Assessing the Dynamics of Indigenous Politics in Chile's Constitutional Referendum of 2022</t>
  </si>
  <si>
    <t>PS-POLITICAL SCIENCE &amp; POLITICS</t>
  </si>
  <si>
    <t>Many analysts have tried to discern the reasons behind the Chilean Constitutional Convention's draft failure in the 2022 plebiscite. A significant explanation is the draft's inclusion of indigenous rights and its plurinationality principle (Bargsted and Gonzalez 2022). Despite Chile being unique in Latin America in its lack of constitutional recognition for its indigenous population (Acevedo 2021), most voters in indigenous areas appeared to have opposed the draft (Pairican 2022).1</t>
  </si>
  <si>
    <t>Disi Pavlic, Rodolfo/X-6376-2019</t>
  </si>
  <si>
    <t>Disi Pavlic, Rodolfo/0000-0003-4655-153X</t>
  </si>
  <si>
    <t>1049-0965</t>
  </si>
  <si>
    <t>1537-5935</t>
  </si>
  <si>
    <t>10.1017/S1049096523000872</t>
  </si>
  <si>
    <t>JAN 2024</t>
  </si>
  <si>
    <t>WOS:001139733500001</t>
  </si>
  <si>
    <t>Arce-Pradenas, G</t>
  </si>
  <si>
    <t>Schafer, V; Pailler, F</t>
  </si>
  <si>
    <t>Arce-Pradenas, Gaston</t>
  </si>
  <si>
    <t>Unexpected Politicians: The Viral Celebrities of Unrest</t>
  </si>
  <si>
    <t>ONLINE VIRALITY: Spread and Influence</t>
  </si>
  <si>
    <t>Studies in Digital History and Hermeneutics</t>
  </si>
  <si>
    <t>This chapter focuses on the so-called Celebrities of the Unrest, a series of people who rose to fame after becoming viral during the Chilean outburst of 2019, moving on to develop political careers. Widely popularised in social media and by media outlets, these figures expressed their protest messages through performative acts, such as using costumes in demonstrations or developing complex alter egos. After becoming heroes and popular icons, they started a process of converting their symbolic capital into a political one, successfully running for the Chilean Constitutional Convention in 2021. In doing so, they left the streets and become representatives in the most important institution in the country's recent history. This was achieved despite their having no political background or connections. This research was conducted by tracing their respective individual social and political careers to understanding the different stages in the building of their characters, as well as the transformation process from mere demonstrators to influential politicians. Secondly, we collected and analysed social media network data from Twitter and conducted a sentiment analysis of YouTube comments for a better comprehension of the phenomenon. The results of this inquiry demonstrate the existence of shared features among the five cases, as they developed a particular style of leadership, combining traits from activism, microcelebrities and more traditional political activities.</t>
  </si>
  <si>
    <t>2629-4540</t>
  </si>
  <si>
    <t>978-3-11-131137-1; 978-3-11-131035-0</t>
  </si>
  <si>
    <t>10.1515/9783111311371-008</t>
  </si>
  <si>
    <t>10.1515/9783111311371</t>
  </si>
  <si>
    <t>WOS:001374661800008</t>
  </si>
  <si>
    <t>Lacoste, P; Montoya, S</t>
  </si>
  <si>
    <t>Lacoste, Pablo; Montoya, Sandra</t>
  </si>
  <si>
    <t>Land routes in the Southern Cone of Colonial America</t>
  </si>
  <si>
    <t>CHRONICA NOVA</t>
  </si>
  <si>
    <t>Overland routes in the Southern Cone of America are examined in the context of the inter- modal system that was also articulated with maritime and fluvial routes. The Andes Mountain range was the frontier of land transportation means, with the predominance of road routes to the east and mule tracks to the west. In this context, specific historical subjects emerged, troperos in the River Plate-Pampean space, and arrieros in Chile and the mountain areas.</t>
  </si>
  <si>
    <t>0210-9611</t>
  </si>
  <si>
    <t>2445-1908</t>
  </si>
  <si>
    <t>10.30827/cnova.v0i50</t>
  </si>
  <si>
    <t>WOS:001390210300005</t>
  </si>
  <si>
    <t>Rozas, JP</t>
  </si>
  <si>
    <t>Palacios Rozas, Javiera</t>
  </si>
  <si>
    <t>ANTHROPOPHAGOUS HUNGER: NEW PERSPECTIVES ON THE ACT OF POLITICAL UTTERANCE OF VICTORY</t>
  </si>
  <si>
    <t>PERSPECTIVAS DE LA COMUNICACION</t>
  </si>
  <si>
    <t>Introduction: The post-electoral political discourse is approached through the metaphor of anthropophagy, where politicians and audiences are placed as predators and prey, which emerge in the communicative act and generate a third space that devours both. Objectives: To understand the complexity of political discourse from the perspective of Latin American anthropophagy and to conceptualize the hermeneutic implications at different levels, emphasizing the affective-contextual. Methodology: Theorization and anthropophagic conceptual reflection as an operational framework of the victory enunciations. Results: Post-electoral discourses can be seen from an anthropophagic point of view, emphasizing the role of hunger as a motivator of actions and the creation of a third space of communication generation. Discussion: The complexity of political discourse is analyzed from a rhizomatic perspective, reflecting on its non-linear nature in which new roles of the participants of the communicative space are explored. Conclusions: The importance of anthropophagy in the affective-contextual social construction and interaction is reaffirmed, proposing a new look at the post-electoral communicative act, emphasizing that the human being consumes and is consumed by messages, being hunger the key discursive articulator.</t>
  </si>
  <si>
    <t>0718-4867</t>
  </si>
  <si>
    <t>10.56754/0718-4867.2024.3390</t>
  </si>
  <si>
    <t>WOS:001259190800009</t>
  </si>
  <si>
    <t>IMAGINARIO MODERNISTA EN LA OBRA REUNIDA DE GRACIELA FIGUEROA NAVARRO: UNA POETA SINGULAR DE COMIENZOS DEL SIGLO XX</t>
  </si>
  <si>
    <t>10.29393/At527-17IMNN10017</t>
  </si>
  <si>
    <t>WOS:001109110100005</t>
  </si>
  <si>
    <t>Granados-Tavera, K; Montenegro-Pohlhammer, N; Cárdenas-Jirón, G</t>
  </si>
  <si>
    <t>Granados-Tavera, Kevin; Montenegro-Pohlhammer, Nicolas; Cardenas-Jiron, Gloria</t>
  </si>
  <si>
    <t>Photoconductive metal-organic frameworks based on 10,20-meso-substi-tuted Zn-porphyrin and fullerene C60</t>
  </si>
  <si>
    <t>SURFACES AND INTERFACES</t>
  </si>
  <si>
    <t>Metal-organic frameworks (MOFs) with electrical conductivity have potential applications as electrochemical sensors, electrocatalysis, and energy storage. We present the design of a new class of conductive MOFs based on porphyrin, substituted in the 10,20 meso-positions (1 amine, 2 hydroxy, 3 methoxy, 4 nitro, and 5 dimethylamine). Furthermore, these MOFs are doped with fullerene molecules (C60) within their pores, resulting in 1@C60, 2@C60, 3@C60, 4@C60, and 5@C60. To study the electronic and optical properties of these MOFs before and after the incorporation of C60, theoretical calculations based on density functional theory (DFT) (PBE+D3/ DZP) and time-dependent DFT (TPSSh/6-31G) were performed. Incorporating C60 causes a decrease in the bandgap of MOFs due to its unoccupied crystalline p orbitals (LUCOs). It also promotes the Q and Soret (B) bands of porphyrin in the MOF to absorb at longer wavelengths. Charge transport properties were calculated using the Keldysh nonequilibrium Green's function (NEGF) formalism and molecular junctions with Au(111)-based electrodes for 1 and 1@C60. When a bias voltage of 0.2 V is applied, an increase in current is obtained for 1@C60 concerning 1. Our results suggest that MOF@C60 is a promising alternative for designing new photoconductive materials because of the donor-acceptor interactions generated.</t>
  </si>
  <si>
    <t>cardenas-jiron, gloria/H-9508-2012; Montenegro-Pohlhammer, Nicolas/HJZ-2914-2023</t>
  </si>
  <si>
    <t>Montenegro-Pohlhammer, Nicolas/0000-0003-3574-2955; Granados-Tavera, Kevin/0000-0002-7585-4022</t>
  </si>
  <si>
    <t>2468-0230</t>
  </si>
  <si>
    <t>10.1016/j.surfin.2023.103002</t>
  </si>
  <si>
    <t>WOS:001027554800001</t>
  </si>
  <si>
    <t>Tarride, Mario Ivan</t>
  </si>
  <si>
    <t>Towards an organizational model based on the human being seen as an allopoietic gray box information processor</t>
  </si>
  <si>
    <t>Purpose The paper aims to contribute conceptually to the conversation about organizational models and to the future development of an organizational diagnostic method, based on the human being seen as an allopoietic information processing gray box.Design/methodology/approachMethodologically, the approach is qualitative and interpretative, using the concepts of autopoiesis and allopoiesis of H. Maturana and F. Varela, the ideas of cybernetic machine, black box and functional homomorphism of W.R. Ashby, moving from the human being to the organizations producing goods and/or services.Findings Observing the human being as an allopoietic gray box allowed us to confirm the human being as an information-producing entity and the nervous system as its productive component. The functions distinguished were to emote, feel, perceive, think, memorize, decide, communicate, regulate, control, coordinate and move. Similarly, the proposed organizational model is composed of the same functions in which emoting is homologated with distributed leadership for the achievement of the organizational climate and to move with production. Notwithstanding the circularity of affectation between the functional components, the climate is the basis of organizational operation and consequently, the decisional closure distributed between owners and employees.Research limitations/implicationsThis is a theoretical proposal that needs to be discussed, and although there are precedents that could help in this regard, it is essential to enrich the model and derive thereof specific tools that can be applied.Practical implications A general model is provided from which methods of organizational design, diagnosis and treatment could be derived.Social implications The proposed model is expected to be a contribution to organizational research discussion.Originality/value It is considered that the work has a certain degree of originality when proposing a functional organizational model of a general nature, based on the emotionality of the people that constitute it.</t>
  </si>
  <si>
    <t>Tarride, Mario Ivan/0000-0002-5549-0575</t>
  </si>
  <si>
    <t>1758-7883</t>
  </si>
  <si>
    <t>JUL 10</t>
  </si>
  <si>
    <t>10.1108/K-11-2022-1566</t>
  </si>
  <si>
    <t>APR 2023</t>
  </si>
  <si>
    <t>WOS:000965119000001</t>
  </si>
  <si>
    <t>Venegas, TP; Espinosa, BA; Cataño, FA; Vasco, DA</t>
  </si>
  <si>
    <t>Venegas, Tomas P.; Espinosa, Byron A.; Catano, Francisco A.; Vasco, Diego A.</t>
  </si>
  <si>
    <t>Impact Assessment of Implementing Several Retrofitting Strategies on the Air-Conditioning Energy Demand of an Existing University Office Building in Santiago, Chile</t>
  </si>
  <si>
    <t>INFRASTRUCTURES</t>
  </si>
  <si>
    <t>This work analyzed the thermal behavior of an existing building, considering different retrofitting strategies. The methodology starts with an in-situ survey that allowed for obtaining information about occupation, work schedules, envelope materials, lighting, and equipment, which was vital to develop an energy model of the building. Then, the thermal analysis, employing simulations, demonstrates a higher relevance of heat flows through the building's envelope than internal loads and higher cooling rather than heating demands. Afterward, several retrofit strategies focusing on modifying architectural elements were assessed. Finally, these strategies were compared based on their impact on the air-conditioning energy demand. A systematic review identified a lack of studies relating certification and energy policies to buildings retrofitting. Therefore, we assessed the energy performance of the building, when modified to meet the baseline requirements set on the Chilean certification requirements for sustainable buildings, to verify if the certification is a suitable method to assess the energy efficiency of an office building. Although the study only involves a single building, it aims to illustrate identified limitations using the energy policies for Chilean public buildings. The Chilean certification for sustainable buildings seems not to be suitable for the evaluation of energy consumption for the retrofit of existing buildings. Although this study does not demonstrate general trends, it presents a precedent for subsequent studies to evaluate the relevance of the Chilean certification guidelines.</t>
  </si>
  <si>
    <t>Vasco, Diego/AAA-4480-2020</t>
  </si>
  <si>
    <t>Vasco, Diego Andres/0000-0001-7456-4683; Catano, Francisco/0009-0008-8736-4267</t>
  </si>
  <si>
    <t>2412-3811</t>
  </si>
  <si>
    <t>10.3390/infrastructures8040080</t>
  </si>
  <si>
    <t>WOS:000984042900001</t>
  </si>
  <si>
    <t>Hermosilla, AH; Martin, R</t>
  </si>
  <si>
    <t>Hidalgo Hermosilla, Aldo; Martin, Rodrigo</t>
  </si>
  <si>
    <t>Abandoned pedways: Aftermaths of spatial design on the perception of insecurity</t>
  </si>
  <si>
    <t>Among the spatial devices for collective housing complexes designed by the Urban Improvement Corporation (CORMU) during the 1970s in Chile are the pedways to connect buildings and support the community experience. In most cases, this network has deteriorated, abandoned by the population that fears being a victim of crime in those places. Urban design theory has paid little attention to the relationship between spatial design and the perception of insecurity. Consequently, this study aims to determine how physical and spatial factors affect the perception of urban spaces as potentially unsafe. The qualitative methodology applied to the case study of the housing complex of Parque Ines de Suarez (Santiago 1971) is based on principles of the Situational Prevention Theory (CPTED); it considers the mapping of pedestrian routes, visual records, and interviews. The research suggests that the possibility of the occurrence of crimes depends on the degree of permeability of the spatial configuration and the absence of natural surveillance. The findings show that spatial configuration devices act as obstructions to movement and visual control, violating the cardinal principle of natural surveillance of the environment. According to this, the results suggest the need to update the practice of spatial design, integrating security as a constitutive factor of a healthy residential space.</t>
  </si>
  <si>
    <t>10.5354/0717-5051.2022.65965</t>
  </si>
  <si>
    <t>WOS:000926158600002</t>
  </si>
  <si>
    <t>Wars, cartels and COVID-19: regime switching in commodity prices</t>
  </si>
  <si>
    <t>Commodity prices are extremely volatile, and volatility itself fluctuates over time. Using data from 1959 to 2022, we estimate a 3-state Markov-switching model to identify expansions and contractions in oil and copper price volatility. We found a transition from a low to a medium variance regime for the oil price, in 1979, reflecting changes in the oil market structure. In addition, we identify infrequent and short-lived episodes of unusually high oil price volatility. For copper, there is no transition across regimes, and episodes of high volatility are not synchronized with the periods of high volatility in oil prices. We found that oil prices are much more volatile than copper prices in all states. Oil prices react more strongly to market cartelization, war episodes, and global demand shifts, like the 2008 Great Recession and the COVID-19.</t>
  </si>
  <si>
    <t>Ordóñez, Félix/IXD-8603-2023</t>
  </si>
  <si>
    <t>Ordonez, Felix/0000-0002-0166-6221</t>
  </si>
  <si>
    <t>FEB 23</t>
  </si>
  <si>
    <t>10.1080/13504851.2022.2133892</t>
  </si>
  <si>
    <t>WOS:000869215000001</t>
  </si>
  <si>
    <t>Fernández, CM; Vallejos, RA</t>
  </si>
  <si>
    <t>Fernandez, Christian Matamoros; Vallejos, Rolando Alvarez</t>
  </si>
  <si>
    <t>DICTATORSHIP INTHE COUNTRYAND IN SCHOOLS. JOB PRECARIOUSNESS AND EDUCATIONAL PRIVATIZATION IN CHILE: 1980-1990</t>
  </si>
  <si>
    <t>HISTORIA 396</t>
  </si>
  <si>
    <t>The promotion of privatization in the school system, carried out by the military dictatorship, allowed the formation of groups of education entrepreneurs, owners of several schools that received state subsidies. Protected by minimal legislation, these employers developed authoritarian labor practices, in tune with the political situation in the country. This did not prevent the emergence of a unionization process, which resisted some of the coercive measures of these employers. The government's support for the employer sector resulted in the impossibility of improving the precarious conditions of teachers in these schools. Based on a review of the national press and interviews with teachers participating in the associativity process, this article focuses on historically analyzing the conditions of teaching work in a sector minimally considered in the studies, such as private subsidized schools, and on accounting for the organizational trajectory of this sector of workers. The results of the research allow us to affirm that the growth of educational entrepreneurs was based on authoritarian labor practices, which calls into question part of the argumentative bases of the neoliberal discourse applied in educational policies.</t>
  </si>
  <si>
    <t>0719-0719</t>
  </si>
  <si>
    <t>0719-7969</t>
  </si>
  <si>
    <t>WOS:000937012300006</t>
  </si>
  <si>
    <t>Leiva, DJ</t>
  </si>
  <si>
    <t>Jerez Leiva, Dany</t>
  </si>
  <si>
    <t>The former general Ibanez and his foreign concomitances: Chilean radicals and possible Peronist interference in the presidential elections of 1952</t>
  </si>
  <si>
    <t>The purpose of this article is to analyze the discourses generated by sectors of the Radical Party of Chile, in the context of the 1952 presidential election, regarding possible Peronist interference in favor of Carlos Ibanez del Campo. According to the Radicals, there was a process of articulation that strengthened ties between the Justicialist leader and the Chilean caudillo. In this way, the aim is to analyze how the radicals related the emergence of Ibanez del Campo with Peronist foreign policy. To this end, we study the complaints of interference made in the press and in the National Congress.</t>
  </si>
  <si>
    <t>WOS:000826968400001</t>
  </si>
  <si>
    <t>Lacoste, P</t>
  </si>
  <si>
    <t>Lacoste, Pablo</t>
  </si>
  <si>
    <t>MARCAS V/S DENOMINACIONES DE ORIGEN: BATALLAS PUBLICITARIAS EN ZIG-ZAG Y CARAS Y CARETAS (CHILE Y ARGENTINA, 1900-1930)*</t>
  </si>
  <si>
    <t>The causes of the weak development of Appellations of Origin in Latin America are investigated, a problem that persists today, despite the efforts of public policies. It examines the foundational period of mass culture and the wine market in consumer society in the first third of the 20th century. Specifically, it examines the commercial battle between brands and typical products of origin in the main magazines of the region, such as Caras y Caretas (Buenos Aires) and Zig-Zag (Santiago de Chile). Instead of asserting their identity and cultural landscapes, the DOs limited themselves to imitating the brands' strategy. Moreover, the predominance of Frenchisation trends weakened the interest in typical local products, which accentuated the problem.</t>
  </si>
  <si>
    <t>0000-0003-1876-8141</t>
  </si>
  <si>
    <t>WOS:000964706500001</t>
  </si>
  <si>
    <t>López, JIP</t>
  </si>
  <si>
    <t>Ponce Lopez, Jose Ignacio</t>
  </si>
  <si>
    <t>Between autonomy and social dialogue: The trade union strategies of the Socialist Party of Chile in post-dictatorship, 1988-2003</t>
  </si>
  <si>
    <t>The article approach the union strategies promoted by the Socialist Party of Chile between 1988 and 2003. It is argued that this community promoted a policy that articulated autonomy with social dialogue between workers' organizations. This was expressed both in its initial tendency towards the idea of social agreement and in the proposal of socio-political unionism to which its leaders ascribed to the end of the period studied. In this sense, the socialist leaders tried to assimilate the notion of autonomy of the workers' organizations with the elaboration of their own proposals and to dilute a link with the propensity for social mobilization. This was not a linear and progressive process, operating with deep tensions and contradictions among these leaders, particularly in the second half of the 1990s. However, the reformulations proposed by the socialist unionists allowed them to maintain considerable influence and contribute to the repositioning of workers' organizations, although emphasizing the need to balance willingness to agree and mobilize. Methodologically, was used an exhaustive and critical review of the speeches that appeared in the press of the period, to rebuild the main political conjunctures of the country and those related to the trade union world, which was supplemented with various internal and periodic documents of the PS, to give an account of the main debates of the organization and the positions related to labor.</t>
  </si>
  <si>
    <t>WOS:000826968400002</t>
  </si>
  <si>
    <t>Seguel, CA</t>
  </si>
  <si>
    <t>Seguel, Claudio Araya</t>
  </si>
  <si>
    <t>News of a suicide: an evaluative linguistic analysis</t>
  </si>
  <si>
    <t>PUNTO GENERO</t>
  </si>
  <si>
    <t>This work explores how a case of suicide of a transgender person that occurred in 2019 is discursively constructed in Chilean cyber press texts. From a linguistically oriented discursive analysis, the prominent discursive entities in the texts and the textual voices that evaluate them are identified, in order to examine the social meanings associated with the case. The linguistic analysis is carried out through the evaluation system developed by Functional Systemic Linguistics and focuses on the co-occurrence of evaluative patterns. From this system, three journalistic notes are tracked from three edges associated with the event: the mother's testimony, the responsibility of the school and the judicial scope. Among the main results, there is a condemnation of the school, its authorities and attorneys, built through ethical evaluations from the voices of the mother and some representatives of trans organizations.</t>
  </si>
  <si>
    <t>0719-0417</t>
  </si>
  <si>
    <t>WOS:000822643200005</t>
  </si>
  <si>
    <t>Bravo, J; Lizama, C; Rueda, S</t>
  </si>
  <si>
    <t>Bravo, Jennifer; Lizama, Carlos; Rueda, Silvia</t>
  </si>
  <si>
    <t>Qualitative properties of nonlocal discrete operators</t>
  </si>
  <si>
    <t>MATHEMATICAL METHODS IN THE APPLIED SCIENCES</t>
  </si>
  <si>
    <t>In this article, we prove new convexity results for nonlocal discrete operators across an entire region that covers sequential orders in two parameters. We review and extend current studies on the properties of positivity, monotonicity, and convexity, explore borderline cases, and provide new insights on such properties by means of original examples evidencing the sharpness of the results. Our method is based on the novel principle of transference.</t>
  </si>
  <si>
    <t>; Lizama, Carlos/E-5909-2011</t>
  </si>
  <si>
    <t>Rueda, Silvia/0000-0001-7031-1718; Lizama, Carlos/0000-0002-9807-1100</t>
  </si>
  <si>
    <t>0170-4214</t>
  </si>
  <si>
    <t>1099-1476</t>
  </si>
  <si>
    <t>JUL 15</t>
  </si>
  <si>
    <t>10.1002/mma.8174</t>
  </si>
  <si>
    <t>MAR 2022</t>
  </si>
  <si>
    <t>WOS:000766838100001</t>
  </si>
  <si>
    <t>Friz, C; Neira, H</t>
  </si>
  <si>
    <t>Friz, Cristobal; Neira, Hernan</t>
  </si>
  <si>
    <t>THE CONCEPT OF PUBLIC APPLIED TO THE UNIVERSITY</t>
  </si>
  <si>
    <t>The concept ofpublic has been blurred. This is the framework within which some private universities pretend to be public, as well as the state owned ones, and that they must receive similar public subventions. The exegesis of the concept ofpublic, based on the political arguments about religious liberty during the early years of Christianity and the contrast with some philosophical modern and contemporary texts wreck this pretention. It is possible to illuminate some aspects of the difference between what is public and what is private. This also illustrates that the exaltation of the blurred frontiers of the concept of public hides some normative pretentions on behalf of private universities market.</t>
  </si>
  <si>
    <t>WOS:000934877500003</t>
  </si>
  <si>
    <t>Lauzurique, Y; Montalvo, S; Salazar, R; García, V; Huiliñir, C</t>
  </si>
  <si>
    <t>Lauzurique, Yeney; Montalvo, Silvio; Salazar, Ricardo; Garcia, Veronica; Huilinir, Cesar</t>
  </si>
  <si>
    <t>Fly ash from coal combustion as improver of anaerobic digestion: A review</t>
  </si>
  <si>
    <t>JOURNAL OF ENVIRONMENTAL CHEMICAL ENGINEERING</t>
  </si>
  <si>
    <t>The increasing production of fly ash from coal combustion has become a problem due to the environmental risks involved in its disposal. These wastes have a porous structure and contain several transition metal oxides that are active components of many catalytic systems. This document presents the possibility of using fly ash as an additive to improve anaerobic digestion processes. To this end, the effect of fly ash on methane production and the biodegradation of different substrates is reviewed. Moreover, this review gives emphasis on possible mechanisms responsible for improving anaerobic digestion by adding fly ash. In this context, the importance of trace elements for methanogenic archaea, as well as the techniques studied to determine the availability of trace elements for microorganisms are addressed. The importance of the metallic oxides contained in the fly ash on the direct interspecies electron transfer and the possibility that the fly ash can act as a support for the formation of biofilms is reviewed. In addition, in this review, the possible effects that can occur in the digestate by adding metals in the anaerobic process are presented, and the mathematical models that incorporate the effect of fly ash on anaerobic digestion. Finally, this manuscript discusses the limitations on the use of fly ash on an industrial scale and the outlook for its continued use.</t>
  </si>
  <si>
    <t>García, Verónica/AAM-1175-2021; Salazar, Ricardo/L-7870-2013; Huilinir, Cesar/IYS-6899-2023</t>
  </si>
  <si>
    <t>Lauzurique Guerra, Yeney/0000-0003-1354-8721; Salazar-Gonzalez, Ricardo/0000-0003-2180-6022; garcia, veronica/0000-0002-5312-925X</t>
  </si>
  <si>
    <t>2213-2929</t>
  </si>
  <si>
    <t>2213-3437</t>
  </si>
  <si>
    <t>10.1016/j.jece.2021.106422</t>
  </si>
  <si>
    <t>SEP 2021</t>
  </si>
  <si>
    <t>WOS:000707220600002</t>
  </si>
  <si>
    <t>Olavarria-Gambi, M</t>
  </si>
  <si>
    <t>Olavarria-Gambi, Mauricio</t>
  </si>
  <si>
    <t>An Inter-Temporal Comparison About the Effect of Institutional Changes on the Policy-Making Process in Chile's Health Sector</t>
  </si>
  <si>
    <t>PUBLIC ORGANIZATION REVIEW</t>
  </si>
  <si>
    <t>Do institutional changes lead to changes in the policy formulation process (PFP)? The paper analyses the health sector PFP of the old Chilean democracy (in place until 1973), until mid 1950s, and contrasts its finding with that of the democratic regime in place since 1990. Deep institutional reforms occurred in between, during the 17-year dictatorship of General Pinochet. The article concludes that both PFP behave similarly, raising the question of why is that and what might explain it. Information comes from official documents, press clippings, diverse literature and interviews. The article combines policy analysis with documental historical and hermeneutical methods.</t>
  </si>
  <si>
    <t>Olavarria-Gambi, Mauricio/K-9521-2019</t>
  </si>
  <si>
    <t>Olavarria-Gambi, Mauricio/0000-0001-5997-2873</t>
  </si>
  <si>
    <t>1566-7170</t>
  </si>
  <si>
    <t>1573-7098</t>
  </si>
  <si>
    <t>10.1007/s11115-021-00543-3</t>
  </si>
  <si>
    <t>JUL 2021</t>
  </si>
  <si>
    <t>WOS:000674416000001</t>
  </si>
  <si>
    <t>Miranda, LH; Yáñez, BN</t>
  </si>
  <si>
    <t>Herrada Miranda, Luciano; Navarrete Yanez, Bernardo</t>
  </si>
  <si>
    <t>Globalization, Laws or Mayors? A Model of Analysis for Local Government Internationalization Policies</t>
  </si>
  <si>
    <t>REVISTA DEL CLAD REFORMA Y DEMOCRACIA</t>
  </si>
  <si>
    <t>In the face of current globalization, local governments have responded with an increasing process of internationalization. The most common explanations for this phenomenon come from International Relations and International Law theories and range from contributing to local economic development and improving social services to becoming involved in international policies. However, an alternative and understudied explanation for the internationalization of local governments is the leadership mayors, either based on the institutional model or on their personal characteristics. Thus, based on the theoretical models of International Relations, International Law, and mayors' leadership, and based on a theoretical review, it is shown that the development of local government internationalization policies cannot be analyzed in its full dimension without considering the mayor's leadership styles. The main theoretical contribution of this article is to conceive the mayor's leadership as a robust explanation for the development of internationalization policies by local governments, distancing itself from the traditional and not very explanatory theoretical lines of the phenomenon: globalization and the institutional system.</t>
  </si>
  <si>
    <t>1315-2378</t>
  </si>
  <si>
    <t>WOS:000797059200003</t>
  </si>
  <si>
    <t>Avaria, CV; Avdaloff, AJ</t>
  </si>
  <si>
    <t>Vesely Avaria, Carola; Jeftanovic Avdaloff, Andrea</t>
  </si>
  <si>
    <t>The Childhood Kingdoms: Imaginaries of Dictatorial Power in Chilean Poetry for Children During the 70s</t>
  </si>
  <si>
    <t>LITERATURA-TEORIA HISTORIA CRITICA</t>
  </si>
  <si>
    <t>This study is framed in the field of children poetry during the 1970s in Chile, taking as a reference the work of the musician and poet Sergio Vesely during his captivity in several detention centers of the military dictatorship. Starting from a critical and theoretical reading, I explored the articulation of symbolic imageries referring to dictatorial power transmitted to children through the metaphor of the king. This work aims to the rescue and making visible forgotten voices, contributing to the construction of a historical memory that integrates new pieces into the map of artistic creation arising from the prison experience in Chile. At the same time, the aim is to contribute to the necessary legitimation of the role of children in historical and social processes, in this case by exploring the imagery transmitted about the exercise of power during the early years of the Chilean dictatorship.</t>
  </si>
  <si>
    <t>0123-5931</t>
  </si>
  <si>
    <t>2256-5450</t>
  </si>
  <si>
    <t>10.15446/lthc.v23n2.94881</t>
  </si>
  <si>
    <t>WOS:000669387400002</t>
  </si>
  <si>
    <t>Urrea, C; Páez, F</t>
  </si>
  <si>
    <t>Urrea, Claudio; Paez, Felipe</t>
  </si>
  <si>
    <t>Design and Comparison of Strategies for Level Control in a Nonlinear Tank</t>
  </si>
  <si>
    <t>In this work, a study of the water level control of an inverted conical tank system is presented. This type of tank has highly nonlinear mathematical and dynamic characteristics. Four control strategies are designed, applied, and compared, namely classical Proportional-Integral-Derivative (PID), Gain Scheduling (GS), Internal Model Control (IMC), and Fuzzy Logic (FL). To determine which of the designed control strategies are the most suitable for an inverted conical tank, a comparative study of the behavior of the system is carried out. With this purpose, and considering situations much closer to reality, a variety of scenarios, such as step responses, random input disturbances, and momentary load disturbances, are conducted. Additionally, performance indexes (error- and statistics-based) are calculated to assess the system's response.</t>
  </si>
  <si>
    <t>10.3390/pr9050735</t>
  </si>
  <si>
    <t>WOS:000654472000001</t>
  </si>
  <si>
    <t>Martínez, P; Jaime, D; Contreras, D; Moreno, M; Bonacic, C; Marín, M</t>
  </si>
  <si>
    <t>Martinez, Pablo; Jaime, Daniela; Contreras, Daniela; Moreno, Monica; Bonacic, Carolina; Marin, Mauricio</t>
  </si>
  <si>
    <t>Design and validation of an instrument for selecting spontaneous volunteers during emergencies in natural disasters</t>
  </si>
  <si>
    <t>INTERNATIONAL JOURNAL OF DISASTER RISK REDUCTION</t>
  </si>
  <si>
    <t>An instrument for selecting spontaneous volunteers can facilitate efficient decision making and management in large scale natural disasters. This study aimed to design and validate an instrument for selecting spontaneous volunteers during natural disasters in Chile. A mixed-methods study was realized. In the qualitative component, the instrument's items were derived from a competence profile for spontaneous volunteers, which was defined through interviews with disaster risk management experts. In the quantitative component, content validity was assessed measuring inter-rater (expert) agreement, and construct validity was determined by confirmatory factor analysis (CFA) in a sample of 117 volunteers in Chile, who answered the instrument. The instrument's preliminary version comprised 45 items and 5 dimensions of competence (knowledge, skills, behavior, motivation, and social desirability). The expert raters had a good degree of agreement (ICC = 0.581, p &lt; 0.001), suggested the elimination of 10 items and the modification of 9 items. Finally, the CFA confirmed the 5-dimension structure for a total of 18 items. Fit was found to be adequate (2(125) = 145.38, p = 0.1027; RMSEA = 0.039; CFI = 0.938; and TLI = 0.924) and internal consistency was deemed acceptable (alpha = 0.74). The reliability and validity of the proposed instrument for selecting spontaneous volunteers suggests that it can be used to support the efforts of local humanitarian relief organizations.</t>
  </si>
  <si>
    <t>Marin, Mauricio/GLR-7700-2022; Martínez, Pablo/LZF-5853-2025</t>
  </si>
  <si>
    <t>Marin, Mauricio/0000-0003-0662-7149; Martinez, Pablo/0000-0003-4482-7993</t>
  </si>
  <si>
    <t>2212-4209</t>
  </si>
  <si>
    <t>10.1016/j.ijdrr.2021.102243</t>
  </si>
  <si>
    <t>APR 2021</t>
  </si>
  <si>
    <t>WOS:000655642100004</t>
  </si>
  <si>
    <t>Salazar, PA</t>
  </si>
  <si>
    <t>Aguilera Salazar, Paulette</t>
  </si>
  <si>
    <t>Traditional Festivities in Libertador General Bernardo O'Higgins Region, Chile: Traditions, Gastronomy and Religiosity at the Center of the Party</t>
  </si>
  <si>
    <t>RIVAR-REVISTA IBEROAMERICANA DE VITICULTURA AGROINDUSTRIA Y RURALIDAD</t>
  </si>
  <si>
    <t>The main traditional festivities that took place in Libertador General Bernardo O'Higgins Region, Chile, are presented and detailed, approaching them as expressions of the intangible cultural heritage of the communities that give them life. The traditional festivities were extracted from the written press of the region (1849-2016) and selected under the criteria of validity at present. These festivals have at least one of the following themes as their central axis: traditional activities in the area, typical gastronomy, and expressions of religiosity. These are analyzed within the historical context in which they emerged, since it seeks to demonstrate its symbiotic relationship with the local culture of origin. Finally, it offers a critical look at traditional festivities and the challenges they face today.</t>
  </si>
  <si>
    <t>0719-4994</t>
  </si>
  <si>
    <t>10.35588/rivar.v8i22.4738</t>
  </si>
  <si>
    <t>WOS:000662315500010</t>
  </si>
  <si>
    <t>McSherry, JP</t>
  </si>
  <si>
    <t>Patrice McSherry, J.</t>
  </si>
  <si>
    <t>The Chilean New Song Movement: Culture and Counterhegemony</t>
  </si>
  <si>
    <t>KAMCHATKA-REVISTA DE ANALISIS CULTURAL</t>
  </si>
  <si>
    <t>This article analyzes the Chilean New Song movement (NCCh) as an integral component of a powerful counterhegemonic movement in Chile, formed in the mid-1960s, and key in the election of President Salvador Allende in 1970. The songs of the New Song movement not only denounced injustices but also articulated the dreams and hopes of multitudes of Chileans for a future of social justice and dignity. The musicians were simultaneously social communicators, historians, teachers, organizers, and interpreters of popular aspirations. They gave concerts in union halls from the north to the south of Chile, and in hundreds of student assemblies and meetings of campesinos in the rural areas. I use Antonio Gramsci's concepts to assess the significance of NCCh, particularly Gramsci's ideas about hegemony and the role of organic intellectuals. I interpret the role of the musicians as organic intellectuals as their music gave voice to the voiceless, visibilized their struggles, and made a new society of social justice in Chile seem possible and achievable.</t>
  </si>
  <si>
    <t>2340-1869</t>
  </si>
  <si>
    <t>10.7203/KAM.17.18142</t>
  </si>
  <si>
    <t>WOS:000680725300008</t>
  </si>
  <si>
    <t>Araneda, MJR; Rodríguez, SG</t>
  </si>
  <si>
    <t>Rodriguez Araneda, Maria Jose; Gonzalez Rodriguez, Sergio</t>
  </si>
  <si>
    <t>Inclusion of people with disabilities in the workplace and transformational leadership in mentoring processes</t>
  </si>
  <si>
    <t>WOS:000651158400017</t>
  </si>
  <si>
    <t>Rodriguez, C; Malhue, M; Diaz, M; Espina, E; Rojas, F</t>
  </si>
  <si>
    <t>Rodriguez, Carlos; Malhue, Matias; Diaz, Matias; Espina, Enrique; Rojas, Felix</t>
  </si>
  <si>
    <t>A Droop Based Control Strategy for Bidirectional Power Regulation in Hybrid AC/DC Microgrids</t>
  </si>
  <si>
    <t>Hybrid Alternating Current (AC) and Direct Current (DC) microgrids have been in the spotlight in the last years because they allow connection of AC and DC resources and reduces multiple power conversion in single AC or DC microgrids. The AC and DC stages are connected through interlinking converters, which manage the power transference among both sub-microgrids using droop control strategies for each single AC or DC microgrid. This paper proposes a three-stage droop control strategy to regulate the power inside the sub-microgrids at the same time that bidirectional AC-DC power transference is enabled. Simulation results obtained with a hybrid microgrid model composed of five generation units are presented to validate the effectiveness of this proposal.</t>
  </si>
  <si>
    <t>Rojas, Felix/U-3305-2019; Rodriguez ledesma, Carlos Mario/IUP-4591-2023; Espina, Enrique/AGZ-7297-2022; Diaz, Matias/R-7570-2018</t>
  </si>
  <si>
    <t>Espina, Enrique/0000-0002-2075-2010; Diaz, Matias/0000-0003-4489-9532</t>
  </si>
  <si>
    <t>10.1109/ICAACCA51523.2021.9465203</t>
  </si>
  <si>
    <t>WOS:000855764500041</t>
  </si>
  <si>
    <t>Lagubeau, G; Tecpan, S; Hernández, C</t>
  </si>
  <si>
    <t>Lagubeau, Guillaume; Tecpan, Silvia; Hernandez, Carla</t>
  </si>
  <si>
    <t>Active learning reduces academic risk of students with nonformal reasoning skills: Evidence from an introductory physics massive course in a Chilean public university</t>
  </si>
  <si>
    <t>PHYSICAL REVIEW PHYSICS EDUCATION RESEARCH</t>
  </si>
  <si>
    <t>We present the findings of a pilot plan of active learning implemented in introductory physics in a Chilean public university. The model is research based as it considered a literature review for adequate selection and design of activities consistent with the levels of students' reasoning skills. The level of scientific reasoning is positively correlated to student success. By contrast to a control group of students following traditional lectures, we observed a significant reduction in failure rate for students that do not yet possess formal scientific reasoning. This profile of students being the majority, we conclude that implementing active learning is particularly suited to the first year of higher education in the context of a developing country. It fits the particularities of student profile and typical classroom size, leading to learning improvement and reduction of academic risk, as well as being financially sound.</t>
  </si>
  <si>
    <t>Tecpan-Flores, Silvia/I-9567-2018; Hernandez-Silva, Carla/O-5942-2019</t>
  </si>
  <si>
    <t>Tecpan-Flores, Silvia/0000-0001-9343-6863; Hernandez-Silva, Carla/0000-0003-2974-4989; Lagubeau, Guillaume/0000-0003-2710-3299</t>
  </si>
  <si>
    <t>2469-9896</t>
  </si>
  <si>
    <t>JUL 14</t>
  </si>
  <si>
    <t>10.1103/PhysRevPhysEducRes.16.023101</t>
  </si>
  <si>
    <t>WOS:000548061600003</t>
  </si>
  <si>
    <t>Domínguez, SB</t>
  </si>
  <si>
    <t>Briceno Dominguez, Sebastian</t>
  </si>
  <si>
    <t>Philosophy, Analysis, and Games: The Futile Attempt of Defining Things</t>
  </si>
  <si>
    <t>TOPICOS-REVISTA DE FILOSOFIA</t>
  </si>
  <si>
    <t>According to McGinn (2012), the aim of philosophy is to discover essences through conceptual analysis, and it qualifies as a game in Suits' sense (1978; 2014). However, everything in Suits' definition of game seems to exclude from its scope McGinn's definition of philosophy. Here I criticise McGinn's definition and offer a more comprehensive one. Incidentally, this definition will allow us to include philosophy within the class of activities that do satisfy Suits' definition of game.</t>
  </si>
  <si>
    <t>0188-6649</t>
  </si>
  <si>
    <t>2007-8498</t>
  </si>
  <si>
    <t>10.21555/top.v0i59.1074</t>
  </si>
  <si>
    <t>WOS:000612269100004</t>
  </si>
  <si>
    <t>Zúñiga, MPA; Gumucio, CP</t>
  </si>
  <si>
    <t>Aedo Zuniga, Maria Paz; Parker Gumucio, Cristian</t>
  </si>
  <si>
    <t>Public Officials and Environmental Assessment in Chile: Tensions in the Construction of a Democratic Environmental Governance</t>
  </si>
  <si>
    <t>10.22201/fcpys.2448492xe.2020.239.67896</t>
  </si>
  <si>
    <t>WOS:000624135500016</t>
  </si>
  <si>
    <t>Lopez-Polo, J; Silva-Weiss, A; Zamorano, M; Osorio, FA</t>
  </si>
  <si>
    <t>Lopez-Polo, Johana; Silva-Weiss, Andrea; Zamorano, Marcela; Osorio, Fernando A.</t>
  </si>
  <si>
    <t>Humectability and physical properties of hydroxypropyl methylcellulose coatings with liposome-cellulose nanofibers: Food application</t>
  </si>
  <si>
    <t>The objective of this study was to investigate the physical, rheological and humectability properties of edible coating forming suspensions (ECS) based on hydroxypropyl methylcellulose (HPMC) containing: liposomes that encapsulate rutin, glycerol and cellulose nanofibers on sliced surfaces of almonds and chocolate. On average, liposomes measured between 110.6 +/- 10.0 nm and were characterized as stable and homogeneous suspensions. Adding these liposomes to the edible coatings produced significant changes (p &lt; 0.05) in the density and surface tension, which favor the final appearance of the coating. The presence of liposomes increased the apparent viscosity of the ECS, showing a purely viscous and fluid behavior with a good fit (R-2 = 0.9996) with the Power Law model. The presence of liposomes and cellulose nanofibers decreased the value of the cohesive energy of the ECS. The studied ECS partially hydrate the surfaces of almond and chocolate as they showed contact angles under 90 degrees.</t>
  </si>
  <si>
    <t>Silva-Weiss, Andrea/AAL-3271-2021; osorio, fernando/AAY-7304-2021</t>
  </si>
  <si>
    <t>osorio, fernando/0000-0001-7206-0924</t>
  </si>
  <si>
    <t>MAR 1</t>
  </si>
  <si>
    <t>10.1016/j.carbpol.2019.115702</t>
  </si>
  <si>
    <t>WOS:000504650500032</t>
  </si>
  <si>
    <t>Garay, C</t>
  </si>
  <si>
    <t>Garay, Cristian</t>
  </si>
  <si>
    <t>Global environmental geopolitics of the 21st century. The challenge Latin America</t>
  </si>
  <si>
    <t>SI SOMOS AMERICANOS-REVISTA DE ESTUDIOS TRANSFRONTERIZOS</t>
  </si>
  <si>
    <t>0718-2910</t>
  </si>
  <si>
    <t>0719-0948</t>
  </si>
  <si>
    <t>WOS:000606328000010</t>
  </si>
  <si>
    <t>Llorca-Jaña, M; Clarke, D; Navarrete-Montalvo, J; Araya-Valenzuela, R; Allende, M</t>
  </si>
  <si>
    <t>Llorca-Jana, Manuel; Clarke, Damian; Navarrete-Montalvo, Juan; Araya-Valenzuela, Roberto; Allende, Martina</t>
  </si>
  <si>
    <t>New anthropometric evidence on living standards in nineteenth-century Chile</t>
  </si>
  <si>
    <t>ECONOMICS &amp; HUMAN BIOLOGY</t>
  </si>
  <si>
    <t>A sample of over 44 thousand Chilean marines was used to estimate the trend of mean heights from the 1820s to the 1890s. We confirm that there was height stagnation in the last decades of the nineteenthcentury Chile despite sizeable per capita GDP growth; there were hidden nutritional costs to this economic growth. This situation resembles a similar puzzle in antebellum USA or early industrial Britain, but in the case of Chile GDP growth is not explained by industrialization but by export-led-growth. Still, the results are similar: height stagnation. Regarding the determinants of adult male height, our data also convincingly showed that there was a significant correlation between height and literacy. There was a positive correlation between height and white ethnicity, and, linked to this, a strong negative correlation between stature and eyes reported as black. Finally, living in urban environments (or environments with higher population density) also negatively affected height. (C) 2019 Elsevier B.V. All rights reserved.</t>
  </si>
  <si>
    <t>Clarke, Damian/Y-7318-2019; Llorca-Jaña, Manuel/AAB-9317-2020</t>
  </si>
  <si>
    <t>1570-677X</t>
  </si>
  <si>
    <t>1873-6130</t>
  </si>
  <si>
    <t>10.1016/j.ehb.2019.100819</t>
  </si>
  <si>
    <t>WOS:000512477500017</t>
  </si>
  <si>
    <t>Pino-Rios, R; Cárdenas-Jirón, G</t>
  </si>
  <si>
    <t>Pino-Rios, Ricardo; Cardenas-Jiron, Gloria</t>
  </si>
  <si>
    <t>Effect of the meso/beta halogenation in the photoelectronic properties and aromaticity of expanded porphyrins</t>
  </si>
  <si>
    <t>A systematic analysis of the photoelectronic properties and aromaticity in meso and beta halogenated expanded porphyrins (Sapphyrin and Orangarin), have been carried out by means of Time Dependent Density Functional Theory (TD-DFT) and magnetic criteria of aromaticity. Results indicate that there is a notorious redshift in the Soret-type (Q-type) bands. The electronic absorption of meso-substituted compounds showed a strong redshift in aromatic porphyrins compared to its beta counterpart and can be attributed to the lower energy gap. For antiaromatic derivatives an inverse trend is observed where beta compounds have a greater redshift than meso compounds. Additionally, major redshifts are observed for the Q bands in iodine-derived compounds. Magnetic aromaticity analysis showed that there is a systematic decrease for aromatic derivatives, following a periodical trend (F to I), whereas a decrease in antiaromaticity for orangarin derivatives is found. Finally, correlations have been found between the energy gaps and Q-type bands of the aromatic porphyrins studied. Halogenation strategy for enhancing the properties in aromatic/antiaromatic porphyrins could be useful in the design of chromophores with potential application in dye sensitized solar cells.</t>
  </si>
  <si>
    <t>; Cardenas-Jiron, Gloria/H-9508-2012</t>
  </si>
  <si>
    <t>Pino Rios, Ricardo/0000-0003-4756-1115; Cardenas-Jiron, Gloria/0000-0003-4305-8088</t>
  </si>
  <si>
    <t>DEC 1</t>
  </si>
  <si>
    <t>10.1016/j.jphotochem.2019.112052</t>
  </si>
  <si>
    <t>WOS:000490630700001</t>
  </si>
  <si>
    <t>Cabezas, F; Mascayano, C</t>
  </si>
  <si>
    <t>Cabezas, Francisco; Mascayano, Carolina</t>
  </si>
  <si>
    <t>Docking, steered molecular dynamics, and QSAR studies as strategies for studying isoflavonoids as 5-, 12-, and 15-lipoxygenase inhibitors</t>
  </si>
  <si>
    <t>JOURNAL OF BIOMOLECULAR STRUCTURE &amp; DYNAMICS</t>
  </si>
  <si>
    <t>Lipoxygenases (LOX) are enzymes that catalyze polyunsaturated fatty acid peroxidation and have a non-heme iron atom located in their active site. They are implicated in the arachidonic acid pathway and involved in inflammation, fever, pain production, and in the origins of several diseases such as cancer, asthma, and psoriasis. The search for inhibitors of these enzymes has emerged in the last years, and isoflavonoids have a broad spectrum of biological activity with low cytotoxicity. Our previous results have shown that isoflavonoids inhibited different LOX isoforms in vitro. For this reason, we studied the most important interactions that govern the potency and selectivity of some isoflavones and isoflavans toward different LOX isoforms using computational methods. The docking results have shown that all the molecules can be located in different zones in the LOX active site. Steered molecular dynamics indicated that selectivity was present at the cavity entry, but not at its exit. We also observed the correlation between the potential mean force and the best (HIR-303) and worst inhibitors (IR-213) in 5-LOX. Finally, structure-activity relationship (QSAR) studies showed a good correlation between theoretical IC50 values and experimental data for 5-LOX and 12-LOX with 96 and 95%, respectively, and a lower correlation for 15-LOX (79%). Conclusively, pharmacophore analysis showed that our proposed molecules should possess a donor-acceptor and aromatic centers to encourage interactions in the active site.</t>
  </si>
  <si>
    <t>Mascayano Collado, Carolina Lorena/0000-0002-3488-9309</t>
  </si>
  <si>
    <t>0739-1102</t>
  </si>
  <si>
    <t>1538-0254</t>
  </si>
  <si>
    <t>APR 13</t>
  </si>
  <si>
    <t>10.1080/07391102.2018.1461687</t>
  </si>
  <si>
    <t>WOS:000461434300011</t>
  </si>
  <si>
    <t>Cárdenas-Jirón, G; Borges-Martínez, M; Mera-Adasme, R; Pino-Rios, R</t>
  </si>
  <si>
    <t>Cardenas-Jiron, Gloria; Borges-Martinez, Merlys; Mera-Adasme, Raul; Pino-Rios, Ricardo</t>
  </si>
  <si>
    <t>Quantum chemical studies of porphyrin- and expanded porphyrin-based systems and their potential applications in nanoscience. Latin America research review</t>
  </si>
  <si>
    <t>INTERNATIONAL JOURNAL OF QUANTUM CHEMISTRY</t>
  </si>
  <si>
    <t>Porphyrins and expanded porphyrins are fascinating molecular structures, and its wide applicability in different fields of the nanoscience has produced an extensive number of scientific publications. The purpose of this article is to review the research performed on porphyrins and expanded porphyrins in the Latin American region at a theoretical level of quantum chemistry using different methodologies available. The present review is organized considering the most important applications that these molecular systems have found. In this way, we classify the reported works in the following fields studied by the nanoscience: molecular electronics, dye-sensitized solar cells, and photodynamic therapy. Because of its relevance, we also highlight other reports focused on the topological analysis of the electron density and aromaticity. Current investigation on these topics applied to porphyrin- and expanded porphyrin-based systems and the future perspective in this field are presented.</t>
  </si>
  <si>
    <t>Mendizabal, Fernando/M-3408-2014; Cardenas-Jiron, Gloria/H-9508-2012</t>
  </si>
  <si>
    <t>Borges, Merlys/0000-0001-8130-1718; Pino Rios, Ricardo/0000-0003-4756-1115; Cardenas-Jiron, Gloria/0000-0003-4305-8088</t>
  </si>
  <si>
    <t>0020-7608</t>
  </si>
  <si>
    <t>1097-461X</t>
  </si>
  <si>
    <t>e25821</t>
  </si>
  <si>
    <t>10.1002/qua.25821</t>
  </si>
  <si>
    <t>WOS:000452623400009</t>
  </si>
  <si>
    <t>Festival de Poesia y Musica PM: New Ways of Making Silence</t>
  </si>
  <si>
    <t>REVIEW-LITERATURE AND ARTS OF THE AMERICAS</t>
  </si>
  <si>
    <t>0890-5762</t>
  </si>
  <si>
    <t>1743-0666</t>
  </si>
  <si>
    <t>JAN 2</t>
  </si>
  <si>
    <t>10.1080/08905762.2019.1619386</t>
  </si>
  <si>
    <t>WOS:000477671700022</t>
  </si>
  <si>
    <t>Fierro, A; Vergara, PM</t>
  </si>
  <si>
    <t>Fierro, Andres; Vergara, Pablo M.</t>
  </si>
  <si>
    <t>A native long horned beetle promotes the saproxylic diversity in exotic plantations of Monterrey pine</t>
  </si>
  <si>
    <t>ECOLOGICAL INDICATORS</t>
  </si>
  <si>
    <t>Native saproxylic (deadwood dependent) beetle species living in exotic forest plantations may provide environmental services for forestry companies, but their sensitivity to forest management makes them difficult to conserve. Here, we used Structural Equation Models (SEM) to assess the role of the endemic beetle Acanthinodera cumingii in native forest and exotic pine plantations as an ecosystem engineer that improves the quality of deadwood for saproxylic beetles. Deadwood quality in native forest and pine plantations was accounted for by A. cumingii density and deadwood decay stage. In native forest, diversity of predators and fungivores responded positively to deadwood quality, while in the pine plantations the diversity of all functional groups, with exception of detritivores, was positively affected by deadwood quality. In addition, all saproxylic functional groups were less diverse in stumps than in logs. These findings suggest that A. cumingii larvae contribute to make more diverse the assemblages of saproxylic beetles in deadwood. We suggest that sustainable management of pine plantations based on the role of A. cumingii as an ecosystem engineer and biodiversity indicator must necessarily consider forest practices intended to mimic the native forest conditions that regulate the deadwood decay dynamics.</t>
  </si>
  <si>
    <t>Vergara, Pablo/F-2519-2010</t>
  </si>
  <si>
    <t>1470-160X</t>
  </si>
  <si>
    <t>1872-7034</t>
  </si>
  <si>
    <t>10.1016/j.ecolind.2018.09.018</t>
  </si>
  <si>
    <t>WOS:000464889600052</t>
  </si>
  <si>
    <t>Quiroz, J; Chavez, E</t>
  </si>
  <si>
    <t>Quiroz, Juan; Chavez, Elector</t>
  </si>
  <si>
    <t>Towards On-line PMU-based Model Calibration for Look-ahead Frequency Analysis</t>
  </si>
  <si>
    <t>2019 IEEE MILAN POWERTECH</t>
  </si>
  <si>
    <t>IEEE Milan PowerTech Conference</t>
  </si>
  <si>
    <t>JUN 23-27, 2019</t>
  </si>
  <si>
    <t>Milan, ITALY</t>
  </si>
  <si>
    <t>The awareness of power system real time conditions has been improved thanks to the availability of PMU data, and current WAMPAC schemes are becoming a reality in various systems to correct and control unstable system conditions. Foreseing upcoming unstable system conditions to take preventive instead of corrective actions is also desirable, but it requires detailed and realistic models of the system to perform lookahead dynamic simulations. This paper describes a conceptual framework for a look-ahead frequency dynamics tool. Based on a reduced-order model of system frequency dynamics, PMU data of generation contingencies can be used to calibrate the model to represent reality. Towards a field implementation, an algorithm to recognize generation contingencies is presented. Results of the algorithm are presented using data of the Chilean systems to obtain numerical results.</t>
  </si>
  <si>
    <t>978-1-5386-4722-6</t>
  </si>
  <si>
    <t>WOS:000531166202015</t>
  </si>
  <si>
    <t>Valdes, C; Valenzuela, B; Modak, B</t>
  </si>
  <si>
    <t>Valdes, Claudio; Valenzuela, Beatriz; Modak, Brenda</t>
  </si>
  <si>
    <t>Evaluation in vitro of proliferative activity of epithelial cells by flavonoid 3-O-methylgalangine and terpenenic derivative Filifolinone</t>
  </si>
  <si>
    <t>The skin is the largest organ of the human body and its main function is to protect it from the external environment. It is exposed to injuries that require a rapid healing process to recover its functionality. Microorganisms inhabit the skin, which makes up the normal microbial flora, but in situations of injury they can cause infections that slow down the regeneration process. Therefore, there is a great interest in the development of alternative methods to accelerate the regeneration process and prevent infections. In this work, the efficacy of flavonoid 3-O-methylgalangine and the terpenic derivative Filifolinone and its mixtures, isolated from plants of the genus Heliotropium, on the stimulation of cell proliferation was evaluated. The results showed that the mixtures stimulated proliferation and migration in MA104 cells mainly due to the presence of Filifolinone, that together with the known antibacterial activity of 3-O-methylgalangine, opens new alternatives for the use of natural compounds in healing processes.</t>
  </si>
  <si>
    <t>WOS:000448822200004</t>
  </si>
  <si>
    <t>Mahn, A</t>
  </si>
  <si>
    <t>Mahn, Andrea</t>
  </si>
  <si>
    <t>Modelling of the effect of selenium fertilization on the content of bioactive compounds in broccoli heads</t>
  </si>
  <si>
    <t>FOOD CHEMISTRY</t>
  </si>
  <si>
    <t>Selenium (Se) exerts many effects beneficial to health. Broccoli is a Se-hyperaccumulator plant, with Se-fertilization increasing its potential as a functional food. We studied the effect of dose, and the developmental stage at the beginning of Se-fortification, on antioxidant capacity, phenolics, glucosinolates, sulphoraphane, Se-methyl selenocysteine and myrosinase in broccoli. Se-fortification decreased the antioxidant properties and sulphur-containing compounds, but increased Se-methyl-selenocysteine content. Regression models gave r &gt; 0.77 confirming that Se dose and developmental stage largely determine the behaviour of the system. Correlation models gave r &gt; 0.95, allowing estimation of saturation concentration of Se-methyl-selenocysteine in broccoli cv. Traditional (3.13 mu mol g(-1) DM) and the concentration (2-mmol sodium selenate) above which the content of phenolic compounds decreases significantly. Sulphoraphane and glucosinolates' dependence on total Se supply was consistent with myrosinase activity below 3.5-mmol sodium selenate. Our results would enable design of optimal fertilization strategies to enrich broccoli in Se with minimal impairment of antioxidants properties. (C) 2017 Elsevier Ltd. All rights reserved.</t>
  </si>
  <si>
    <t>0308-8146</t>
  </si>
  <si>
    <t>1873-7072</t>
  </si>
  <si>
    <t>OCT 15</t>
  </si>
  <si>
    <t>10.1016/j.foodchem.2017.04.144</t>
  </si>
  <si>
    <t>WOS:000402343100058</t>
  </si>
  <si>
    <t>Lara, LH; Ruiz, PH</t>
  </si>
  <si>
    <t>Hachim Lara, Luis; Hurtado Ruiz, Pablo</t>
  </si>
  <si>
    <t>Dynamics of the fictional and factual narrative in Latin American literatures of the nineteenth century: El Periquillo Sarniento and Mariluan</t>
  </si>
  <si>
    <t>CO-HERENCIA</t>
  </si>
  <si>
    <t>This paper analyses the relationship between the fictional and factual discourse in the Spanish American narrative of the nineteenth century. This analysis considers that both discourses establish a close relationship inside the texts that have been seen as part of science fiction literature, as well as in those classified as essayistic. From this perspective, it opens up the possibility of analyzing those works in narrative terms that have historically been placed in between the historiographical critique and the literary critic. The proposed analysis suggests the study of two texts: El Periquillo Sarniento (1816), by Jose Joaquin Fernandez de Lizardi, and Mariluan (1862), by Alberto Blest Gana.</t>
  </si>
  <si>
    <t>1794-5887</t>
  </si>
  <si>
    <t>10.17230/co-herencia.14.27.3</t>
  </si>
  <si>
    <t>WOS:000423677500003</t>
  </si>
  <si>
    <t>Schilkrut, YZ</t>
  </si>
  <si>
    <t>Zaliasnik Schilkrut, Yael</t>
  </si>
  <si>
    <t>VILLA OR HOW TO PRACTICE (AND OPEN OR ENLARGE) A PLACE AND ITS MEMORIES THROUGH THEATRICALITY</t>
  </si>
  <si>
    <t>WOS:000408762400014</t>
  </si>
  <si>
    <t>Dubé, S</t>
  </si>
  <si>
    <t>Dube, Sebastien</t>
  </si>
  <si>
    <t>Latin American Unification: A History of Political and Economic Integration Efforts</t>
  </si>
  <si>
    <t>CANADIAN JOURNAL OF POLITICAL SCIENCE-REVUE CANADIENNE DE SCIENCE POLITIQUE</t>
  </si>
  <si>
    <t>0008-4239</t>
  </si>
  <si>
    <t>1744-9324</t>
  </si>
  <si>
    <t>10.1017/S0008423917000336</t>
  </si>
  <si>
    <t>WOS:000404977200017</t>
  </si>
  <si>
    <t>Aldunate, N; González-Ibáñez, R</t>
  </si>
  <si>
    <t>Aldunate, Nerea; Gonzalez-Ibanez, Roberto</t>
  </si>
  <si>
    <t>An Integrated Review of Emoticons in Computer-Mediated Communication</t>
  </si>
  <si>
    <t>FRONTIERS IN PSYCHOLOGY</t>
  </si>
  <si>
    <t>Facial expressions constitute a rich source of non-verbal cues in face-to-face communication. They provide interlocutors with resources to express and interpret verbal messages, which may affect their cognitive and emotional processing. Contrarily, computer-mediated communication (CMC), particularly text-based communication, is limited to the use of symbols to convey a message, where facial expressions cannot be transmitted naturally. In this scenario, people use emoticons as paralinguistic cues to convey emotional meaning. Research has shown that emoticons contribute to a greater social presence as a result of the enrichment of text-based communication channels. Additionally, emoticons constitute a valuable resource for language comprehension by providing expressivity to text messages. The latter findings have been supported by studies in neuroscience showing that particular brain regions involved in emotional processing are also activated when people are exposed to emoticons. To reach an integrated understanding of the influence of emoticons in human communication on both socio-cognitive and neural levels, we review the literature on emoticons in three different areas. First, we present relevant literature on emoticons in CMC. Second, we study the influence of emoticons in language comprehension. Finally, we show the incipient research in neuroscience on this topic. This mini review reveals that, while there are plenty of studies on the influence of emoticons in communication from a social psychology perspective, little is known about the neurocognitive basis of the effects of emoticons on communication dynamics.</t>
  </si>
  <si>
    <t>Aldunate, Nerea/AAP-7739-2020</t>
  </si>
  <si>
    <t>Gonzalez-Ibanez, Roberto/0000-0002-4193-6548; Aldunate, Nerea/0000-0002-7020-9403</t>
  </si>
  <si>
    <t>1664-1078</t>
  </si>
  <si>
    <t>JAN 6</t>
  </si>
  <si>
    <t>10.3389/fpsyg.2016.02061</t>
  </si>
  <si>
    <t>WOS:000391396900001</t>
  </si>
  <si>
    <t>Araujo, K</t>
  </si>
  <si>
    <t>Araujo, Kathya</t>
  </si>
  <si>
    <t>Forget Modernity? Remarks on Difference, Social Theory and Sociological Research</t>
  </si>
  <si>
    <t>REVUE INTERNATIONALE DE PHILOSOPHIE</t>
  </si>
  <si>
    <t>Araujo, Kathya/B-5520-2014</t>
  </si>
  <si>
    <t>Araujo, Kathya/0000-0002-7314-3577</t>
  </si>
  <si>
    <t>0048-8143</t>
  </si>
  <si>
    <t>2033-0138</t>
  </si>
  <si>
    <t>WOS:000413710400007</t>
  </si>
  <si>
    <t>Awerkin, A; Humberto, V; Becker, C; Barbosa, K</t>
  </si>
  <si>
    <t>Awerkin, Almendra; Humberto, Verdejo; Becker, Cristhian; Barbosa, Karina</t>
  </si>
  <si>
    <t>Statistical Parametric Techniques for Power Residential Demand Forecasting</t>
  </si>
  <si>
    <t>2017 CHILEAN CONFERENCE ON ELECTRICAL, ELECTRONICS ENGINEERING, INFORMATION AND COMMUNICATION TECHNOLOGIES (CHILECON)</t>
  </si>
  <si>
    <t>CHILEAN Conference on Electrical, Electronics Engineering, Information and Communication Technologies (CHILECON)</t>
  </si>
  <si>
    <t>IEEE Chile Sect,Asociac Chilena Control Automatico,IEEE Chilean Chapter Control Syst,IEEE Chilean Chapter SMC,Macro Fac Chile,Univ Frontera,Univ Bio Bio,Univ Talca,IEEE Syst, Man, &amp; Cybernet Soc</t>
  </si>
  <si>
    <t>Quantifying the dynamic and the evolution of an electrical power distribution system is an important task in operational and planning studies, where some of the issues addressed is to measure the growth of the electrical demand, with special attention to residential consumption due to its randomness. An adequate representation will ensure valid results for future prediction of the system behaviour. In this context, analytical statistical methods are widely used, because of the availability of real data and the ability of these types of models to represent aleatory processes. This paper reviews the statistical parametric methods of Fourier analysis and stochastic differential equations, and implements them as a hybrid model to analyse real measure data of power consumption from Chilean systems. The construction of the model is explained, and the performance of the reviewed methods are compared with the proposed hybrid model and with two classical methods based on regression techniques.</t>
  </si>
  <si>
    <t>978-1-5386-3123-2</t>
  </si>
  <si>
    <t>WOS:000425925000043</t>
  </si>
  <si>
    <t>Cañete, L</t>
  </si>
  <si>
    <t>Canete, Lucio</t>
  </si>
  <si>
    <t>Biological Emulation of Selective Attention of Visual Light Communication Sensor in Environments with Light Noise</t>
  </si>
  <si>
    <t>2017 FIRST SOUTH AMERICAN COLLOQUIUM ON VISIBLE LIGHT COMMUNICATIONS (SACVLC)</t>
  </si>
  <si>
    <t>1st South American Colloquium on Visible Light Communications (IEEE SACVLC)</t>
  </si>
  <si>
    <t>NOV 13, 2017</t>
  </si>
  <si>
    <t>IEEE Chile Sect,Univ Santiago Chile,Telefonica Fundac,Movistar</t>
  </si>
  <si>
    <t>In order to improve the performance of autonomous sensory systems that work by means of Visual Light Communication (VLC) where their receiver is searching for the target transmitters in a complex environment containing several light sources, it emulates the behavior of animals when they search for food in fuzzy fields. In this context, eco-cognitive studies in predators have established this relationship between the detection of a particular food and the attention: Pi alpha (Ai) (1/Ki), where Pi is the probability of detecting the prey i, Ai is the fraction of the predator's attention devoted to prey and Ki is the index of prey's distinction in the environment. This biological phenomenon is emulated in the function of a single intelligent receiver when it is seeking data from a transmitter placed in noise environment, quantifying any of these three variables given the other two. This kind of ecological model allows managers to get better the achievements of VLC in environments with light noise where the scarcity of both energy and information, is always omnipresent; surpassing in about a quarter the performance of a system lacking this emulation.</t>
  </si>
  <si>
    <t>Arratia, Lucio/AAV-6112-2020</t>
  </si>
  <si>
    <t>978-1-5386-1782-3</t>
  </si>
  <si>
    <t>WOS:000428142700013</t>
  </si>
  <si>
    <t>Estela, MC</t>
  </si>
  <si>
    <t>Constanza Estela, Maria</t>
  </si>
  <si>
    <t>A Barnes-Wall lattice general scheme for the K-user Symmetric Interference Channel</t>
  </si>
  <si>
    <t>In this paper Barnes-Wall lattices for the K-user symmetric interference channel are considered. This paper is inspired by the work of Jafar [1], where a deterministic model is used in order to build a scheme to obtain the generalized degrees of freedom for each type of interference. The scheme uses a base Q expression to build the transmitted signals. This is an inspiration for [2] where, for some particularly chosen examples, Barnes-Wall lattices are used due to their multilevel structure to mimic the scheme proposed by Jafar and it is shown that it is possible to improve the performance. Following these ideas, here, a general method to select the Barnes-Wall lattice is provided for each type of interference according to the parameters given by the scheme proposed by Jafar. The case for any number of users is analysed and a rule is provided to determine how many users can be allocated with this method, related to the parameters given by Jafar, but using Barnes-Wall lattices.</t>
  </si>
  <si>
    <t>WOS:000425925000083</t>
  </si>
  <si>
    <t>Perez, P</t>
  </si>
  <si>
    <t>Brebbia, CA; Zubir, SS; Hassan, AS</t>
  </si>
  <si>
    <t>Perez, P.</t>
  </si>
  <si>
    <t>Forecasting hourly values of PM2.5 concentrations</t>
  </si>
  <si>
    <t>SUSTAINABLE DEVELOPMENT AND PLANNING VIII</t>
  </si>
  <si>
    <t>WIT Transactions on Ecology and the Environment</t>
  </si>
  <si>
    <t>8th International Conference on Sustainable Development and Planning</t>
  </si>
  <si>
    <t>DEC 06-08, 2016</t>
  </si>
  <si>
    <t>MALAYSIA</t>
  </si>
  <si>
    <t>Wessex Inst,Univ Teknologi Mara,Univ Sains Malaysia,WIT Transact Ecol &amp; Environm,Int Journal Sustainable Dev &amp; Planning</t>
  </si>
  <si>
    <t>We present the results of an hourly PM2.5 concentrations forecasting model in Santiago, Chile. The study concentrates on the comparison between model and observed values at the monitoring station with the highest concentrations for the time period between April and August, which is the season when high concentration episodes are frequent. The forecasting model is a feed forward neural network. The input variables are past values of hourly PM10 and PM2.5 concentrations measured at the city station with the highest values during episodes, concentrations from neighbouring stations and some observed and forecasted meteorological variables. Secondary particle formation is considered implicitly by including nitrogen oxides concentrations at previous hours as input. Training is performed with 2010 and 2011 data and the model is tested with 2012 values. Information is collected until 7 PM of the present day and percent error forecasting up to 15 hours in advance is of the order of 30%. Accuracy of forecasting is significantly better than different forms of persistence and is more accurate than results with a linear model. The model may be considered as a useful tool for anticipating episodes.</t>
  </si>
  <si>
    <t>1743-3541</t>
  </si>
  <si>
    <t>978-1-78466-154-0; 978-1-78466-153-3</t>
  </si>
  <si>
    <t>10.2495/SDP160551</t>
  </si>
  <si>
    <t>WOS:000618346600055</t>
  </si>
  <si>
    <t>Mahn, A; Martin, C; Reyes, A; Saavedra, A</t>
  </si>
  <si>
    <t>Mahn, Andrea; Martin, Constanza; Reyes, Alejandro; Saavedra, Aldo</t>
  </si>
  <si>
    <t>Evolution of sulforaphane content in sulforaphane-enriched broccoli during tray drying</t>
  </si>
  <si>
    <t>JOURNAL OF FOOD ENGINEERING</t>
  </si>
  <si>
    <t>Sulforaphane is a natural anticancer compound found in broccoli that comes from hydrolysis of glucoraphanin. Conversion of glucoraphanin to sulforaphane has been optimized, however, its use as functional ingredient is limited because sulforaphane is thermo-labile. We investigated the effect of drying air temperature (60, 70, 80 degrees C) in tray drying of sulforaphane-enriched broccoli on the evolution of sulforaphane content. Broccoli temperature and sulforaphane content were registered in time. Sulforaphane content profiles were adjusted to a first-order kinetic model, showing acceptable agreement (r &gt; 0.90). Sulforaphane formation occurred below 40 degrees C; formation and degradation occurred at broccoli temperature above 40 degrees C, until the low content of glucoraphanin and moisture, prevents reaction. After that, only sulforaphane degradation was detected. The highest sulforaphane content at X/X-0 = 0.1 was 67.6 mg/100 g DW, obtained with drying air temperature of 70 degrees C, being 4-fold higher than that found in fresh broccoli, and the highest reported so far in any dehydrated food. (C) 2016 Elsevier Ltd. All rights reserved.</t>
  </si>
  <si>
    <t>Martin, Constanza/AAF-3711-2021</t>
  </si>
  <si>
    <t>Martin Vasquez, Constanza/0000-0002-0008-0069</t>
  </si>
  <si>
    <t>0260-8774</t>
  </si>
  <si>
    <t>1873-5770</t>
  </si>
  <si>
    <t>10.1016/j.jfoodeng.2016.04.007</t>
  </si>
  <si>
    <t>WOS:000376808800004</t>
  </si>
  <si>
    <t>THE SOCIAL CONSTRUCTION OF THE STATE IN PERU: THE REGIME OF CASTILE AND THE POPULAR WORLD, 1845-1856</t>
  </si>
  <si>
    <t>Historia-Santiago</t>
  </si>
  <si>
    <t>This article examines the social construction of the state, defined as the search for subaltern support in the shaping of a postcolonial hegemonic order, through the case of Peru's liberal caudillo and state-builder Ramon Castilla. For that purpose I consider his emancipationist decrees of 1854 (abolition of Indian tribute and black slavery), his government's performance in social matters during his first constitutional presidency (1845-1851), and the impact upon that era's political struggles of an increasingly mobilized and demanding populace. The hypothesis that underlies this study is that these plebeian presences became a factor of power and legitimacy that no political actor, regardless of subjective or aristocratic preferences, could afford to ignore, as became obvious during the civil wars of 1854 and 1856-1858.</t>
  </si>
  <si>
    <t>WOS:000392752300008</t>
  </si>
  <si>
    <t>Jox, RJ; Assadi, G; Marckmann, G</t>
  </si>
  <si>
    <t>Why Altruism is not a Convincing Argument for Promoting Post-mortem Organ Donation: Responsibility and Solidarity as Key Concepts</t>
  </si>
  <si>
    <t>ORGAN TRANSPLANTATION IN TIMES OF DONOR SHORTAGE: CHALLENGES AND SOLUTIONS</t>
  </si>
  <si>
    <t>International Library of Ethics Law and the New Medicine</t>
  </si>
  <si>
    <t>1567-8008</t>
  </si>
  <si>
    <t>978-3-319-16441-0; 978-3-319-16440-3</t>
  </si>
  <si>
    <t>10.1007/978-3-319-16441-0_6</t>
  </si>
  <si>
    <t>10.1007/978-3-319-16441-0</t>
  </si>
  <si>
    <t>WOS:000368274200007</t>
  </si>
  <si>
    <t>LlorcaJana, M</t>
  </si>
  <si>
    <t>Early life and activities of Frederick Huth, founder of the company, c.1777-1822</t>
  </si>
  <si>
    <t>GLOBALIZATION OF MERCHANT BANKING BEFORE 1850: THE CASE OF HUTH &amp; CO.</t>
  </si>
  <si>
    <t>Financial History</t>
  </si>
  <si>
    <t>978-1-781-44880-9; 978-1-848-93607-2</t>
  </si>
  <si>
    <t>WOS:000458913900002</t>
  </si>
  <si>
    <t>Teresa Wilms Montt. Textual Strategies and conflict of time</t>
  </si>
  <si>
    <t>TALLER DE LETRAS</t>
  </si>
  <si>
    <t>0716-0798</t>
  </si>
  <si>
    <t>WOS:000385903400015</t>
  </si>
  <si>
    <t>Valdebenito, HV; Barrientos, DM</t>
  </si>
  <si>
    <t>Venegas Valdebenito, Hernan; Morales Barrientos, Diego</t>
  </si>
  <si>
    <t>The Deployment of Industrial Paternalism in the Compania Minera e Industrial de Chile (1920-1940)</t>
  </si>
  <si>
    <t>HISTORIA CRITICA</t>
  </si>
  <si>
    <t>Within the framework of industrial paternalism this article analyzes the strategies of extensive control applied by the coal-mining industries in the district of Lota-Coronel in southern Chile. It studies the policies maintained by the Compania Minera e Industrial de Chile for the purpose of modifying working-class family life in the locality of Lota Alto. It shows how the company was effective in creating an orderly and aseptic work culture in the mining area. These efforts were aimed at disciplining the labor force, and women were therefore granted an especially important role as the tutors of the household and articulators of the non-work spaces within the miner's family group. This work is the result of a detailed analysis of the company's own records, such as the newspaper La Opinion, and regulations governing daily life in the mining town of Lota.</t>
  </si>
  <si>
    <t>0121-1617</t>
  </si>
  <si>
    <t>1900-6152</t>
  </si>
  <si>
    <t>10.7440/histcrit58.2015.06</t>
  </si>
  <si>
    <t>WOS:000364982600007</t>
  </si>
  <si>
    <t>Salazar, R; Contreras, N</t>
  </si>
  <si>
    <t>Salazar, Ricardo; Contreras, Nicole</t>
  </si>
  <si>
    <t>Degradation of antihypertensive drug hydrochlorothiazide in water by electro-oxidation with BDD: Application of method to pharmaceuticals tablets</t>
  </si>
  <si>
    <t>Salazar, Ricardo/L-7870-2013</t>
  </si>
  <si>
    <t>AUG 16</t>
  </si>
  <si>
    <t>WOS:000432475505072</t>
  </si>
  <si>
    <t>British mail steamers to South America, 1851-1965</t>
  </si>
  <si>
    <t>ECONOMIC HISTORY REVIEW</t>
  </si>
  <si>
    <t>0013-0117</t>
  </si>
  <si>
    <t>1468-0289</t>
  </si>
  <si>
    <t>10.1111/ehr.12144</t>
  </si>
  <si>
    <t>WOS:000358087500023</t>
  </si>
  <si>
    <t>Palma, G; Riveros, A</t>
  </si>
  <si>
    <t>Palma, G.; Riveros, A.</t>
  </si>
  <si>
    <t>Meron-cluster simulation of the quantum antiferromagnetic Heisenberg model in a magnetic field in one- and two-dimensions</t>
  </si>
  <si>
    <t>CONDENSED MATTER PHYSICS</t>
  </si>
  <si>
    <t>Motivated by the numerical simulation of systems which display quantum phase transitions, we present a novel application of the meron-cluster algorithm to simulate the quantum antiferromagnetic Heisenberg model coupled to an external uniform magnetic field both in one and in two dimensions. In the infinite volume limit and at zero temperature we found numerical evidence that supports a quantum phase transition very close to the critical values B-c = 2 and B-c = 4 for the system in one and two dimensions, respectively. For the one dimensional system, we have compared the numerical data obtained with analytical predictions for the magnetization density as a function of the external field obtained by scaling-behaviour analysis and Bethe Ansatz techniques. Since there is no analytical solution for the two dimensional case, we have compared our results with the magnetization density obtained by scaling relations for small lattice sizes and with the approximated thermodynamical limit at zero temperature guessed by scaling relations. Moreover, we have compared the numerical data with other numerical simulations performed by using different algorithms in one and two dimensions, like the directed loop method. The numerical data obtained are in perfect agreement with all these previous results, which confirms that the meron-algorithm is reliable for quantum Monte Carlo simulations and applicable both in one and two dimensions. Finally, we have computed the integrated autocorrelation time to measure the efficiency of the meron algorithm in one dimension.</t>
  </si>
  <si>
    <t>Rodríguez, Alejandro/R-4062-2019</t>
  </si>
  <si>
    <t>Riveros, Alejandro/0000-0002-4924-663X</t>
  </si>
  <si>
    <t>1607-324X</t>
  </si>
  <si>
    <t>2224-9079</t>
  </si>
  <si>
    <t>10.5488/CMP.18.23002</t>
  </si>
  <si>
    <t>WOS:000357554100003</t>
  </si>
  <si>
    <t>Godoy, L; García, V; Peña, R; Martínez, C; Ganga, MA</t>
  </si>
  <si>
    <t>Godoy, Liliana; Garcia, Veronica; Pena, Ruben; Martinez, Claudio; Angelica Ganga, Ma</t>
  </si>
  <si>
    <t>Identification of the Dekkera bruxellensis phenolic acid decarboxylase (PAD) gene responsible for wine spoilage</t>
  </si>
  <si>
    <t>FOOD CONTROL</t>
  </si>
  <si>
    <t>The species of the genus Dekkera have been described as the main spoilage yeast in wine and are associated with the occurrence of phenolic off flavor compounds. In this work, we describe the gene encoding phenolic acid decarboxylase enzyme of Dekkera bruxellensis (DbPAD gene). The gene has 43% identity with PAD nucleotide sequences from different ascomycetes species, and 34% of identity with bacterial sequences. The open reading frame shows an average of 8% identity with the Pad1 protein of Giberella zeae, Candida albicans and Saccharomyces cerevisiae, and 34.9% with Pad1 from Candida guilliermondii. The heterologous expression of the DbPAD gene in S. cerevisiae resulted in high 4-vinylphenol production, reaching levels similar to those obtained in D. bruxellensis cultures. The enzymatic reaction showed that the PAD activity in the transformed yeast was higher than in the wild type and similar to that detected in D. bruxellensis. These results demonstrate that the DbPAD gene encodes a phenolic acid decarboxylase. (C) 2014 Elsevier Ltd. All rights reserved.</t>
  </si>
  <si>
    <t>Martinez, Claudio/MGS-9961-2025; Olivares, Liliana/AAB-6276-2020; Ganga, Maria/S-8176-2019; García, Verónica/AAM-1175-2021</t>
  </si>
  <si>
    <t>Pena, Ruben/0000-0002-8246-1008; garcia, veronica/0000-0002-5312-925X; Martinez, Claudio/0000-0001-8564-9287; Godoy Olivares, Liliana/0000-0001-5110-5978</t>
  </si>
  <si>
    <t>0956-7135</t>
  </si>
  <si>
    <t>1873-7129</t>
  </si>
  <si>
    <t>10.1016/j.foodcont.2014.03.041</t>
  </si>
  <si>
    <t>WOS:000338815100012</t>
  </si>
  <si>
    <t>Cifuentes, G; Bustos, P; Hernández, J; Guajardo, N</t>
  </si>
  <si>
    <t>Cifuentes, Gerardo; Bustos, Pablo; Hernandez, Jose; Guajardo, Nicolas</t>
  </si>
  <si>
    <t>ZINC ELECTROWINNING USING REACTIVE ELECTRODIALYSIS (RED)</t>
  </si>
  <si>
    <t>This paper presents an alternative process for the conventional zinc electrowinning, which consists of a cell of two compartments separated by a anion exchange membrane. One of them contains a zinc sulphate catholyte and sulfuric acid while the anolyte solution contains ferrous sulfate and sulfuric acid. By using a membrane the classical lead anode may be replaced, as well as the main oxidation reaction of water, for that of the ferrous ion to ferric ion. This leads to significant savings in specific energy consumption of the overall process and eliminates the classic problem of acid mist in electrowinning cells. The results show that the proposed process consumes 30% less cell potential compared to conventional electrowinning cell.</t>
  </si>
  <si>
    <t>Hernandez, Jose/AAN-8792-2020; Cifuentes, Gerardo/AAS-2148-2021</t>
  </si>
  <si>
    <t>Cifuentes, Gerardo/0000-0002-9543-1625</t>
  </si>
  <si>
    <t>10.4067/S0717-97072014000200020</t>
  </si>
  <si>
    <t>WOS:000342613100020</t>
  </si>
  <si>
    <t>Ulianova, O</t>
  </si>
  <si>
    <t>Ulianova, Olga</t>
  </si>
  <si>
    <t>Corvalan for Bukovsky: a real exchange of prisoners during an imaginary war. The Chilean dictatorship, the Soviet Union, and US mediation, 1973-1976</t>
  </si>
  <si>
    <t>COLD WAR HISTORY</t>
  </si>
  <si>
    <t>Based on Chilean, Soviet, American, and Italian declassified documents, this article examines a particular case in the global Cold War: the only international exchange of political prisoners during that period, involving the general secretary of the Chilean Communist Party Luis Corvalan and Soviet dissident Vladimir Bukovsky. It emphasises the intersecting agendas, purposes, and consequences of multiple state and non-state actors in this episode: from the governments of Chile, the US, and the USSR, to the Chilean Communist Party, the Soviet dissident movement, and finally to the European communist parties, Cuba, international solidarity, and human rights movements.</t>
  </si>
  <si>
    <t>1468-2745</t>
  </si>
  <si>
    <t>1743-7962</t>
  </si>
  <si>
    <t>10.1080/14682745.2013.793310</t>
  </si>
  <si>
    <t>WOS:000342286800002</t>
  </si>
  <si>
    <t>Urzúa, J; González-Vargas, C; Sepúlveda, F; Ureta-Zañartu, MS; Salazar, R</t>
  </si>
  <si>
    <t>Urzua, J.; Gonzalez-Vargas, C.; Sepulveda, F.; Ureta-Zanartu, M. S.; Salazar, R.</t>
  </si>
  <si>
    <t>Degradation of conazole fungicides in water by electrochemical oxidation</t>
  </si>
  <si>
    <t>CHEMOSPHERE</t>
  </si>
  <si>
    <t>The electrochemical oxidation (EO) treatment in water of three conazole fungicides, myclobutanil, triadimefon and propiconazole, has been carried out at constant current using a BDD/SS system. First, solutions of each fungicide were electrolyzed to assess the effect of the experimental parameters such as current, pH and fungicide concentration on the decay of each compound and total organic carbon abatement. Then a careful analysis of the degradation by-products was made by high performance liquid chromatography, ion chromatography and gas chromatography coupled with mass spectrometry in order to provide a detailed discussion on the original reaction pathways. Thus, during the degradation of conazole fungicides by the electrochemical oxidation process, aromatic intermediates, aliphatic carboxylic acids and Cl- were detected prior to their complete mineralization to CO2 while NO3- anions remained in the treated solution. This is an essential preliminary step towards the applicability of the EO processes for the treatment of wastewater containing conazole fungicides. (C) 2013 Elsevier Ltd. All rights reserved.</t>
  </si>
  <si>
    <t>Ureta-Zañartu, Maria/G-5239-2019; Sepúlveda, Francesca/IZD-9869-2023; Salazar, Ricardo/L-7870-2013</t>
  </si>
  <si>
    <t>Salazar-Gonzalez, Ricardo/0000-0003-2180-6022; Urzua-Ahumada, Julio/0000-0002-7750-1730</t>
  </si>
  <si>
    <t>0045-6535</t>
  </si>
  <si>
    <t>1879-1298</t>
  </si>
  <si>
    <t>10.1016/j.chemosphere.2013.09.035</t>
  </si>
  <si>
    <t>WOS:000327570000017</t>
  </si>
  <si>
    <t>Sáez-Briones, P; Hernández, A</t>
  </si>
  <si>
    <t>Saez-Briones, P.; Hernandez, A.</t>
  </si>
  <si>
    <t>MDMA (3,4-Methylenedioxymethamphetamine) Analogues as Tools to Characterize MDMA-Like Effects: An Approach to Understand Entactogen Pharmacology</t>
  </si>
  <si>
    <t>CURRENT NEUROPHARMACOLOGY</t>
  </si>
  <si>
    <t>Besides stimulants and hallucinogens, whose psychotropic effects are shared by many structurally related molecules exhibiting different efficacies and potencies in humans, the phenylisopropylamine MDMA (3,4-methylenedioxymethamphetamine, XTC, Ecstasy) is the prototypical representative of a separate class of psychotropic substance, able to elicit the so-called entactogenic syndrome in healthy humans. This reversible altered state of consciousness, usually described as an open mind state, may have relevant therapeutic applications, both in psychotherapy and as a pharmacological support in many neuropsychiatric disorders with a high rate of treatment failure. Nevertheless, a comprehensive and systematic exploration of the structure-activity relationships associated with entactogenic activity has remained incomplete and controversial, highlighting the possibility that MDMA might represent a pharmacological rarity in the field of psychotropics. As the latter is still an open question, the pharmacological characterization of MDMA analogues remains the logical strategy to attempt the elucidation of the structural requirements needed to elicit typical MDMA-like effects. Intriguingly, almost no experimental evidence supports the existence of actual MDMA analogues that truly resemble the whole pharmacological profile of MDMA, probably due to its complex (and partially not fully understood) mechanism of action that includes a disruption of monoaminergic neurotransmission. The present review presents a brief summary of the pharmacology of MDMA, followed by the evidence accumulated over the years regarding the characterization of classical structurally related MDMA analogues in different models and how this state of the art highlights the need to develop new and better MDMA analogues.</t>
  </si>
  <si>
    <t>Hernandez, Alejandro/M-4796-2019</t>
  </si>
  <si>
    <t>Hernandez, Alejandro/0000-0001-9222-6522</t>
  </si>
  <si>
    <t>1570-159X</t>
  </si>
  <si>
    <t>1875-6190</t>
  </si>
  <si>
    <t>10.2174/1570159X11311050007</t>
  </si>
  <si>
    <t>WOS:000323764800007</t>
  </si>
  <si>
    <t>Arza, A; Schroll, RD; Cerda, E</t>
  </si>
  <si>
    <t>Arza, Ariel; Schroll, Robert D.; Cerda, Enrique</t>
  </si>
  <si>
    <t>Near and far from the threshold analysis of rectangular elastic plates</t>
  </si>
  <si>
    <t>JOURNAL OF PHYSICS A-MATHEMATICAL AND THEORETICAL</t>
  </si>
  <si>
    <t>We study the problem of buckling and postbuckling of a plate under in-plane loads. This system exhibits a complex phase diagram with two distinct regimes: one near the instability for buckling and the other characterized by isometric deformations. Here, we show that the equations of elasticity for this problem can be reduced to the well-known Swift-Hohenberg equation as a leading term in a Galerkin projection. Higher order terms in the expansion are also computed to illustrate the convergence of the analysis.</t>
  </si>
  <si>
    <t>Arza, Ariel/0000-0002-2254-7408</t>
  </si>
  <si>
    <t>1751-8113</t>
  </si>
  <si>
    <t>APR 5</t>
  </si>
  <si>
    <t>10.1088/1751-8113/46/13/135203</t>
  </si>
  <si>
    <t>WOS:000316454800006</t>
  </si>
  <si>
    <t>Cárdenas-Jirón, GI; Cortez-Santibañez, L</t>
  </si>
  <si>
    <t>Cardenas-Jiron, Gloria I.; Cortez-Santibanez, Luis</t>
  </si>
  <si>
    <t>A three-layer ONIOM model for the outside binding of cationic porphyrins and nucleotide pair DNA</t>
  </si>
  <si>
    <t>JOURNAL OF MOLECULAR MODELING</t>
  </si>
  <si>
    <t>In this work we investigated the outside binding mode between a cationic porphyrin and a nucleotide pair of DNA, adenine-thymine and guanine-cytosine, in a supramolecular assembly. We used two structural models (semi-extended, extended) that differ in the size of porphyrin, two kinds of theoretical methods: a three layer ONIOM (B3LYP/6-31G(d)/PM3/UFF), and DFT B3LYP/6-31G(d,p), and three cationic porphyrins. ONIOM method was first tested on the semi-extended model that was calculated in four environments: gas phase, solution phase using an explicit solvent model (H2O), in the presence of a sodium cation (Na+) and in both (H2O + Na+). From interaction energy results, we found that the affinity of the cationic substituent by the adenine nucleotide is favored upon the thymine nucleotide. The extended model that considers the whole porphyrin was applied in the gas phase to the four nucleotides. All the cationic porphyrins showed affinity by the nucleotides in the order adenine &gt; guanine &gt; thymine &gt; cytosine. The interaction energy values for outside binding showed a strong porphyrin-nucleotide interaction (a parts per thousand-90 kcal mol(-1)), that slightly varies between the nucleotides suggesting that this kind of cationic porphyrin has a little selectivity for some of them. We also found that the effect of the nature of the cationic substituent (chain length) in the porphyrin on the outside binding is small (a parts per thousand 2-13 kcal mol(-1)). Coherence between the results showed that ONIOM is a useful tool to get a reasonable molecular geometry to be used as a starting point in calculations of density functional theory.</t>
  </si>
  <si>
    <t>Cardenas-Jiron, Gloria/H-9508-2012</t>
  </si>
  <si>
    <t>1610-2940</t>
  </si>
  <si>
    <t>0948-5023</t>
  </si>
  <si>
    <t>10.1007/s00894-012-1597-7</t>
  </si>
  <si>
    <t>WOS:000314051200031</t>
  </si>
  <si>
    <t>Galotto, MJ; Valenzuela, X; Rodriguez, F; Bruna, J; Guarda, A</t>
  </si>
  <si>
    <t>Jose Galotto, Maria; Valenzuela, Ximena; Rodriguez, Francisco; Bruna, Julio; Guarda, Abel</t>
  </si>
  <si>
    <t>Evaluation of the Effectiveness of a New Antimicrobial Active Packaging for Fresh Atlantic Salmon (Salmo Salar L.) Shelf Life</t>
  </si>
  <si>
    <t>Nowadays, consumers demand for fresh, high-quality seafood products continues to climb, especially in affluent, developed nations. At the same time, there is increasing attention regarding improved utilization of seafood for human consumption; Atlantic salmon is the main species in Chile aquaculture, and most of the salmon are exported as fresh fish to USA. It is well documented that low storage temperature inhibit bacterial growth and biochemical degradation, thus facilitating prolonged shelf life. Partly freezing the outer fillet layer from -0.5 degrees C to -2.0 degrees C (superchilling) has proven to be more efficient in inhibiting biochemical changes and bacterial spoilage compared with traditional chilling. Nevertheless, antimicrobial active packaging offers the possibility to increase product shelf life through the reduction of the microbiological damage of the product during its transportation, and thus increasing consumer safety and health. The main objective of this study was to compare the effects of an active antimicrobial packaging on microbiological growth, sensory attributes and instrumental quality measurements of raw Atlantic salmon (Salmo salar) fillets. Flexible plastic films containing Thymol as antimicrobial agent were used for salmon packaging. Salmon were stored at 2 degrees C, 4 degrees C and 8 degrees C. Analyses of aerobic mesophilic bacteria and psicrophilic bacteria count were carried out at 1, 3, 8, 11, 15 and 18?days. L*a*b* colour evolution, overall sensorial properties and chemical evolution were studied. Application of active antimicrobial packaging for fillet salmon reduced the microbial count for least 18?days at 2 degrees C. No modification of the sensorial properties was detected by the sensorial panel, indicating that the antimicrobial compound used in the present study, thymol, is compatible with salmon packaging. Copyright (c) 2011 John Wiley &amp; Sons, Ltd.</t>
  </si>
  <si>
    <t>bruna, julio/AAM-6867-2021; Rodríguez, Francisco/I-5283-2018</t>
  </si>
  <si>
    <t>Bruna, Julio E./0000-0001-9656-6022; Rodriguez-Mercado, Francisco/0000-0002-0530-6653</t>
  </si>
  <si>
    <t>1099-1522</t>
  </si>
  <si>
    <t>10.1002/pts.981</t>
  </si>
  <si>
    <t>WOS:000308878700006</t>
  </si>
  <si>
    <t>Salazar, R; Ureta-Zañartu, MS</t>
  </si>
  <si>
    <t>Salazar, R.; Ureta-Zanartu, M. S.</t>
  </si>
  <si>
    <t>DEGRADATION OF ACID VIOLET 7 AND REACTIVE BLACK 5 IN WATER BY ELECTRO-FENTON AND PHOTO ELECTRO-FENTON BY</t>
  </si>
  <si>
    <t>The mineralization of solutions containing azo dyes Acid Violet 7 (AV7) and Reactive Black 5 (RB5) in aqueous solutions using electro-Fenton (OF) and Photo electro-Fenton (PEF) methods were determined. The electrochemical system includes a glassy carbon mesh electrode (cathode) with a concentric outer steel mesh as anode. The optimized parameters were: 0.01 mM of Fe2+ ions, and 250 mA of applied current at pH 3. All experiments were made at 35 degrees C. The degradation was evaluated by color removal and total organic carbon (TOC) decay for solutions of 250 mg L-1 of both cases. The results indicate that the system achieves a degradation efficiency for both dyes proposed, being observed a quickly decolorization of the solutions and the complete transformation of organic compounds to carbon dioxide. The efficiency process and decoloration kinetic constant were evaluated. Generated carboxylic acids such oxalic, oxamic, citric and maleic were found by ion exclusion chromatography. A comparison of the electrochemical system with respect to Fenton's and Photo-Fenton reaction was also performed.</t>
  </si>
  <si>
    <t>Salazar, Ricardo/L-7870-2013; Ureta-Zañartu, Maria/G-5239-2019</t>
  </si>
  <si>
    <t>Salazar-Gonzalez, Ricardo/0000-0003-2180-6022</t>
  </si>
  <si>
    <t>10.4067/S0717-97072012000100010</t>
  </si>
  <si>
    <t>WOS:000302755900010</t>
  </si>
  <si>
    <t>Black Sea</t>
  </si>
  <si>
    <t>WOS:000311262600019</t>
  </si>
  <si>
    <t>Lizama, Carlos</t>
  </si>
  <si>
    <t>SOLUTIONS OF TWO-TERM TIME FRACTIONAL ORDER DIFFERENTIAL EQUATIONS WITH NONLOCAL INITIAL CONDITIONS</t>
  </si>
  <si>
    <t>ELECTRONIC JOURNAL OF QUALITATIVE THEORY OF DIFFERENTIAL EQUATIONS</t>
  </si>
  <si>
    <t>We study the existence of mild solutions for the two-term fractional order abstract differential equation D(t)(alpha+1)u(t) + mu D(t)(beta)u( ) - Au(t) = D(t)(alpha-1)f (t, u(t)), t is an element of [0, 1], 0 &lt; alpha &lt;= beta &lt;= 1, mu &gt;= 0, with nonlocal initial conditions and where A is a linear operator of sectorial type. To achieve our goal, we use a new mixed method, which combines a generalization of the theory of C-0-semigroups, Hausdorff measure of noncompactness and a fixed point argument.</t>
  </si>
  <si>
    <t>1417-3875</t>
  </si>
  <si>
    <t>WOS:000312717900001</t>
  </si>
  <si>
    <t>San Martín, CJ; Guzmán, AM; Escobar, RA</t>
  </si>
  <si>
    <t>San Martin, Cristian J.; Guzman, Amador M.; Escobar, Rodrigo A.</t>
  </si>
  <si>
    <t>Lattice Boltzmann Modeling of Phonon Heat Conduction in Superlattice Structures</t>
  </si>
  <si>
    <t>PROCEEDINGS OF THE ASME INTERNATIONAL MECHANICAL ENGINEERING CONGRESS AND EXPOSITION (IMECE 2010), VOL 10</t>
  </si>
  <si>
    <t>The results of temperature prediction and determination of effective thermal conductivity in periodic Si-Ge superlattice in one dimension, at length scale comparable to the mean free path are presented. Classical heat transfer models such as Fourier's law do not represent what actually happens within electronic devices at these length scales. Phonon-border and phonon-interface scattering effects provide discontinuous jumps in temperature distribution when the mean free path is comparable with the device's characteristic length, a relation given by the Knudsen number (Kn). For predicting the temperature within the periodic Si-Ge superlattice use is made of the lattice Boltzmann method in one dimension, using Debye's model in the phonon dispersion relation. The predictions show that as En increases, so do the jumps at the borders, the same as at the interfaces. The prediction also shows that the effective conductivity of the Si-Ge superlattice decreases as Kn and the number of layers of material increase, and that k(eff) decreases as the magnitude of p increases, a factor that allows heat flow between one layer and another. Use of gray LBM leads to good approximations of the actual temperature field and thermal conductivity values for the superlattice materials model when the physics of phonons established by Debye's model is used.</t>
  </si>
  <si>
    <t>Guzman, Amador/F-9260-2013; Escobar, Rodrigo/JHU-7720-2023</t>
  </si>
  <si>
    <t>978-0-7918-4447-2</t>
  </si>
  <si>
    <t>WOS:000320481100050</t>
  </si>
  <si>
    <t>Rueda, J</t>
  </si>
  <si>
    <t>Rueda, Jorge</t>
  </si>
  <si>
    <t>THE POPULAR POETRY OF HECTOR MELENDEZ IN TOPAZ MAGAZINE</t>
  </si>
  <si>
    <t>REVISTA IBEROAMERICANA</t>
  </si>
  <si>
    <t>0034-9631</t>
  </si>
  <si>
    <t>2154-4794</t>
  </si>
  <si>
    <t>10.5195/REVIBEROAMER.2011.6851</t>
  </si>
  <si>
    <t>WOS:000208586100006</t>
  </si>
  <si>
    <t>Fuentes, CG; Henríquez, HR</t>
  </si>
  <si>
    <t>Fuentes, Cristina G.; Henriquez, Hernan R.</t>
  </si>
  <si>
    <t>On the fixed point theorem of Krasnoselskii and Sobolev</t>
  </si>
  <si>
    <t>We formulate a version of the fixed point theorem of Krasnoselskii and Sobolev in locally convex spaces. We apply this result to establish the existence of solutions of an integral equation defined in an abstract space.</t>
  </si>
  <si>
    <t>WOS:000287041900001</t>
  </si>
  <si>
    <t>Pablo de Rokha and Jose Angel Cuevas: From the nostalgia of the rural world to the subject of the marginal city</t>
  </si>
  <si>
    <t>This article proposes to establish relationships between Pablo de Rokha (1994-1968) and Jose Angel Cuevas (1944) poetry, through the representation that both Chilean poets make about local, nacional, popular and urban identities. These features develop an imaginary, that goes from the mitification of the popular rurality and the degradation produces for the initial urban capitalism in Pablo de Rokha, until the marginalized subject of the dictatorial city with nostalgia about the old rural and urban world, also mitified in Jose Angel Cuevas.</t>
  </si>
  <si>
    <t>0716-4254</t>
  </si>
  <si>
    <t>10.4067/S0718-22012010000200013</t>
  </si>
  <si>
    <t>WOS:000286703100013</t>
  </si>
  <si>
    <t>Sanhueza, P; Pizarro, J; Vargas, C; Torreblanca, M; Passalacqua, M</t>
  </si>
  <si>
    <t>Sanhueza, Pedro; Pizarro, Jaime; Vargas, Claudio; Torreblanca, Monica; Passalacqua, Manuel</t>
  </si>
  <si>
    <t>Health risk estimation due to carbon monoxide pollution at different spatial levels in Santiago, Chile</t>
  </si>
  <si>
    <t>ENVIRONMENTAL MONITORING AND ASSESSMENT</t>
  </si>
  <si>
    <t>The Metropolitan Region of Santiago has been declared as nonattainment area for carbon monoxide (CO). The data was based on seven air monitoring stations that do not necessarily represent the real population exposure. Usually, a series of coefficients that relates the concentration of pollutants with health effects (betas of the concentration-response equations) are used. For the calculation of these betas, normally, a city average air pollution concentration is used; nevertheless, these betas do not necessarily represent the real risk of exposure that the inhabitants are experimented. For this reason, this study estimates two aspects that are unknown and that are necessary to policymakers in public health decisions. First, estimate the exposure at a lower spatial resolution level and, second, estimate a concentration-response curve that differs spatially and depends on the proportion of susceptible groups. We followed the Air Pollution and Health, European Approach/Spanish Multicenter Study on the Relationship Between Air Pollution and the Mortality methodology for the determination of the short-term health effect due to CO population exposure at the three spatial levels (city, zone, and county). We found that there are different risks in cardiorespiratory mortality in the group over 64 years old associated to an unequal exposure to CO in Santiago city. The higher risks are in counties located to the south-east of the city. These finding confirm the necessity to face, in a different way, the approach when evaluating control strategies and policy decision to control air pollution in Santiago.</t>
  </si>
  <si>
    <t>Vargas, Claudio/AAX-6076-2020</t>
  </si>
  <si>
    <t>VARGAS, CLAUDIO/0000-0002-8705-0873</t>
  </si>
  <si>
    <t>0167-6369</t>
  </si>
  <si>
    <t>1-4</t>
  </si>
  <si>
    <t>10.1007/s10661-009-1039-x</t>
  </si>
  <si>
    <t>WOS:000279683100014</t>
  </si>
  <si>
    <t>Lizama, C; Poblete, V</t>
  </si>
  <si>
    <t>Lizama, Carlos; Poblete, Veronica</t>
  </si>
  <si>
    <t>Maximal regularity for perturbed integral equations on periodic Lebesgue spaces</t>
  </si>
  <si>
    <t>We characterize the maximal regularity of periodic solutions for an additive perturbed integral equation with infinite delay in the vector-valued Lebesgue spaces. Our method is based on operator-valued Fourier multipliers. We also study resonances, characterizing the existence of solutions in terms of a compatibility condition on the forcing term. (C) 2008 Elsevier Inc. All rights reserved.</t>
  </si>
  <si>
    <t>Poblete, Veronica/D-8810-2015; Lizama, Carlos/E-5909-2011</t>
  </si>
  <si>
    <t>1096-0813</t>
  </si>
  <si>
    <t>10.1016/j.jmaa.2008.07.075</t>
  </si>
  <si>
    <t>WOS:000259588700018</t>
  </si>
  <si>
    <t>Sepulveda, L; Troncoso, F; Contreras, E; Palma, C</t>
  </si>
  <si>
    <t>Sepulveda, L.; Troncoso, F.; Contreras, E.; Palma, C.</t>
  </si>
  <si>
    <t>Competitive adsorption of textile dyes using peat: Adsorption equilibrium and kinetic studies in monosolute and bisolute systems</t>
  </si>
  <si>
    <t>ENVIRONMENTAL TECHNOLOGY</t>
  </si>
  <si>
    <t>The purpose of this study is to investigate the adsorption by peat Of four reactive textile dyes with the following commercial names: Yellow CIBA WR 200% (gamma), Dark Blue CIBA WR (DB), Navy CIBA WB (N),and Red CIBA WB 150% (R), used in a cotton-polyester fabric finishing plant. The decolorization levels Obtained varied between 5% and 30%, and the most significant variables were pH and ionic strength. Equilibrium studies were carried Out at pH 2.8 and temperature of 25 degrees C. Maximum adsorption capacities were between 15 and 20 mg g(-1). Experimental data were fitted to the models of Langmuir. The equilibrium studies for bisolute systems were DB-R and Y-N mixtures. The Langmuir extended model indicated that there is competition for adsorption sites and without interaction between dyes. The results of the kinetic adsorption Studies on monosolute and bisolute systems were fitted to the film-pore diffusion, variable diffusivity and quasi-stationary models. They showed that the diffusivity coefficients obtained varied between 2.0 x 10(-8) and 8.5 x 10(-8) cm(2)s(-1) when the variable diffusivity mass transfer model (VDM) was used and effective diffusion coefficient was fitted between 3.3 x 10(-7) and 56.0 x 10(-7) cm(2)s(-1) for the film-pore diffusion model (FPDM). The root of average of squares relative error obtained varied between 0.8% and 47.0% for the VDM and FPDM models, respectively.</t>
  </si>
  <si>
    <t>0959-3330</t>
  </si>
  <si>
    <t>1479-487X</t>
  </si>
  <si>
    <t>10.1080/09593330802015300</t>
  </si>
  <si>
    <t>WOS:000259658600003</t>
  </si>
  <si>
    <t>Martinez, C; Cosgaya, P; Vasquez, C; Gac, S; Ganga, A</t>
  </si>
  <si>
    <t>Martinez, C.; Cosgaya, P.; Vasquez, C.; Gac, S.; Ganga, A.</t>
  </si>
  <si>
    <t>High degree of correlation between molecular polymorphism and geographic origin of wine yeast strains</t>
  </si>
  <si>
    <t>JOURNAL OF APPLIED MICROBIOLOGY</t>
  </si>
  <si>
    <t>Aims: To guarantee the endemic genetic background of the isolates obtained in yeast isolation programs, it is necessary to differentiate between endemic and commercial strains because the progressive use of commercial yeast in wine areas around the world would affect the autochthonous yeast populations. Methods and Results: Mitichondrial DNA restriction analysis, electrophoretic karyotyping and random amplification of polymorphic DNA (RAPD) were evaluated as experimental approaches to correlate genomic polymorphism and geographic origin of native wine yeast strains. The three molecular methods were capable of detecting a European commercial strain among native Chilean strains; however, RAPD proved to have the best performance. Conclusion: The molecular polymorphism analysis is useful to evaluate the geographical origin of native yeast isolates and confirms or refutes the genetic background of currently marketed strains. Significance and the Impact of the Study: This study permits a genetic characterization of native yeast populations and confirms its utility as a tool for evaluating if a native isolate derives from the region where it was collected, permitting, furthermore, to develop studies on the evolution of native yeast populations and to evaluate the effect of introduced yeasts on these populations.</t>
  </si>
  <si>
    <t>Ganga, Maria/S-8176-2019; Martinez, Claudio/MGS-9961-2025</t>
  </si>
  <si>
    <t>Martinez, Claudio/0000-0001-8564-9287</t>
  </si>
  <si>
    <t>1364-5072</t>
  </si>
  <si>
    <t>10.1111/j.1365-2672.2007.03493.x</t>
  </si>
  <si>
    <t>WOS:000251251200017</t>
  </si>
  <si>
    <t>Correa, F; Plyushchay, MS</t>
  </si>
  <si>
    <t>Correa, Francisco; Plyushchay, Mikhail S.</t>
  </si>
  <si>
    <t>Peculiarities of the hidden nonlinear supersymmetry of the Poschl-Teller system in the light of the Lame equation</t>
  </si>
  <si>
    <t>A hidden nonlinear bosonized supersymmetry was revealed recently in the Poschl-Teller and finite-gap Lame systems. In spite of the intimate relationship between the two quantum models, the hidden supersymmetry in them displays essential differences. In particular, the kernel of the supercharges of the Poschl-Teller system, unlike the case of the Lame equation, includes nonphysical states. By means of the Lame equation, we clarify the nature of these peculiar states, and show that they encode essential information not only on the original hyperbolic Poschl-Teller system, but also on its singular hyperbolic and trigonometric modifications, and reflect the intimate relation of the model to a free-particle system.</t>
  </si>
  <si>
    <t>Correa, Francisco/S-4564-2018</t>
  </si>
  <si>
    <t>Correa, Francisco/0000-0003-1735-2822</t>
  </si>
  <si>
    <t>1751-8121</t>
  </si>
  <si>
    <t>NOV 30</t>
  </si>
  <si>
    <t>10.1088/1751-8113/40/48/007</t>
  </si>
  <si>
    <t>WOS:000251786700008</t>
  </si>
  <si>
    <t>Bubnovich, V; Toledo, M</t>
  </si>
  <si>
    <t>Bubnovich, Valeri; Toledo, Mario</t>
  </si>
  <si>
    <t>Analytical modelling of filtration combustion in inert porous media</t>
  </si>
  <si>
    <t>APPLIED THERMAL ENGINEERING</t>
  </si>
  <si>
    <t>8th Conference on Process Integration, Modelling and Optimisation for Energy Saving and Pollution Reduction (PRES 2005)/7th Italian Conference on Chemical and Process Engineering (ICheaP-7)</t>
  </si>
  <si>
    <t>MAY 15-18, 2005</t>
  </si>
  <si>
    <t>Giardini Naxos, ITALY</t>
  </si>
  <si>
    <t>A study is made of the self-sustaining combustion waves during the filtration of lean methane-air mixtures in inert porous media using the two-temperature approximation. Such processes are characterized by an intense thermal interaction between the gas and the porous material. Due to interfacial heat transfer, the solid phase is able to redistribute heat absorbed from reaction products to the unburned mixture. The analytical solution is built in three different regions: the pre-heating region, the reaction region and the region occupied by the combustion products. Analytic expressions predicting the temperature and methane mass fraction profiles in the wave, as well as the combustion wave velocity and the longitudinal extension of the reaction region are derived. The results are confirmed by numerical calculations using the finite difference method and a full set of basic equations. (C) 2006 Elsevier Ltd. All rights reserved.</t>
  </si>
  <si>
    <t>Toledo, Mario/I-1129-2015</t>
  </si>
  <si>
    <t>Toledo, Mario/0000-0001-6443-9256</t>
  </si>
  <si>
    <t>1359-4311</t>
  </si>
  <si>
    <t>10.1016/j.applthermaleng.2006.02.037</t>
  </si>
  <si>
    <t>WOS:000245068200003</t>
  </si>
  <si>
    <t>Guzmán, AM; Del Valle, M</t>
  </si>
  <si>
    <t>Guzman, Amador M.; Del Valle, Marcelo</t>
  </si>
  <si>
    <t>Heat transfer enhancement in grooved channels due to flow bifurcations</t>
  </si>
  <si>
    <t>HEAT AND MASS TRANSFER</t>
  </si>
  <si>
    <t>The flow bifurcation scenario and heat transfer characteristics in grooved channels, are investigated by direct numerical simulations of the mass, momentum and energy equations, using the spectral element methods for increasing Reynolds numbers in the laminar and transitional regimes. The Eulerian flow characteristics show a transition scenario of two Hopf bifurcations when the flow evolves from a laminar to a time-dependent periodic and then to a quasi-periodic flow. The first Hopf bifurcation occurs to a critical Reynolds number Rec(1) that is significantly lower than the critical Reynolds number for a plane-channel flow. The periodic and quasi-periodic flows are characterized by fundamental frequencies omega(1) and m.omega(1)+n.omega(2), respectively, with m and n integers. Friction factor and pumping power evaluations demonstrate that these parameters are much higher than the plane channel values. The time-average mean Nusselt number remains mostly constant in the laminar regime and continuously increases in the transitional regime. The rate of increase of this Nusselt number is higher for a quasi-periodic than for a periodic flow regime. This higher rate originates because better flow mixing develops in quasi-periodic flow regimes. The flow bifurcation scenario occurring in grooved channels is similar to the Ruelle-Takens-Newhouse transition scenario of Eulerian chaos, observed in symmetric and asymmetric wavy channels.</t>
  </si>
  <si>
    <t>0947-7411</t>
  </si>
  <si>
    <t>1432-1181</t>
  </si>
  <si>
    <t>10.1007/s00231-005-0065-7</t>
  </si>
  <si>
    <t>WOS:000239321000001</t>
  </si>
  <si>
    <t>An integrated neural network model for PM10 forecasting</t>
  </si>
  <si>
    <t>We have developed an integrated artificial neural network model to forecast the maxima of 24h average of PM 10 concentrations I day in advance and we have applied it to the case of five monitoring stations in the city of Santiago, Chile. Inputs to the model are concentrations measured until 7 PM at the five stations on the present day plus measured and forecast values of meteorological variables. Outputs are the expected maxima concentrations for the following day at the site of the same five stations. The greatest of the concentrations among the five forecasts defines air quality for the following day. According to the range where the concentrations fall, three levels or classes of air quality are defined: good (A), bad (B) and critical (C). We have adjusted the parameters of the models using 2001 and 2002 data to forecast 2003 conditions and 2002 and 2003 data in order to forecast 2004 values. Forecast values using the neural model are compared with the results obtained with a linear model with the same input variables and with persistence. According to the results reported here, overall, the neural model seems more accurate, although a good choice of input variables appears to be very important. (c) 2006 Elsevier Ltd. All rights reserved.</t>
  </si>
  <si>
    <t>Reyes, Jorge/N-2640-2014; Perez, Patricio/AAS-7390-2020</t>
  </si>
  <si>
    <t>10.1016/j.atmosenv.2006.01.010</t>
  </si>
  <si>
    <t>WOS:000237489800006</t>
  </si>
  <si>
    <t>Ramírez, BU</t>
  </si>
  <si>
    <t>Physiology:: Curriculum planning and design for active learning</t>
  </si>
  <si>
    <t>A17</t>
  </si>
  <si>
    <t>WOS:000233996200063</t>
  </si>
  <si>
    <t>Ríos, E; Reyes, H; Ortiz, J; Gautier, JL</t>
  </si>
  <si>
    <t>Double channel electrode flow cell application to the study of HO2- production on MnxCO3-xO4 (0 ≤ x≤ 1) spinel films</t>
  </si>
  <si>
    <t>We conducted a study on the electroreduction of 02 in alkaline solution at room temperature on pure thin oxide electrodes of composition MnxCO(3-x) (0 &lt;= x &lt;= 1) using the double channel electrode flow cell (DCEFC). The oxides were prepared at 150 degrees C and deposited by spray pyrolysis onto titanium substrates. The oxygen reduction reaction (orr) occurs through interactive and parallel pathways, and the ratio of O-2 molecules reduced to OH- ions with respect to those reduced to HO2- ions depends on the oxide stoichiometry and on the applied overpotential. The formation of HO2- increases when the manganese concentration increases. The results obtained for the orr show that the number of electrons transferred per O-2 molecule decreases from 3 to 2 and the ratio k(1)/k(2) (the rate constants for direct reduction to OH- and indirect reduction to HO2-) increases, respectively, in the overpotential studied range (-0.05 to -0.6 V). The Mn3+, ions placed in the B-sites of the spinel structure seem to be the active centres, where hydrogen peroxide is formed. (c) 2004 Elsevier Ltd. All rights reserved.</t>
  </si>
  <si>
    <t>APR 30</t>
  </si>
  <si>
    <t>10.1016/j.electacta.2004.11.016</t>
  </si>
  <si>
    <t>WOS:000228703000019</t>
  </si>
  <si>
    <t>Rabagliati, FM; Pérez, MA; Rodríguez, FJ; Caro, CJ; Crispel, N</t>
  </si>
  <si>
    <t>Further studies on styrene/styrene derivative copolymerizations using combined diphenylzinc-additive initiator systems</t>
  </si>
  <si>
    <t>POLYMER INTERNATIONAL</t>
  </si>
  <si>
    <t>A combination of diphenylzinc, a metallocene and methylaluminoxane (Ph2Zn-metallocene-MAO) is a suitable initiator system for the polymerization of styrene and for its copolymerization with para-alkyl substituted styrenes. This paper reports new experimental results which reinforce our previous findings indicating that polymerization processes are initiated by monomer coordination to active species resulting from these particular combined systems. Polymerization propagates by a cationic pathway. Further to our previous observation that the I+ inductive effect of para-substituents in styrene improves conversion to polymer, we now find that methyl substitution on the vinyl double bond of styrene, in spite of the I+ inductive effect and as a result of increased steric hindrance, makes the polymerization process difficult. On the other hand, the replacement of titanocenes by zirconocenes or hafnocenes generates Ph2Zn-metallocene-MAO initiator systems which are also able to induce homo- and copolymerization, but with lower yields and producing practically amorphous polymers. The efficiency of our Ph2Zn-metallocene-MAO initiator systems follows the order titanocene &gt; zirconocene &gt; hafnocene, at least for the studied metallocenes. (C) 2004 Society of Chemical Industry.</t>
  </si>
  <si>
    <t>0959-8103</t>
  </si>
  <si>
    <t>1097-0126</t>
  </si>
  <si>
    <t>10.1002/pi.1714</t>
  </si>
  <si>
    <t>WOS:000226731900030</t>
  </si>
  <si>
    <t>Alvarez, PI; Vega, R; Blasco, R</t>
  </si>
  <si>
    <t>Cocurrent downflow fluidized bed dryer: Experimental equipment and modeling</t>
  </si>
  <si>
    <t>Product damage, high energy consumption, and nonhomogeneous final properties are present in typical drying operations such as pneumatic drying, fluidized-bed dryers, and upward circulating fluidized-bed dryers. The downer bed has been shown to be a good technique for this processes. The objective of this work is to test an experimental downflow dryer and model its operation. equipment consists of a 5-m-high stainless steel duct with 0.17 m i.d. Gas velocity was varied between 0.3 and 8 m/s in co-current solid flow varying between 0 and 50 kg/m(2)s. Drying rates, pressures, and total flux for solid and gas are determined. Temperature profiles for gas and solid along the radial and axial directions are determined and tested with model predictions. The solid particles were previously dried turnip (Brassica napus) seeds. The equipment shows good operational conditions and facilities for parameter determination, but must be complemented with better equipment for particle concentration determinations. The model's predictions of pressure, gas velocity, solid concentration, and temperature are compared with our experimental values or those reported in the literature.</t>
  </si>
  <si>
    <t>10.1081/DRT-200063505</t>
  </si>
  <si>
    <t>WOS:000231613900007</t>
  </si>
  <si>
    <t>Fernández, NS</t>
  </si>
  <si>
    <t>Breaks and continuities of Chilean sociability:: The realism in 'Oir Su Voz' by Arturo Fontaine!Talavera</t>
  </si>
  <si>
    <t>fernandez, nicole/JOK-5120-2023</t>
  </si>
  <si>
    <t>10.2307/25070265</t>
  </si>
  <si>
    <t>WOS:000237713600010</t>
  </si>
  <si>
    <t>Sánchez, J</t>
  </si>
  <si>
    <t>Multiple positive solutions of singular eigenvalue type problems involving the one-dimensional p-Laplacian</t>
  </si>
  <si>
    <t>We establish a existence result of multiple positive solutions for a singular eigenvalue type problem involving the one-dimensional p-Laplacian. Furthermore, we obtain a nonexistence result of positive solutions by taking advantage of the internal geometric properties related to the problem. Our approach is based on the fixed point index theory and the fixed point theorem in cones. (C) 2004 Elsevier Inc. All rights reserved.</t>
  </si>
  <si>
    <t>10.1016/j.jmaa.2003.12.005</t>
  </si>
  <si>
    <t>WOS:000221110800008</t>
  </si>
  <si>
    <t>Celentano, DJ; Monsalve, AE; Artigas, A</t>
  </si>
  <si>
    <t>Experimental and numerical characterization of the mechanical behavior of aeronautical aluminum alloys</t>
  </si>
  <si>
    <t>AIAA JOURNAL</t>
  </si>
  <si>
    <t>An experimental and numerical study is presented of the mechanical behavior during the conventional tensile test of three different aluminum alloys extensively used in aeronautical applications: 7075 T7351, 7050 T7451, and 2024 T3. A set of experiments has been carried out with cylindrical specimens in order to obtain the elastic and hardening parameters that characterize the material response. Moreover, a finite element large-strain elastoplasticity-based formulation is proposed and used to simulate the deformation process during the whole test. Finally, the results obtained with the simulation are experimentally validated.</t>
  </si>
  <si>
    <t>Monsalve, Alberto/0000-0002-5772-8815</t>
  </si>
  <si>
    <t>0001-1452</t>
  </si>
  <si>
    <t>1533-385X</t>
  </si>
  <si>
    <t>10.2514/1.9117</t>
  </si>
  <si>
    <t>WOS:000220234900026</t>
  </si>
  <si>
    <t>Mono- and sesquiterpenes in the trichome secreted exudates from Pseudognaphalium cheiranthifolium, P. heterotrichium, P. vira vira and P. robustum</t>
  </si>
  <si>
    <t>10.1016/S0305-1978(03)00158-3</t>
  </si>
  <si>
    <t>WOS:000188704600011</t>
  </si>
  <si>
    <t>Pérez, MA; Caro, CJ; Cancino, RA; Rabagliati, FM</t>
  </si>
  <si>
    <t>Ph2Zn-metallocene-MAO initiator systems in the homo- and copolymerization of styrene/p-alkylstyrene</t>
  </si>
  <si>
    <t>The homo- and copolymerization of styrene (S) with p-methylstyrene (p-MeS) and p-tert-butyl styrene (p-(BuS)-S-t) has been tested using initiator systems of the Ph2Zn-metallocene-MAO type. The metallocenes used were CpTiCl3, IndTiCl(3), (n-BuCp)(2)TiCl2, Ind(2)ZrCl(2) and Et(Ind)(2)ZrCl2. The Ph2Zn-metallocene-MAO systems homopolymerize styrene, p-methylstyrene and p-tert-butyl styrene, producing syndiotactic polymers in the case of the titanocenes and amorphous polymers in the case of the zirconocenes. The S/p-MeS and S/p-(BuS)-S-t copolymers obtained with the Ph2Zn-titanocene-MAO systems are enriched in the comonomer with respect to the initial feed.</t>
  </si>
  <si>
    <t>10.1007/s00289-003-0214-4</t>
  </si>
  <si>
    <t>WOS:000187196800004</t>
  </si>
  <si>
    <t>Rodríguez, L</t>
  </si>
  <si>
    <t>Torque and the rate of change of angular momentum at an arbitrary point</t>
  </si>
  <si>
    <t>In this article we show that the general relation between torque and rate of change of the angular momentum for an arbitrary point lets us obtain explicit solutions of many problems in plane motion of a rigid body when the motion of one of its points is given. This method involves considerably less calculation than the standard procedure. (C) 2003 American Association of Physics Teachers.</t>
  </si>
  <si>
    <t>10.1119/1.1579498</t>
  </si>
  <si>
    <t>WOS:000186038500017</t>
  </si>
  <si>
    <t>Furnell, S; Dowland, P</t>
  </si>
  <si>
    <t>Web presentations of 3D civil engineering projects</t>
  </si>
  <si>
    <t>EUROMEDIA '2003: 8th Annual Euromedia Conference</t>
  </si>
  <si>
    <t>8th Annual Scientific Conference on Web Technology, New Media, Communications and Telematics Theory, Methods, Tools and Applications</t>
  </si>
  <si>
    <t>APR 14-16, 2003</t>
  </si>
  <si>
    <t>Univ Plymouth, Plymouth, ENGLAND</t>
  </si>
  <si>
    <t>EUROSIS,EU DG INFSO,BELGACOM</t>
  </si>
  <si>
    <t>Univ Plymouth</t>
  </si>
  <si>
    <t>Senior civil engineering (c.e.) students, developed 3D models of civil engineering projects as part of a last grade course since 1998 to 2002. Final presentations would be located in their own web pages so interested students or professionals, could easily appreciate them from any place in the world. After five years of student's evaluated experience, a methodology can be proposed to do web presentations of 3D civil engineering projects. This methodology doesn't require expensive hardware or software or computational knowledge other than CAD user knowledge and practice.</t>
  </si>
  <si>
    <t>90-77381-01-5</t>
  </si>
  <si>
    <t>WOS:000230140000018</t>
  </si>
  <si>
    <t>Thermomechanical analysis of the Taylor impact test</t>
  </si>
  <si>
    <t>JOURNAL OF APPLIED PHYSICS</t>
  </si>
  <si>
    <t>A coupled thermomechanical analysis of the Taylor impact test considering flat-ended cylindrical specimens of different materials fired at several striking velocities is presented. To this end, a large strain rate-dependent thermoelasto-plasticity model is used to define the constitutive relationships appearing in the momentum and energy equations both solved in the context of the finite element method. The influence of the strain, temperature, and strain rate effects on the material response is particularly analyzed. The numerical predictions are experimentally validated and compared with results provided by previously reported simulations and simplified analytical expressions. (C) 2002 American Institute of Physics.</t>
  </si>
  <si>
    <t>0021-8979</t>
  </si>
  <si>
    <t>10.1063/1.1435836</t>
  </si>
  <si>
    <t>WOS:000174182500029</t>
  </si>
  <si>
    <t>Villablanca, M; Ziehlmann, W; Flores, C; Cuevas, C; Armijo, P</t>
  </si>
  <si>
    <t>Harmonic reduction in adjustable-speed synchronous motors</t>
  </si>
  <si>
    <t>IEEE TRANSACTIONS ON ENERGY CONVERSION</t>
  </si>
  <si>
    <t>Adjustable-speed synchronous motors (ASSM) are very popular in high-power high-speed applications. The Chilean mining industry uses them in milling operations in ranges of several thousands hp. Although a high pulse number for the inverter would be beneficial, it never goes beyond 12, due to complicated connections. Thus, a distorted harmonic-rich current feeds the synchronous motor, increasing the inverter commutation angle and causing additional rotor-heating and pulsating electric torque. Harmonic suppression by filters is not viable due to the variable frequency nature of the motor. In this paper a new design for the inverter, without complicated circuitry, is proposed, so that it works with 36 pulses and then the motor is fed with a highly sinusoidal current. Also, the same technique is applied to the rectifier end, so that an effective harmonic reduction is carried out at both ends of the system, i.e., the motor as well as the ac supply system. A 20-KVA laboratory development drive system has been built and experimental waveforms for the conventional (12-pulse) and proposed (36-pulse) configurations are included.</t>
  </si>
  <si>
    <t>0885-8969</t>
  </si>
  <si>
    <t>10.1109/60.937203</t>
  </si>
  <si>
    <t>WOS:000170174400006</t>
  </si>
  <si>
    <t>Vivanco, F; Melo, F</t>
  </si>
  <si>
    <t>Surface spiral waves in a filamentary vortex</t>
  </si>
  <si>
    <t>PHYSICAL REVIEW LETTERS</t>
  </si>
  <si>
    <t>Spiral surface waves emitted from a vertical vortex are studied experimentally. It is found that, similar to what occurs in the scattered wave of electrons for the Aharonov-Bohm effect, thr number of arms of these waves is linked to circulation flux and therefore to the number of dislocations in the wave front.</t>
  </si>
  <si>
    <t>Vivanco, Francisco/AAB-8928-2019; Melo, Francisco/M-3923-2014</t>
  </si>
  <si>
    <t>Melo, Francisco Esteban/0000-0001-6818-5476</t>
  </si>
  <si>
    <t>0031-9007</t>
  </si>
  <si>
    <t>SEP 4</t>
  </si>
  <si>
    <t>10.1103/PhysRevLett.85.2116</t>
  </si>
  <si>
    <t>WOS:000089065400020</t>
  </si>
  <si>
    <t>Garin, J. L.; Mannheim, R. L.</t>
  </si>
  <si>
    <t>RIETVELD REFINEMENT OF INTER-MEDIATE PHASES IN THE Mo-Re SYSTEM OF ALLOYS.</t>
  </si>
  <si>
    <t>P05.02.003</t>
  </si>
  <si>
    <t>WOS:000475706302137</t>
  </si>
  <si>
    <t>Gramsch, E; Avila, R</t>
  </si>
  <si>
    <t>Boone, JM; Dobbins, JT</t>
  </si>
  <si>
    <t>UV enhanced avalanche photodiode array for fluorescence applications</t>
  </si>
  <si>
    <t>MEDICAL IMAGING 1999: PHYSICS OF MEDICAL IMAGING, PTS 1 AND 2</t>
  </si>
  <si>
    <t>Medical Imaging 1999 Conference</t>
  </si>
  <si>
    <t>FEB 21-25, 1999</t>
  </si>
  <si>
    <t>SPIE,Amer Assoc Physicists Med,Amer Physiol Soc,FDA Ctr Devices &amp; Radiol Hlth,Soc Imaging Sci &amp; Technol,Natl Elect Mfg Assoc/Diagnost Imaging &amp; Therapy Syst Div,Radiol Soc N Amer,Soc Comp Applicat Radiol</t>
  </si>
  <si>
    <t>We have developed avalanche photodiode (APD) arrays of the beveled edge type with high responsivity in the ultraviolet (UV) region. A 3 x 3 array with pixel size 3 x 3 mm(2) was made, in which the segmentation was done using selective diffusion in the front surface. This technique is an improvement over previous avalanche photodiodes, where the segmentation was done cutting channels in the back of the detector. After the die was cut from the wafer, beveling and passivation was performed to avoid lateral surface breakdown. The responsivity from 200 to 400 nm is close to 1.1 A/W, which makes this detector suitable for fluorescence applications. The gain and dark current coming from all pixels connected together, is the same as a single element detector with the same area, which indicates that the pixelization process does not reduce the performance compared to a detector without segmentation. We measured high crosstalk between adjacent pixels (30 %) which indicates that the resistance between them is too low.</t>
  </si>
  <si>
    <t>Gramsch, Ernesto/M-5507-2017</t>
  </si>
  <si>
    <t>0-8194-3131-1</t>
  </si>
  <si>
    <t>10.1117/12.349544</t>
  </si>
  <si>
    <t>WOS:000081632400066</t>
  </si>
  <si>
    <t>Reyes, A; Diaz, G; Blasco, R</t>
  </si>
  <si>
    <t>Slurry drying in gas-particle contactors: Fluid-dynamics and capacity analysis</t>
  </si>
  <si>
    <t>The fluid-dynamic characteristics and evaporation capacities of several substrates (pure water, a mixture of water and carbohydrates, and apple pulps with maltodextrines) for conical spouted bed, fluidized bed and pneumatic dryers was compared. For fluidized and spouted beds, the presence of fluids increased the fluid-dynamics parameters over the values when only inert particles were present in the beds. In both cases it was proposed correlations to predict those effects. In the spouted bed drier, increasing the load of inert particles resulted in a slight increase of the water evaporation capacity, while in the fluidized bed drier the effect was more marked. For fluidized and spouted beds, under similar operation conditions, the maximums of the suspension drying capacities are lower than the values of water evaporation, but for pneumatic drying this effect was the opposite. In general terms, the maximal capacities of fluidized bed dryers are higher than those observed in the spouted bed dryers.</t>
  </si>
  <si>
    <t>10.1080/07373939808917400</t>
  </si>
  <si>
    <t>WOS:000072620000013</t>
  </si>
  <si>
    <t>Terraza, CA; Rabagliati, FM</t>
  </si>
  <si>
    <t>The soluble and insoluble product of diphenylzinc-water systems as initiator in styrene polymerization</t>
  </si>
  <si>
    <t>II Chilean Symposium on Chemistry and Physics: the Chemistry of Polymers</t>
  </si>
  <si>
    <t>NOV 30-DEC 02, 1994</t>
  </si>
  <si>
    <t>QUILPUE, CHILE</t>
  </si>
  <si>
    <t>The solution resulting from reaction between Ph2Zn and H2O in benzene was used by itself and separated in soluble and insoluble fractions to initiate styrene polymerization. The soluble fraction produced the largest polymer conversion while the insoluble was reponsible of the highest molecular weights. Resulting polystyrenes were atactic but up to 80-85% syndiotactic triads were detected by H-1-NMR analysis. Polystyrene obtained using benzene as solvent showed a low crystalline content while the polymer obtained using dichloromethane did not produce any crystalline fraction.</t>
  </si>
  <si>
    <t>Terraza, Claudio/0000-0002-6326-8771</t>
  </si>
  <si>
    <t>10.1007/s002890050116</t>
  </si>
  <si>
    <t>WOS:A1997XL60800005</t>
  </si>
  <si>
    <t>Canas, P; Aranda, M</t>
  </si>
  <si>
    <t>Decontamination and inhibition of patulin-induced cytotoxicity</t>
  </si>
  <si>
    <t>ENVIRONMENTAL TOXICOLOGY AND WATER QUALITY</t>
  </si>
  <si>
    <t>The analysis of patulin by high performance liquid chromatography and the Bacillus subtilis bioassay were used to investigate the inhibition of patulin cytotoxicity. The presence of over 50 ppb of patulin was found in 28% of apple juice and concentrate samples obtained in the Chilean market. Patulin-mycotoxin is produced by some filamentous fungi species belonging to Penicillium and Aspergillus strains, natural contaminants of fruits in the postharvest period. A weak enhancement in mutagenicity was obtained by activated patulin (100 ppm) in the Ames test, since significant differences were found with t-test in the TA100 strain (p = 0.05). A negative result was obtained in the Umu test. Furthermore, treatment with 0.7 and 7.7 ppm markedly increased cytotoxicity in B. subtilis, Bacillus cereus, and in human fetal lung cells. Patulin strongly inhibited fetal lung cells proliferation at higher concentration. The patulin-induced enhancement in cytotoxicity was inhibited by ascorbic acid. Ascorbic acid concentrations up to 100 ppm clearly decreases the patulin content in apple juice and can even cause total loss; furthermore, patulin was degraded (ca. 25%) after 1 h of treatment. This compound was also removed (over 45%) by absorbent polymers from apple juice. Chemical degradation plus physical removal markedly decreased the patulin content (ca. 85%) in only 90 min of treatment. It is concluded that the known naturally occurring levels of patulin present a potential threat to human and animal health and can be prevented with natural food additives. (C) 1996 by John Wiley &amp; Sons, Inc.</t>
  </si>
  <si>
    <t>Bustos, Mario/A-6599-2013</t>
  </si>
  <si>
    <t>1053-4725</t>
  </si>
  <si>
    <t>10.1002/(SICI)1098-2256(1996)11:3&lt;249::AID-TOX10&gt;3.0.CO;2-6</t>
  </si>
  <si>
    <t>WOS:A1996UZ23700010</t>
  </si>
  <si>
    <t>PEREZ, P; SALINAS, D</t>
  </si>
  <si>
    <t>STORAGE OF STRUCTURED PATTERNS IN A NEURAL-NETWORK</t>
  </si>
  <si>
    <t>Salinas Aviles, Dino Gonzalo/0000-0001-8152-1622; Perez, Patricio/0000-0003-1234-4233</t>
  </si>
  <si>
    <t>10.1103/PhysRevE.50.4182</t>
  </si>
  <si>
    <t>WOS:A1994PV86300111</t>
  </si>
  <si>
    <t>PREQUARK-LEPTON PHYSICS</t>
  </si>
  <si>
    <t>NUOVO CIMENTO DELLA SOCIETA ITALIANA DI FISICA A-NUCLEI PARTICLES AND FIELDS</t>
  </si>
  <si>
    <t>A recently proposed composite model of the particles of the standard model of electroweak and strong interactions is considered to invoke new physics beyond quantum field theory and general relativity, which we refer to as the third quantization. The Einstein field equations of general relativity are reinterpreted as meaning a geometry-matter duality. The low-energy effective model embodies both the prequark-lepton and left-right discrete symmetries. Gauge symmetry breakdown results in two sets of left- and right-handed massive weak bosons. The properties of the new charged and neutral gauge bosons are studied. Our model does not require an extension of the fermion spectrum.</t>
  </si>
  <si>
    <t>1124-1861</t>
  </si>
  <si>
    <t>10.1007/BF02768794</t>
  </si>
  <si>
    <t>WOS:A1994NL48200010</t>
  </si>
  <si>
    <t>CARO, D; MATSUHIRO, B; URZUA, CC</t>
  </si>
  <si>
    <t>THE SOLUBLE POLYSACCHARIDE FROM CURDIEA-RAKOVITZAE HARIOT</t>
  </si>
  <si>
    <t>Curdiea rakovitzae of the family Gracilariaceae afforded by extraction with water at 85-degrees-C a soluble polysaccharide which did not gel. Purification with cetavlon gave an acidic polysaccharide which contains 13.4% of 3,6-anhydrogalactose and 30.0% of hemiester sulphate. This polysaccharide showed to be homogeneous by polyacrylamide gel electrophoresis. The chemical composition and the results of H-1 NMR analysis of the acidic polysaccharide and of the partial hydrolysis product showed that it is an hybrid polysaccharide composed mainly by beta-D-galactopyranan-4-sulphate partially substituted by 3,6-anhydro-L-galactose units with sulphation in carbon 2. It can be concluded that its structure does not belong to the agar type polysaccharide.</t>
  </si>
  <si>
    <t>WOS:A1991FF13700004</t>
  </si>
  <si>
    <t>URETAZANARTU, MS; ZAGAL, JH</t>
  </si>
  <si>
    <t>POTENTIODYNAMIC STUDIES ON IRIDIUM ELECTRODES IN ALKALINE-SOLUTION</t>
  </si>
  <si>
    <t>JOURNAL OF THE ELECTROCHEMICAL SOCIETY</t>
  </si>
  <si>
    <t>zagal, jose/L-9648-2014; Ureta-Zañartu, Maria/G-5239-2019</t>
  </si>
  <si>
    <t>0013-4651</t>
  </si>
  <si>
    <t>C141</t>
  </si>
  <si>
    <t>WOS:A1982NF15800719</t>
  </si>
  <si>
    <t>POLYSACCHARIDES FROM CHILEAN SEAWEEDS .6. STRUCTURAL STUDIES ON THE SOLUBLE POLYSACCHARIDE OF CHONDRUS-CANALICULATUS - H-1-NMR STUDY OF HEXA-O-ACETYLCARRABIOSE DIMETHYL ACETAL</t>
  </si>
  <si>
    <t>10.1016/S0008-6215(00)85665-7</t>
  </si>
  <si>
    <t>WOS:A1980JX58600014</t>
  </si>
  <si>
    <t>López, F; Santander, P; Gálvez, D; Delgado, L</t>
  </si>
  <si>
    <t>Lopez, Felipe; Santander, Pavlo; Galvez, Daniel; Delgado, Lorena</t>
  </si>
  <si>
    <t>Sustainable Supply Chains for Electric Vehicle Battery Recycling: A Literature Review</t>
  </si>
  <si>
    <t>The adoption of electric vehicles has emerged as an attractive solution to address climate change. However, for their sustainable adoption, end-of-life management models for electric vehicles must also be studied, especially considering the environmental impact of the batteries used in these vehicles. In this context, this study conducts a systematic literature review to analyze and understand how electric vehicle battery recovery chains have been approached from a sustainability perspective. For this purpose, a search equation has been defined with the support of bibliometric analysis software and the use of the web of science database. Then, a systematic analysis was conducted by analyzing 7 articles dealing with the topic proposed in this research. The findings show a predominant consideration of economic and environmental aspects, as well as a low consideration of social aspects of sustainability. In addition, few studies have been carried out in developing countries.</t>
  </si>
  <si>
    <t>10.1007/978-3-031-72490-9_37</t>
  </si>
  <si>
    <t>WOS:001460827600037</t>
  </si>
  <si>
    <t>Gargantini, PL; Stewart, D; Muñoz, SCM; Molina, AS; Lara, MV</t>
  </si>
  <si>
    <t>Gargantini, Pablo Lacoste; Stewart, Daniel; Munoz, Sandra Cristina Montoya; Molina, Alejandro Salas; Lara, Marisol Videla</t>
  </si>
  <si>
    <t>Mills on the Frontier: The Water Mills of the Bishopric of Concepción (1550-1650)</t>
  </si>
  <si>
    <t>HISTORIA Y MEMORIA</t>
  </si>
  <si>
    <t>This article examines the socio-economic characteristics of flour-producing hydraulic mills in the Bishopric of Concepci &amp; oacute;n, southern Chile, from the Spanish colonization period until the mid-17th century. From a social history perspective, the relationship between religious communities and hydraulic mills is analysed. Through sources located in the General Archive of the Indies and the National Historical Archive, eighteen mills were identified in various areas, from the Andali &amp; eacute;n River to the frontier forts. These mills, like others in colonial America, supplied wheat to cities and consolidated the social status of convents and privileged families. Additionally, unique dynamics were observed in terms of motivations, development, and socio-economic impact, closely linked to the military sphere and reflecting cultural integration in the frontier zone.</t>
  </si>
  <si>
    <t>Salas Miranda, Alejandro/0000-0001-7410-7968; Stewart, Daniel/0000-0003-2466-7320</t>
  </si>
  <si>
    <t>2027-5137</t>
  </si>
  <si>
    <t>2322-777X</t>
  </si>
  <si>
    <t>10.19053/uptc.20275137.n29.2024.15475</t>
  </si>
  <si>
    <t>WOS:001283361300007</t>
  </si>
  <si>
    <t>Opazo, MU</t>
  </si>
  <si>
    <t>Opazo, Macarena Urzua</t>
  </si>
  <si>
    <t>Valparaiso Vibrations and Reverberations of Gong: tablero de arte y literatura (1930-1931). Readings from an Avant-Garde Event in Valparaiso</t>
  </si>
  <si>
    <t>The main aim of this article is to analyze the avant-garde magazine Gong: tablero de arte y literatura (1929-1931), directed by Oreste Plath. This publication will be contextualized within the framework of the late Avant-Garde movement in Valparaiso, considering the articulation of correspondence networks that it establishes with similar journals in Latin America (particularly with Peruvian journals). In doing thus, we will take into account some of Gong's collaborations, among them those of Peruvian poet C &amp; eacute;sar Vallejo. The second part of the article will address the visual composition of Gong, by examining the techniques that are used for page design, particularly the graphic composition (Viu, Tarcus) of the name Gong throughout its issues.</t>
  </si>
  <si>
    <t>10.7764/Tl.75.182-221</t>
  </si>
  <si>
    <t>WOS:001422260700008</t>
  </si>
  <si>
    <t>Rodriguez-Guillen, R; Kern, J; Urrea, C</t>
  </si>
  <si>
    <t>Rodriguez-Guillen, Reinier; Kern, John; Urrea, Claudio</t>
  </si>
  <si>
    <t>Fast Rock Detection in Visually Contaminated Mining Environments Using Machine Learning and Deep Learning Techniques</t>
  </si>
  <si>
    <t>APPLIED SCIENCES-BASEL</t>
  </si>
  <si>
    <t>Advances in machine learning algorithms have allowed object detection and classification to become booming areas. The detection of objects, such as rocks, in mining operations is affected by fog, snow, suspended particles, and high lighting. These environmental conditions can stop the development of mining work, which entails a considerable increase in operating costs. It is vital to select a machine learning algorithm that is accurate, fast, and contributes to lower operational costs because of the aforementioned environmental situations. In this study, the Viola-Jones algorithm, Aggregate Channel Features (ACF), Faster Regions with Convolutional Neural Networks (Faster R-CNN), Single-Shot Detector (SSD), and You Only Look Once (YOLO) version 4 were analyzed, considering the precision metrics, recall, AP50, and average detection time. In our preliminary tests, we have observed that the differences between YOLO v4 and the latest versions are not substantial for the specific problem of rock detection addressed in our article. Therefore, YOLO v4 is an appropriate and representative choice for evaluating the effectiveness of existing methods in our study. The YOLO v4 algorithm performed the best overall, whereas the SSD algorithm performed the fastest. The results indicate that the YOLO v4 algorithm is a promising candidate for detecting rocks with visual contamination in mining operations.</t>
  </si>
  <si>
    <t>Rodriguez-Guillen, Reinier/0000-0002-2895-4477; Urrea, Claudio/0000-0001-7197-8928</t>
  </si>
  <si>
    <t>2076-3417</t>
  </si>
  <si>
    <t>10.3390/app14020731</t>
  </si>
  <si>
    <t>WOS:001149471900001</t>
  </si>
  <si>
    <t>Ayala, A; Vargas, C; Elorrieta, F; Dintrans, PV; Maddaleno, M</t>
  </si>
  <si>
    <t>Ayala, Andres; Vargas, Claudio; Elorrieta, Felipe; Dintrans, Pablo Villalobos; Maddaleno, Matilde</t>
  </si>
  <si>
    <t>Inequity in mortality rates and potential years of life lost caused by COVID-19 in the Greater Santiago, Chile</t>
  </si>
  <si>
    <t>SCIENTIFIC REPORTS</t>
  </si>
  <si>
    <t>Several studies have shown that, in Chile, income inequality is relevant in explaining health inequities. The COVID-19 pandemic has also had a negative impact, with higher mortality rates in those municipalities of Greater Santiago with lower socioeconomic status. We study inequity in mortality based on Potential Years of Life Lost (PYLL) in 34 urban municipalities of the Metropolitan Region (Greater Santiago) and analyze its evolution between 2018 and 2021 and by COVID-19 waves. To compare the results obtained for PYLL, we also computed the mortality rates adjusted by direct standardization. In addition, we used the concentration index (CI) to measure the health inequalities between municipalities. In the first year of the pandemic, the absolute PYLL and the standardized mortality rate for all causes of death showed an increase of 13.6% and 18.9%, respectively. Moreover, 409,086 years of life were prematurely lost in 2020, one-fifth of them due to COVID-19. The concentration indices confirm inequality in both mortality rates and PYLL, where it is more pronounced when calculating the latter measure. Results show that the deaths due to the COVID-19 pandemic affected the most economically disadvantaged municipalities, and particularly young people in those places.</t>
  </si>
  <si>
    <t>Elorrieta, Felipe/AAX-2057-2020; Dintrans, Pablo/AAM-6248-2020</t>
  </si>
  <si>
    <t>Villalobos Dintrans, Pablo/0000-0002-2236-6447; Elorrieta, Felipe/0000-0002-1835-7433</t>
  </si>
  <si>
    <t>2045-2322</t>
  </si>
  <si>
    <t>SEP 28</t>
  </si>
  <si>
    <t>10.1038/s41598-023-43531-x</t>
  </si>
  <si>
    <t>WOS:001095487500069</t>
  </si>
  <si>
    <t>Urrea, C; Garcia-Garcia, Y</t>
  </si>
  <si>
    <t>Urrea, Claudio; Garcia-Garcia, Yainet</t>
  </si>
  <si>
    <t>Design and Performance Analysis of Level Control Strategies in a Nonlinear Spherical Tank</t>
  </si>
  <si>
    <t>This work seeks to contribute to the study of techniques for level control considering a nonlinear plant model. To achieve this goal, different approaches are applied to classical control techniques and their results are analyzed. Fuzzy Logic Control (FLC), Artificial Neural Network (ANN), Adaptive Neuro-Fuzzy Inference System (ANFIS), Model Predictive Control (MPC) and Nonlinear Auto-Regressive Moving Average (NARMA-L2) controllers are designed for the level control of a spherical tank. Subsequently, several tests and scenarios similar to those present in industrial processes are established, while the transient response of the controllers, their performance indices for monitoring the reference value, the rejection of disturbances, the presence of parameter uncertainties and the effects of noise are analyzed. The results show good reference tracking, with a settling time of approximately 5 s for 5 cm and a rise time of less than 4 s. No evidence for steady-state error or overshoot was found and controllers behave positively in the diverse scenarios assessed. The FLC and ANN controllers showed the greatest limitations, while ANFIS, MPC and NARMA-L2 exhibited competitive results considering their transient response and the performance indices calculated.</t>
  </si>
  <si>
    <t>Garcia-Garcia, Yainet/0000-0001-7565-4859; Urrea, Claudio/0000-0001-7197-8928</t>
  </si>
  <si>
    <t>10.3390/pr11030720</t>
  </si>
  <si>
    <t>WOS:000957847200001</t>
  </si>
  <si>
    <t>Matiacevich, S; Madrid, DS; Cutiño, MG</t>
  </si>
  <si>
    <t>Matiacevich, Silvia; Madrid, Daniela Soto; Cutino, Marlen Gutierrez</t>
  </si>
  <si>
    <t>Circular Economy: Obtaining and Encapsulating Polyphenolic Compounds from Agroindustrial Waste</t>
  </si>
  <si>
    <t>This work aims to resume the principles and strategies at a global and national level on the circular economy, as well as the possible raw materials of polyphenolic compounds from waste from the Chilean agroindustry, ending with the most used technique and wall material (drying spray using maltodextrin) for the encapsulation of these antioxidant compounds to generate potential natural additives, thus contributing to the circular economy. Nevertheless, waste in the Chilean agroindustry is not sufficiently exploited or studied to find significant added value, as is the case in other countries that have successful circular economy initiatives.</t>
  </si>
  <si>
    <t>Madrid, Daniela/KSL-6942-2024</t>
  </si>
  <si>
    <t>10.35588/rivar.v10i28.5343</t>
  </si>
  <si>
    <t>WOS:000981173700002</t>
  </si>
  <si>
    <t>Macuada, CJ; Oddershede, AM; Quezada, LE; Palominos, PI</t>
  </si>
  <si>
    <t>Macuada, C. J.; Oddershede, A. M.; Quezada, L. E.; Palominos, P., I</t>
  </si>
  <si>
    <t>Decision Support Model for Raw Water Availability for Purification in a Region in Chile</t>
  </si>
  <si>
    <t>INTERNATIONAL JOURNAL OF COMPUTERS COMMUNICATIONS &amp; CONTROL</t>
  </si>
  <si>
    <t>This article proposes a decision model to identify the most sustainable solution(s) to ensure the availability of raw water to be subsequently treated to be converted into drinking water as a consequence of the climate change scenario, particularly the drought currently experienced by the Metropolitan Region in Chile, derived from the technical and regulatory requirements associated with the availability of water resources from its capture to its drink ability to meet the future demand of the region. From the perspective of drought, the solution must provide security levels that guarantee the availability of raw water is one of the main concerns of the stakeholders. In turn, the need to adapt current regulations regarding raw water sources, as well as community acceptance of some proposals for converting raw water into potable water and climate dependency, involve qualitative as well as technical aspects that may affect the investment and operating costs of the different solutions required to ensure raw water availability. Therefore, through a multi-criteria approach, it is possible to incorporate quantifiable and intangible aspects and to address conflicting objectives. Through a case study, we present a decision model based on the Analytic Hierarchy Process to define and evaluate the most sustainable solution(s) to secure raw water for drinking. This study proposes to integrate technical and qualitative attributes to identify the challenging criteria and the associated linkage to the problem of selecting proposals for the most sustainable solution(s) to secure raw water, being a guide to decide the implementation of the most appropriate solution.</t>
  </si>
  <si>
    <t>Palominos, Pedro/0000-0002-5695-3025</t>
  </si>
  <si>
    <t>1841-9836</t>
  </si>
  <si>
    <t>1841-9844</t>
  </si>
  <si>
    <t>10.15837/ijccc.2022.4.4863</t>
  </si>
  <si>
    <t>WOS:000829406100002</t>
  </si>
  <si>
    <t>Peña, JAL; Ortega, CMV</t>
  </si>
  <si>
    <t>Labra Pena, Jorge Andres; Vanegas Ortega, Carlos Mario</t>
  </si>
  <si>
    <t>DEVELOPMENT OF GEOMETRIC THOUGHT IN HIGH SCHOOL STUDENTS, WHEN THEY LEARN THE CONCEPT OF HOMOTHECY</t>
  </si>
  <si>
    <t>REVISTA LATINOAMERICANA DE INVESTIGACION EN MATEMATICA EDUCATIVA-RELIME</t>
  </si>
  <si>
    <t>The aim of this study is to characterize the development of levels of geometric thought in twelfth-grade chilean students, when they learn the concept of homothecy through a didactic sequence based on Van Hiele model. A qualitative methodology with a non-experimental design was used in this study for describing how the concept of homothecy transforms, and thus the geometric thought. A pretest-posttest design was used to evaluate the acquisition of the Van Hiele levels to strengthen the analysis of the qualitative data. The main results show a complete acquisition of Level 0 for most students. In addition, the proposed activities allowed the development of Level 0, and enabled the development of the first levels of acquisition of Level 1. This achievement is enhanced thanks to the manipulative and virtual resources used, the collaborative work among students and the sequencing of activities worked.</t>
  </si>
  <si>
    <t>Vanegas-Ortega, Carlos/N-2296-2014</t>
  </si>
  <si>
    <t>1665-2436</t>
  </si>
  <si>
    <t>2007-6819</t>
  </si>
  <si>
    <t>10.12802/relime.22.2514</t>
  </si>
  <si>
    <t>WOS:000848042700005</t>
  </si>
  <si>
    <t>Galvez, D; Delgado, L; Caceres, C; Villarroel, L</t>
  </si>
  <si>
    <t>Galvez, Daniel; Delgado, Lorena; Caceres, Christopher; Villarroel, Lucas</t>
  </si>
  <si>
    <t>Virtual laboratory, a learning resource for distance education</t>
  </si>
  <si>
    <t>2022 IEEE 28TH INTERNATIONAL CONFERENCE ON ENGINEERING, TECHNOLOGY AND INNOVATION (ICE/ITMC) &amp; 31ST INTERNATIONAL ASSOCIATION FOR MANAGEMENT OF TECHNOLOGY, IAMOT JOINT CONFERENCE</t>
  </si>
  <si>
    <t>International ICE Conference on Engineering Technology and Innovation</t>
  </si>
  <si>
    <t>Joint Conference of the IEEE 28th International Conference on Engineering, Technology and Innovation (ICE/ITMC) / 31st Conference of the International-Association-for-Management-of-Technology (IAMOT)</t>
  </si>
  <si>
    <t>JUN 19-23, 2022</t>
  </si>
  <si>
    <t>Nancy, FRANCE</t>
  </si>
  <si>
    <t>IEEE,Univ Lorraine,IEEE Technol &amp; Engn Management Soc,Int Assoc Management Technol,Res Network Innovat,ERPI,INP Ensgsi,EMRP,SIMPPE,Grand Est,Grp Actibac,ECTP,Inst Carnot,L OCTRI</t>
  </si>
  <si>
    <t>Distance education programs have grown rapidly in recent years and have become even more massive because of the restrictions on movement due to the covid 19 pandemic. The development of information technologies has helped this teaching modality to have good results due to its autonomy and flexibility, however, it has some points of improvement especially in activities of practical nature. Virtual laboratories appear as a tool to support this type of activities. The success of these laboratories depends on several factors, not only imitating a face-to-face laboratory. This article proposes a methodology to guide the process of design and development of immersive experiences that allow the realization of laboratory activities in distance education mode. The objective is to ensure that the development of this type of experience becomes a resource to help the teaching-learning process, ensuring its contribution to the achievement of learning outcomes, allowing the validation of the knowledge acquired by students and helping the professor in the teaching of the course. The proposed methodology considers the opinion of the coordinating committee of the distance education program, students and professors. Its application is presented through a case study of a distance education program of an industrial engineering school in a Chilean university.</t>
  </si>
  <si>
    <t>2334-315X</t>
  </si>
  <si>
    <t>978-1-6654-8817-4</t>
  </si>
  <si>
    <t>10.1109/ICE/ITMC-IAMOT55089.2022.10033177</t>
  </si>
  <si>
    <t>WOS:000972671500047</t>
  </si>
  <si>
    <t>Ross, C; Aguirre, FQ</t>
  </si>
  <si>
    <t>Ross, Cesar; Aguirre, Francisco Quiero</t>
  </si>
  <si>
    <t>Res non verba: Economic Reform's Evaluation in Authoritarian Regimes in South Korea and Chile, 1961-1989</t>
  </si>
  <si>
    <t>In last decades, neoliberal models of South Korea and Chile have been celebrated as exemplifier models of economic success. Nonetheless, both countries were criticized due the existence of military governments before their economic growth. We argue as hypothesis the reforms and design of new economic benchmarking process in both regimes explains the observed economic success. Concretely, both reforms follow their respectively Path Dependence: meanwhile Park implements an Export Oriented Industrialization (EOI) using Five Years Plans as a base, Pinochet returns to a Primary Exports Model (PEM) combining a closed economy monetarism (1973-1981) to pass just after to an open economy deindustrialization (1982-1989). Due both strategies and path dependencies are different, results will differ concerning WHEN economic growth occurs: with Park, will occur during his government; in the case of Pinochet, after his scavenging.</t>
  </si>
  <si>
    <t>10.35588/estudav.v0i37.5431</t>
  </si>
  <si>
    <t>WOS:000933168400004</t>
  </si>
  <si>
    <t>Garrido, RA; Lagos, C; Luna, C; Sánchez, J; Díaz, G</t>
  </si>
  <si>
    <t>Garrido, Rene A.; Lagos, Camila; Luna, Carolina; Sanchez, Jaime; Diaz, Georgina</t>
  </si>
  <si>
    <t>Study of the Potential Uses of Hydrochar from Grape Pomace and Walnut Shells Generated from Hydrothermal Carbonization as an Alternative for the Revalorization of Agri-Waste in Chile</t>
  </si>
  <si>
    <t>A myriad of resources and efforts have been devoted to assessing the possibilities of using locally sourced biomass to produce energy, reduce CO2 emissions, and, in turn, lower dependance on petroleum. Grape pomace (GP) and walnut shells (WS) are organic waste generated in Chile. Within the last decade, the potential benefits and application of biomass have received significant attention, both in terms of producing functionalized carbon materials, and the various potential applications in the field of energy storage and environmental protection. The proposed research motivation is on the development of carbonous materials through thermal decomposition processes. Few researchers have addressed the idea of developing a multipurpose carbonaceous matrix from hydrochar, and there remains a need for an efficient method to obtain hydrochar specially from grape pomace. Hence, the general objective of this research is to study the potential of grape pomace and walnut shells treated with hydrothermal carbonization (HTC) as an alternative low-cost and efficient carbonous matrix. Proximate and elemental analysis was determined to distinguish the nature of the feedstock along with the hydrochar produced. Yield and reaction severity were also studied to study the impacts of temperature and residence time for both feedstocks. Successful results from the proposed work have broad applications for increasing the sustainability biomass applications, contributing to a positive economic impact.</t>
  </si>
  <si>
    <t>Julia, Carolina/MGT-8418-2025; Garrido, Rene/I-6852-2018</t>
  </si>
  <si>
    <t>Garrido, Rene/0000-0003-1259-0995</t>
  </si>
  <si>
    <t>10.3390/su132212600</t>
  </si>
  <si>
    <t>WOS:000725554200001</t>
  </si>
  <si>
    <t>Maldonado, C; Méndez, F</t>
  </si>
  <si>
    <t>Maldonado, Carlos; Mendez, Fernando</t>
  </si>
  <si>
    <t>Bimetric universe with matter</t>
  </si>
  <si>
    <t>We analyze the early stage of evolution of a universe with two scale factors proposed in Falomir et al. [Phys. Rev. D 96, 083534 (2017)]. when matter is present. The scale factors describe two causally disconnected patches of the universe interacting trough a nontrivial Poisson bracket structure in the momentum sector characterized by one parameter kappa. We studied two scenarios in which one of the patches is always filled with relativistic matter while the other contains relativistic matter in one case, and nonrelativistic matter in the second case. By solving numerically the set of equations governing the dynamics, we found that the energy content of one sector drains to the other and from here it is possible to constrain the deformation parameter. by supposing that the decay of the energy density happens, at most, at the Big Bang Nucleosynthesis temperature in order to return to the usual behavior of radiation. The relation with nonstandard cosmologies is also addressed.</t>
  </si>
  <si>
    <t>Maldonado, Carlos/0000-0001-7929-1733; Mendez, Fernando/0000-0002-9257-9552</t>
  </si>
  <si>
    <t>JUN 3</t>
  </si>
  <si>
    <t>10.1103/PhysRevD.103.123505</t>
  </si>
  <si>
    <t>WOS:000661795300002</t>
  </si>
  <si>
    <t>Sapiaín, MR</t>
  </si>
  <si>
    <t>Rodriguez Sapiain, Matias</t>
  </si>
  <si>
    <t>The Social Workers Congress: The faces of union support for the dictatorship of Carlos Ibanez del Campo (1927-1929)</t>
  </si>
  <si>
    <t>This article focuses on the support that the Congreso Social Obrero (CSO) gave to the dictatorship of Carlos Ibanez del Campo (1927-1931). Until the establishment of the dictatorial regime, this organization remained aside from political conflicts, emphasizing its mutual orientation. This paper analyzes three phenomena: the strategic alliance between the CSO and the dictatorship on the Obligatory Workers Insurance Law, the levels of identification of the organization with the corporatist postulates and the Convencion Nacional de Obreros y Asalariados of 1929 where played an important role. I propose that, due to the type of corporatist worker participation promoted byIbanez, the CSO enjoyed a privileged position that it used to install its demands in the political environment of the 1927 dictatorship.</t>
  </si>
  <si>
    <t>WOS:000706614500017</t>
  </si>
  <si>
    <t>Urrea, C; Kern, J; López-Escobar, R</t>
  </si>
  <si>
    <t>Urrea, Claudio; Kern, John; Lopez-Escobar, Ricardo</t>
  </si>
  <si>
    <t>Design and implementation of a fault-tolerant system for industrial robots under hostile operating conditions</t>
  </si>
  <si>
    <t>COMPUTERS &amp; ELECTRICAL ENGINEERING</t>
  </si>
  <si>
    <t>This paper presents the design and implementation of a strategy for protecting trajectory data that will be executed by industrial robots working under hostile operating conditions. Specifically, the Controller Area Network protocol is used to send information about trajectories between two terminals: the controller and the robot. To prevent the adverse effects of corrupt information on robot performance, information is protected through a convolutional code. In this way, the receptor detects and corrects the bits damaged during communication. The communication system designed is validated by assessing the performance of a 3-DoF(1) planar robot that executes default trajectories under hostile operating conditions. The controller response is evaluated under communication disturbances by means of performance indexes and considering two scenarios: with or without the convolutional code designed.</t>
  </si>
  <si>
    <t>Lopez Escobar, Ricardo/0000-0001-7619-4735; Urrea, Claudio/0000-0001-7197-8928</t>
  </si>
  <si>
    <t>0045-7906</t>
  </si>
  <si>
    <t>1879-0755</t>
  </si>
  <si>
    <t>10.1016/j.compeleceng.2020.106951</t>
  </si>
  <si>
    <t>WOS:000643671500008</t>
  </si>
  <si>
    <t>Garrido, A; Lacoste, P</t>
  </si>
  <si>
    <t>Garrido, Aldo; Lacoste, Pablo</t>
  </si>
  <si>
    <t>Remembrances of Colonel Ezequiel Apodaca: Between Canchas Blancas and 'Singani' as a national liquor</t>
  </si>
  <si>
    <t>This article offers a critical analysis of the book Remembrances of Colonel Ezequiel Apodaca (1880), which was published in 2017 in a context of significant controversy. The main objective is to ascertain the authenticity of the text. We establish that the main part (diary of a Bolivian official) is plausible, but not a complementary text (written by Lino Morales), which appears to be false. We thus conclude that there is no evidence to support the thesis of Canchas Blancas as being an important battle. However, the authentic source does provide important contributions on other issues, such as agricultural-food heritage. For example, this document shows the origins of Singani which has become one of Bolivia's national liquors, providing important historical background that contributes to our understanding of the evolution of Andean distilled liquors in South America.</t>
  </si>
  <si>
    <t>Garrido Quiroz, Aldo/0000-0003-2504-2955</t>
  </si>
  <si>
    <t>10.4067/S0719-09482021000100180</t>
  </si>
  <si>
    <t>WOS:000680822300008</t>
  </si>
  <si>
    <t>Araneda, SG</t>
  </si>
  <si>
    <t>Gonzalez Araneda, Sergio</t>
  </si>
  <si>
    <t>Between imagination and representation. About the aesthetics of the spectacle and the imaginary potency of existence</t>
  </si>
  <si>
    <t>ESCRITURA E IMAGEN</t>
  </si>
  <si>
    <t>Based on the philosophical reflections of Guy Debord, we attempt to rethink the intersection between spectacle and metaphysics of the image in a context of secular anarchic capitalism. For this, we take as a guide of analysis the genesis and constitution of an aesthetics of the spectacle that deploys and signifies the world as a simple representation of the real. In a second moment, and with the presence of Benjamin, Agamben and Heidegger, the latency of capitalism as a religion will become clear, within the constellation of an all-encompassing and technified capitalism. Finally, we will show the modality in which the metaphysics of the image, administered by a given technique of operativity, becomes a fundamental, representative and static order of meaning. From this context, we propose a theoretical and practical possibility to disarticulate the representational (and representative) spectacle from what we call the imaginative power of existence.</t>
  </si>
  <si>
    <t>Gonzalez, Sergio/KPJ-6764-2024</t>
  </si>
  <si>
    <t>1885-5687</t>
  </si>
  <si>
    <t>1988-2416</t>
  </si>
  <si>
    <t>10.5209/esim.78932</t>
  </si>
  <si>
    <t>WOS:000731356200001</t>
  </si>
  <si>
    <t>Lizana, C; Altamirano, P</t>
  </si>
  <si>
    <t>Lizana, Carlos; Altamirano, Paula</t>
  </si>
  <si>
    <t>Selk'nam cultural reappraisal: views from the production of cultural artistic works based on ethnicity</t>
  </si>
  <si>
    <t>This article analyzes the cultural reassessment of the Selk'nam folk embedded in artistic and cultural works inspired by these indigenous people through the perspective of their cultural producers. Such appraisal happens simultaneously to the process of social awareness raised by Selk'nam descendants. Cultural producers' discourses about their works blend with the current affairs in Chilean society, fueling key dimensions in the cultural debate: aesthetic, consumerism, and colonialism. Under a qualitative frame, we explore the dynamics and assumptions behind the artworks reviewed. Well-informed about the current social environment, the key interviewees consider their labor as a tool to visibility and, eventually, to decolonizing. Nonetheless, at the same time, the study also highlights that these artworks unfold, for good or bad, under a frame of cultural commodification of identities based upon appealing visual forms of the Selk'nam people.</t>
  </si>
  <si>
    <t>10.5354/0719-1529.2021.58763</t>
  </si>
  <si>
    <t>WOS:000669453600011</t>
  </si>
  <si>
    <t>Quiroz, J; Soto, I; Toledo-Mercado, E; Chávez, H; Zamorano-Illanes, R; Pereira-Mendoza, J</t>
  </si>
  <si>
    <t>Quiroz, Juan; Soto, Ismael; Toledo-Mercado, Esteban; Chavez, Hector; Zamorano-Illanes, Raul; Pereira-Mendoza, Jonathan</t>
  </si>
  <si>
    <t>A non-linear regression model for inertia identification using synchrophasors and Big Data</t>
  </si>
  <si>
    <t>This work proposes a model for inertia identification of an electrical power system. A non-linear regression is used from a mathematical model that relates power and frequency variation, obtained from a synchrophasor network. Fitting of the non-linear regressions processed with Big Data, from the PMU and the different real generation contingencies, obtained from the national system operator, are presented.</t>
  </si>
  <si>
    <t>10.1109/ICAACCA51523.2021.9465263</t>
  </si>
  <si>
    <t>WOS:000855764500063</t>
  </si>
  <si>
    <t>Verdejo, H; Becker, C</t>
  </si>
  <si>
    <t>Verdejo, Humberto; Becker, Cristhian</t>
  </si>
  <si>
    <t>The Erratic Implementation of Measuring, Monitoring and Control System (MMCS) in Chile: The crisis on smart meters</t>
  </si>
  <si>
    <t>ENERGY REPORTS</t>
  </si>
  <si>
    <t>The implementation of the Measuring, Monitoring and Control System (MMCS) in Chile was the key element of the most important regulatory and political crisis which has affected the Chilean electric sector. In the news this period was named as smart-meters crisis. This crisis was also one of the elements that contributed to the social outburst in October 2019. This paper presents both the technical and regulatory background that explain the failure of a public policy intended to modernize the electric distribution grid. It is described the arguments that promoted the investment of the companies on the MMCS, the antecedents that lead the Government to eliminate the obligations opting for the voluntariness in relation to the change of smart meters during the implementation process and the dilemma generated with regards to the pilot projects developed by some electrical distribution companies. Finally, a solution is proposed for the smart-meter's property dilemma. (C) 2020 The Author(s). Published by Elsevier Ltd.</t>
  </si>
  <si>
    <t>2352-4847</t>
  </si>
  <si>
    <t>10.1016/j.egyr.2020.08.005</t>
  </si>
  <si>
    <t>WOS:000602739800013</t>
  </si>
  <si>
    <t>Vidal, A; Parada, R; Mendoza, L; Cotoras, M</t>
  </si>
  <si>
    <t>Vidal, Araceli; Parada, Rodolfo; Mendoza, Leonora; Cotoras, Milena</t>
  </si>
  <si>
    <t>Endophytic Fungi Isolated from Plants Growing in Central Andean Precordillera of Chile with Antifungal Activity against Botrytis cinerea</t>
  </si>
  <si>
    <t>JOURNAL OF FUNGI</t>
  </si>
  <si>
    <t>Botrytis cinereais an important phytopathogenic fungus affecting the fruit production around the world. This fungus is controlled mainly by using synthetic fungicides, but many resistant isolates have been selected by the indiscriminate use of fungicides. Endophytic fungi or secondary metabolites obtained from them become an alternative method of control for this fungus. The aim of this work was to identify endophytic fungi with antifungal activity against the plant pathogenic fungusB. cinereaisolated from plants from Central Andean Precordillera of Chile. Three endophytic fungi (Ac1, Lc1 and Ec1) with antifungal activity againstB. cinereawere isolated from native and endemic plants growing in Central Andean Precordillera of Chile. The isolates Lc1 (isolated fromLithraea caustica) and Ac1 (isolated fromAcacia caven) were identified asAlternariaspp. and the isolate Ec1 (isolated fromEchinopsis chiloensis) was identified asAureobasidiumspp. The isolated endophytic fungi would inhibitB. cinereathrough the secretion of diffusible and volatile compounds affecting the mycelial growth, conidia germination and interestingly, it was also shown that the volatile compounds produced by the three isolated endophytic fungi suppressed the sporulation ofB. cinerea.</t>
  </si>
  <si>
    <t>2309-608X</t>
  </si>
  <si>
    <t>10.3390/jof6030149</t>
  </si>
  <si>
    <t>WOS:000580707900001</t>
  </si>
  <si>
    <t>Bravo, JLP</t>
  </si>
  <si>
    <t>Poblete Bravo, Jose Luis</t>
  </si>
  <si>
    <t>English pronunciation &amp; accents: Geo-social applications of the natural phonetics &amp; tonetics method</t>
  </si>
  <si>
    <t>JOURNAL OF THE INTERNATIONAL PHONETIC ASSOCIATION</t>
  </si>
  <si>
    <t>0025-1003</t>
  </si>
  <si>
    <t>1475-3502</t>
  </si>
  <si>
    <t>10.1017/S0025100318000178</t>
  </si>
  <si>
    <t>WOS:000560019300011</t>
  </si>
  <si>
    <t>Páez, MA</t>
  </si>
  <si>
    <t>Paez, Maritza Angelica</t>
  </si>
  <si>
    <t>Preface for special issue on the occasion of Jose H. Zagal 70th birthday</t>
  </si>
  <si>
    <t>paez, maritza/0000-0001-5881-884X</t>
  </si>
  <si>
    <t>10.1007/s10008-020-04675-2</t>
  </si>
  <si>
    <t>WOS:000539671800002</t>
  </si>
  <si>
    <t>Carrizo, JPA</t>
  </si>
  <si>
    <t>Arancibia Carrizo, Juan Pablo</t>
  </si>
  <si>
    <t>The stasis and the tragedy of democracy</t>
  </si>
  <si>
    <t>HYBRIS-REVISTA DE FILOSOFIA</t>
  </si>
  <si>
    <t>The article examines the relationship between tragedy and Greek democracy starting from the category of stasis. Focused on this notion, the text proposes two exercises that articulate and demonstrate the relationship between tragedy and democracy. First, it focuses on the question about the stasis and how this relationship will be conceptualized in the investigation by examining five dimensions contained in that category: the eristic conception of language; the notion of agon as a political principle of conflict; the notion of ergon as a conception of political action; the ethical substance that inspires it; and the event of excessiveness contained in the notion of hybris. Second, the text examines and identifies, in a preliminary way, a relationship of tension and distinction between the Greek concepts of stasis and polemos, both present and constitutive in the configuration of tragedy and Greek democracy. Through these two exercises the text postulates the possibility of a genealogical thinking about the tragic character of democracy.</t>
  </si>
  <si>
    <t>0718-8382</t>
  </si>
  <si>
    <t>10.5281/zenodo.3872132</t>
  </si>
  <si>
    <t>WOS:000538173100003</t>
  </si>
  <si>
    <t>Arratia, LRC; Zaá, MZ</t>
  </si>
  <si>
    <t>Canete Arratia, Lucio Raul; Zamora Zaa, Margarita</t>
  </si>
  <si>
    <t>A sea of benefits: health effects of marine baths in Chile</t>
  </si>
  <si>
    <t>Dozens of scientific studies show the importance of the environment in the health of people where in our country with its geographical diversity, Climatotherapy as practice has not yet received much attention. This situation has led to an underutilization of the Chilean Sea where despite the extensive coastline and the geometric proximity of the vast majority of the inhabitants to that edge, there is no public policy that encourages baths at sea for various demands for improvements in The health of the Chilean population. Given this, this chapter shows some of the benefits that sea bathing would cause in skin diseases such as psoriasis, in the relief of respiratory diseases such as sinusitis, in the recovery of musculoskeletal injuries and confirming the reduction of both obesity and in stress. With this information, a public policy is proposed that does not increase the state complexity, which is based mainly on the communication to families and companies of the benefits of sea baths in health so that sustainable activities are carried out on the coast with scopes throughout the national territory. It will no longer matter that it is cloudy on the Chilean coast, that the ambient temperature is colder, that the days have fewer daylight hours and that there are no festivals; because Humboldt's current with his health works all year</t>
  </si>
  <si>
    <t>WOS:000608874800011</t>
  </si>
  <si>
    <t>Marchant, PS</t>
  </si>
  <si>
    <t>Marchant, Pablo Solorzano</t>
  </si>
  <si>
    <t>Management of Transversal Formation: Citizen Formation in moral ethics, and its relationship with love and Self-Care</t>
  </si>
  <si>
    <t>JAN-JUL</t>
  </si>
  <si>
    <t>10.29344/07180772.34.2367</t>
  </si>
  <si>
    <t>WOS:000551246700008</t>
  </si>
  <si>
    <t>Salgado, A</t>
  </si>
  <si>
    <t>Salgado, Alfonso</t>
  </si>
  <si>
    <t>Sovereign Emergencies: Latin America and the Making of Global Human Rights Politics</t>
  </si>
  <si>
    <t>JOURNAL OF CONTEMPORARY HISTORY</t>
  </si>
  <si>
    <t>0022-0094</t>
  </si>
  <si>
    <t>1461-7250</t>
  </si>
  <si>
    <t>10.1177/0022009419896481q</t>
  </si>
  <si>
    <t>WOS:000510772500027</t>
  </si>
  <si>
    <t>Fredes, P; Raff, U; Gramsch, E; Pascal, J; Cuenca, J</t>
  </si>
  <si>
    <t>Fredes, P.; Raff, U.; Gramsch, E.; Pascal, J.; Cuenca, J.</t>
  </si>
  <si>
    <t>Junction temperature control of UV-C LEDs based on a thermoelectric cooler device</t>
  </si>
  <si>
    <t>MICROELECTRONICS RELIABILITY</t>
  </si>
  <si>
    <t>Junction temperature (T-J) control is mandatory to improve the optical efficiency, lifetime and the wavelength accuracy of the UV-C LED light sources. Thermoelectric cooler devices allow a critical control of the junction temperature, based on direct measurement of the solder point temperature. A PID control technique was implemented to control the voltage in the TEC devices and therefore the desired range of junction temperatures. The PID parameters are obtained with computational simulations based on physical models and experimental recordings of the solder temperature dynamics. Optical performance improves is demonstrated and the better lifetime could be achieved.</t>
  </si>
  <si>
    <t>Fredes, Pablo/AAK-3434-2020; Gramsch, Ernesto/M-5507-2017</t>
  </si>
  <si>
    <t>Pascal, Jose Luis/0000-0002-2247-2282; Gramsch, Ernesto/0000-0002-6787-7355; Fredes, Pablo/0000-0002-4546-5245</t>
  </si>
  <si>
    <t>0026-2714</t>
  </si>
  <si>
    <t>10.1016/j.microrel.2019.04.011</t>
  </si>
  <si>
    <t>WOS:000472692700004</t>
  </si>
  <si>
    <t>Peña, R; Chávez, R; Rodríguez, A; Ganga, MA</t>
  </si>
  <si>
    <t>Pena, Ruben; Chavez, Renato; Rodriguez, Arturo; Angelica Ganga, Maria</t>
  </si>
  <si>
    <t>A Control Alternative for the Hidden Enemy in the Wine Cellar</t>
  </si>
  <si>
    <t>FERMENTATION-BASEL</t>
  </si>
  <si>
    <t>Brettanomyces bruxellensis has been described as the principal spoilage yeast in the winemaking industry. To avoid its growth, wine is supplemented with SO2, which has been questioned due to its potential harm to health. For this reason, studies are being focused on searching for, ideally, natural new antifungals. On the other hand, it is known that in wine production there are a variety of microorganisms, such as yeasts and bacteria, that are possible biological controls. Thus, it has been described that some microorganisms produce antimicrobial peptides, which might control yeast and bacteria populations. Our laboratory has described the Candida intermedia LAMAP1790 strain as a natural producer of antimicrobial compounds against food spoilage microorganisms, as is B. bruxellensis, without affecting the growth of S. cerevisiae. We have demonstrated the proteinaceous nature of the antimicrobial compound and its low molecular mass (under 10 kDa). This is the first step to the possible use of C. intermedia as a selective bio-controller of the contaminant yeast in the winemaking industry.</t>
  </si>
  <si>
    <t>Ganga, Maria/S-8176-2019; Rodriguez, Arturo/I-7205-2016</t>
  </si>
  <si>
    <t>Chavez, Renato/0000-0003-1754-3610; Pena, Ruben/0000-0002-8246-1008; Rodriguez, Arturo/0000-0002-8383-6561</t>
  </si>
  <si>
    <t>2311-5637</t>
  </si>
  <si>
    <t>MAR 6</t>
  </si>
  <si>
    <t>10.3390/fermentation5010025</t>
  </si>
  <si>
    <t>WOS:000464262400001</t>
  </si>
  <si>
    <t>Llorca-Jaña, M; Navarrete-Montalvo, J; Droller, F; Araya-Valenzuela, R</t>
  </si>
  <si>
    <t>Llorca-Jana, Manuel; Navarrete-Montalvo, Juan; Droller, Federico; Araya-Valenzuela, Roberto</t>
  </si>
  <si>
    <t>Height in eighteenth-century Chilean men: Evidence from military records, 1730-1800s</t>
  </si>
  <si>
    <t>This article provides the first height estimates for the adult population for any period of Chilean history. Based on military records, it gives an analysis of the average heights of male soldiers in the last eight decades of the colonial period, c.1730-1800s. The average height of Chilean men was around 167 centimetres, making them on average taller than men from Mexico, Italy, Portugal, Spain and Venezuela, but of a similar height to men from Sweden. However, Chilean men were clearly shorter than men in neighbouring Argentina, the USA and the UK. Chilean height remained stable during the 1740-1770s, but it declined by some 2-3 centimetres between the 1780 s and the 1800s, in line with a fall in real wages due to increasing food prices and population growth. (C) 2018 Elsevier B.V. All rights reserved.</t>
  </si>
  <si>
    <t>Llorca-Jaña, Manuel/AAB-9317-2020; Droller, Federico/S-7630-2019</t>
  </si>
  <si>
    <t>10.1016/j.ehb.2018.03.004</t>
  </si>
  <si>
    <t>WOS:000433649300015</t>
  </si>
  <si>
    <t>Alarcón, C; Jamett, M</t>
  </si>
  <si>
    <t>DuranFaundez, C; Lefranc, G; FernandezFernandez, M; Munoz, C; Rubio, E</t>
  </si>
  <si>
    <t>Alarcon, Cristian; Jamett, Marcela</t>
  </si>
  <si>
    <t>Autonomous Multirrotor Design and Simulation for Search and Rescue Missions</t>
  </si>
  <si>
    <t>2018 IEEE INTERNATIONAL CONFERENCE ON AUTOMATION/XXIII CONGRESS OF THE CHILEAN ASSOCIATION OF AUTOMATIC CONTROL (ICA-ACCA)</t>
  </si>
  <si>
    <t>IEEE International Conference on Automation (ICA) / 23rd Congress of the Chilean-Association-of-Automatic-Control (ACCA)</t>
  </si>
  <si>
    <t>OCT 17-19, 2018</t>
  </si>
  <si>
    <t>IEEE,IEEE Chile Sect,Chilean Assoc Automat Control,Univ Bio Bio</t>
  </si>
  <si>
    <t>In this work an autonomous multirrotor system applied to search and rescue missions is designed and simulated. This is achieved using RotorS platform, which allows to design a modular multirrotor system. The simulated multirrotor system is based in a quadrotor, an inertial measurement unit, an autopilot system, and a downward looking camera. Through the images captured by the camera, a visual odometry algorithm is simulated, obtaining multirrotor position and orientation without relying on an external location system or GPS. This gives the posibility to simulate search and rescue missions in several emergency situations modeled in RotorS as well as a testing platform for autonomous algorithms applied to multirrotors, either in search and rescue missions or other future applications, without having to expose a real system to possible damages or failures. In addition, because it is a modular design simulation environment, the multirrotor system can be modified to add new functions allowing it to be applied in various situations where autonomous control is required.</t>
  </si>
  <si>
    <t>Jamett, Marcela/HLH-3427-2023</t>
  </si>
  <si>
    <t>978-1-5386-5586-3</t>
  </si>
  <si>
    <t>WOS:000458417600117</t>
  </si>
  <si>
    <t>Araya-Valenzuela, R; Llorca-Jana, M</t>
  </si>
  <si>
    <t>Araya-Valenzuela, Roberto; Llorca-Jana, Manuel</t>
  </si>
  <si>
    <t>The birth of joint stock companies in Chile (1849-1875)</t>
  </si>
  <si>
    <t>REVISTA DE HISTORIA INDUSTRIAL</t>
  </si>
  <si>
    <t>This article deals with the emergence of joint stock companies (JSC) in Chile during the third quarter of the nineteenth century. We have built the first database related to JSC for this period, providing useful information about its demography. We found that: JSC funded the emergence of new key industries fostering economic growth; there was a high level of concentration in JSC ownership; most shareholders were Chilean, which means that the main investment projects in mining, banking and transport were funded with national capital; Chilean businessmen were active in mobilizing capital funds and adopting new technologies. The entrepreneurial spirit shown by local businessmen, be they miners, bankers, agriculturalists or traders, is undeniably present, in a transitional phase to capitalism.</t>
  </si>
  <si>
    <t>1132-7200</t>
  </si>
  <si>
    <t>WOS:000461189200002</t>
  </si>
  <si>
    <t>MAD WOMEN: APPROACHES TO GABRIELA MISTRAL'S POETRY AND ITS CONTEXTS</t>
  </si>
  <si>
    <t>INSULA-REVISTA DE LETRAS Y CIENCIAS HUMANAS</t>
  </si>
  <si>
    <t>0020-4536</t>
  </si>
  <si>
    <t>WOS:000430247400002</t>
  </si>
  <si>
    <t>Ibacache, LT</t>
  </si>
  <si>
    <t>Toro Ibacache, Lenissett</t>
  </si>
  <si>
    <t>Japanese Foreign Security Policy: History and Theory GENERAL CONCLUSIONS</t>
  </si>
  <si>
    <t>POLITICA EXTERIOR DE SEGURIDAD JAPONESA: HISTORIA Y TEORIA</t>
  </si>
  <si>
    <t>978-956-8416-67-6</t>
  </si>
  <si>
    <t>WOS:000608876200006</t>
  </si>
  <si>
    <t>Contreras, S; Henríquez-Vargas, L; Alvarez, PI</t>
  </si>
  <si>
    <t>Contreras, Sara; Henriquez-Vargas, Luis; Ivan Alvarez, Pedro</t>
  </si>
  <si>
    <t>Arsenic transport and adsorption modeling in columns using a copper nanoparticles composite</t>
  </si>
  <si>
    <t>Adsorption effectivity of a new composite with copper nanoparticles on polyamide support, PA-NCu in fixed bed columns was assessed to treat a continuous flow of water with arsenic, having previously determined the equilibrium parameters at a batch level. The experimental results allowed to calibrate and validate a transport model, which includes a retardation factor based on a Langmuir equilibrium and an additional As decay reaction. The retardation factor is dependent of the adsorption capacity of the PA-NCu and the As concentration, with greater incidence at the process beginning where the adsorption predominated and until breakthrough time, tending to decrease towards adsorbent saturation. The retardation increased significantly with the real adsorption capacity and less so with the decrease of the initial As concentration, which improved the composite's adsorption capacity when compared to a retardation based on a linear equilibrium. The decay reaction's effect is minimum during the initial stage but influences the saturation levels achieved. The model allowed to predict the effect of the adsorption capacity in columns as a function of the composite's characteristics and the initial As concentration, which allows us to infer that improving the support type and increasing the nanoparticles availability will advance towards its use in field applications.</t>
  </si>
  <si>
    <t>10.1016/j.jwpe.2017.08.001</t>
  </si>
  <si>
    <t>WOS:000431411100027</t>
  </si>
  <si>
    <t>THE POISSON DISTRIBUTION, ABSTRACT FRACTIONAL DIFFERENCE EQUATIONS, AND STABILITY</t>
  </si>
  <si>
    <t>We study the initial value problem (*) {C Delta(alpha)u(n) = Au(n + 1), n is an element of N-0; u(0) = u(0) is an element of X, when A is a closed linear operator with domain D(A) defined on a Banach space X. We introduce a method based on the Poisson distribution to show existence and qualitative properties of solutions for the problem (*), using operator-theoretical conditions on A. We show how several properties for fractional differences, including their own definition, are connected with the continuous case by means of sampling using the Poisson distribution. We prove necessary conditions for stability of solutions, that are only based on the spectral properties of the operator A in the case of Hilbert spaces.</t>
  </si>
  <si>
    <t>10.1090/proc/12895</t>
  </si>
  <si>
    <t>WOS:000404113200015</t>
  </si>
  <si>
    <t>A global enterprise of trade and lending</t>
  </si>
  <si>
    <t>WOS:000458913900006</t>
  </si>
  <si>
    <t>Cabezas, R; Plaza, A; Merlet, G; Romero, J</t>
  </si>
  <si>
    <t>Cabezas, R.; Plaza, A.; Merlet, G.; Romero, J.</t>
  </si>
  <si>
    <t>Effect of fluid dynamic conditions on the recovery of ABE fermentation products by membrane-based dense gas extraction</t>
  </si>
  <si>
    <t>CHEMICAL ENGINEERING AND PROCESSING-PROCESS INTENSIFICATION</t>
  </si>
  <si>
    <t>This work is focused on the application of membrane-based supercritical fluid extraction for the removal of fermentation products from an ABE (acetone/butanoliethanol) mixture. The extraction process was implemented in a hollow fiber contactor where the liquid fed was circulated in the lumenside. Meanwhile, the extraction phase was dense carbon dioxide, circulated through the shell. A model solution, containing the three representative products of ABE fermentation broths was fed to the single PIPE fiber contactor with flow rates varying from 0.1 to 1.5 mL min(-1). Dense CO2 with pressures between 7.0 and 9.0 MPa at 40 degrees C was circulated in countercurrent configuration. Experimental extraction percentages reached 70%, 50% and 27% for acetone, butanol and ethanol, respectively, in a single extraction step. When pressure was 9.0 MPa and liquid feed flow rate was higher than 0.5 mL min(-1), the extraction percentage of solutes and its transmembrane fluxes showed an unexpected decreasing, which was described by means of a phenomenological transfer model with variable membrane wettability. Thus, it has been demonstrated that the higher flow rates and pressure values can involve instability of the interface formed at the pore entrance and the liquid feed solution can penetrates into the membrane pores. (C) 2015 Elsevier B.V. All rights reserved.</t>
  </si>
  <si>
    <t>Romero, Julio/I-6705-2013; Cabezas, Rene/AAY-2094-2020; Merlet Venturelli, Gaston/B-4109-2019</t>
  </si>
  <si>
    <t>Romero, Julio/0000-0002-1229-1592; Cabezas, Rene/0000-0002-4162-3429; Merlet Venturelli, Gaston/0000-0003-2602-6471; Plaza, Andrea/0000-0001-9475-007X</t>
  </si>
  <si>
    <t>0255-2701</t>
  </si>
  <si>
    <t>1873-3204</t>
  </si>
  <si>
    <t>10.1016/j.cep.2015.04.003</t>
  </si>
  <si>
    <t>WOS:000361258100010</t>
  </si>
  <si>
    <t>Sepulveda, JM; Derpich, IS</t>
  </si>
  <si>
    <t>Sepulveda, J. M.; Derpich, I. S.</t>
  </si>
  <si>
    <t>Multicriteria Supplier Classification for DSS: Comparative Analysis of Two Methods</t>
  </si>
  <si>
    <t>In this paper the analysis of two multicriteria decision making (MCDM) methods for sorting suppliers in industrial environments is presented. The MCDM methods correspond to Electre and Flow Sort and both are applied to the classification of providers in an actual case of the local softdrink bottling industry in Chile. The results show that Electre as an outranking method it may well classify suppliers in a similar manner as Flow Sort does. Nevertheless, due to the intrinsic underlying fuzzy multicriteria nature of the problem, Flow Sort is found to be more suitable method for building a rule-based system based on preference functions for automating the process of suppliers clustering when developing strategies of relationship management in the sense of the Kraljic categories in supply chain management.</t>
  </si>
  <si>
    <t>derpich, ivan/T-1160-2019</t>
  </si>
  <si>
    <t>Sepulveda, Juan M./0000-0003-3755-0981; Derpich, Ivan/0000-0001-9759-7285</t>
  </si>
  <si>
    <t>10.15837/ijccc.2015.2.1755</t>
  </si>
  <si>
    <t>WOS:000349814800009</t>
  </si>
  <si>
    <t>Carcamo, D; Gamboa, J; Pino, M</t>
  </si>
  <si>
    <t>Carcamo, D.; Gamboa, J.; Pino, M.</t>
  </si>
  <si>
    <t>Higgs model coupled to dark photons</t>
  </si>
  <si>
    <t>A dark sector containing a Higgs field and a dark photon coupled to visible photons via a small kinetic mixing is considered. The mass of the dark gauge boson becomes rescaled by the parameter involved in the kinetic mixing. We also calculate the total annihilation cross-section for scalar Higgs interacting with an external field and show that exhibits Sommerfeld enhancement. The model can be extended to a SU(3) x SU(2) x U(1) dark sector. The mass of the dark Z boson increases due to the kinetic mixing.</t>
  </si>
  <si>
    <t>Pino, Miguel/G-7510-2015; Gamboa, Jorge/R-8744-2019</t>
  </si>
  <si>
    <t>Gamboa, Jorge/0000-0001-7992-7199; Pino, Miguel/0000-0002-7612-4515</t>
  </si>
  <si>
    <t>MAR 7</t>
  </si>
  <si>
    <t>10.1142/S0217732315500303</t>
  </si>
  <si>
    <t>WOS:000350349400003</t>
  </si>
  <si>
    <t>Lara, A; Urrea, C; Barbosa, KA</t>
  </si>
  <si>
    <t>Fernandez, MF; Lefranc, GH; Perez, R</t>
  </si>
  <si>
    <t>Lara, Andres; Urrea, Claudio; Barbosa, Karina A.</t>
  </si>
  <si>
    <t>Controller design of Industrial Cooperative Robots</t>
  </si>
  <si>
    <t>2015 CHILEAN Conference on Electrical, Electronics Engineering, Information and Communication Technologies (CHILECON)</t>
  </si>
  <si>
    <t>OCT 28-30, 2015</t>
  </si>
  <si>
    <t>Santiago De Chile, CHILE</t>
  </si>
  <si>
    <t>Univ Cent Chile UCEN,IEEE Consejo Cono Sur,Assoc Chilena Control Automat ACCA</t>
  </si>
  <si>
    <t>This paper deals with the design of control laws to industrial cooperative robotics. The main goal is to design and compare the behavior of different control structure in order to get an effective coordination of two manipulators. It is assumed that both manipulators have the same dynamical and a master slave strategy is used. For both master and slave manipulators, a combinations of PID and fuzzy PD control strategy are proposed. A numerical simulation is presented in order to compare the proposed controllers.</t>
  </si>
  <si>
    <t>Barbosa, Karina/A-2236-2014; Claudio, URREA/KWU-1600-2024</t>
  </si>
  <si>
    <t>978-1-4673-8756-9</t>
  </si>
  <si>
    <t>WOS:000380551100013</t>
  </si>
  <si>
    <t>Mendoza, L; Reyes, EG</t>
  </si>
  <si>
    <t>Mendoza, Lida; Reyes, Enrique G.</t>
  </si>
  <si>
    <t>Massey products, A∞-algebras, differential equations, and Chekanov homology</t>
  </si>
  <si>
    <t>JOURNAL OF NONLINEAR MATHEMATICAL PHYSICS</t>
  </si>
  <si>
    <t>We consider (classical and generalized) Massey products on the Chekanov homology of a Legendrian knot, and we prove that they are invariant under Legendrian isotopies. We also construct a minimal A-algebra structure on the Chekanov algebra of a Legendrian knot, we prove that this structure is invariant under Legendrian isotopy, and we observe that its higher multiplications allow us to find representatives for classical Massey products. Finally, we consider differential equations: we remark that the Massey product Legendrian invariants admit a dynamical interpretation, in the sense that they provide solutions for a Maurer-Cartan equation posed on an infinite-dimensional bigraded Lie algebra, and we show how to set up and solve a (twisted) Kadomtsev-Petviashvili hierarchy of equations starting from the Chekanov algebra of a Legendrian knot.</t>
  </si>
  <si>
    <t>Reyes, Enrique/AAD-1308-2019</t>
  </si>
  <si>
    <t>Reyes, Enrique G./0000-0001-8460-444X</t>
  </si>
  <si>
    <t>1402-9251</t>
  </si>
  <si>
    <t>1776-0852</t>
  </si>
  <si>
    <t>10.1080/14029251.2015.1056616</t>
  </si>
  <si>
    <t>WOS:000355803700002</t>
  </si>
  <si>
    <t>Reyes, A; Negrete, D; Mahn, A; Sepúlveda, F</t>
  </si>
  <si>
    <t>Reyes, Alejandro; Negrete, Daniela; Mahn, Andrea; Sepulveda, Francisco</t>
  </si>
  <si>
    <t>Design and evaluation of a heat exchanger that uses paraffin wax and recycled materials as solar energy accumulator</t>
  </si>
  <si>
    <t>ENERGY CONVERSION AND MANAGEMENT</t>
  </si>
  <si>
    <t>Soft drink cans filled with paraffin wax mixed with 5% w/w aluminum wool, obtained from disposable cans, doubled the thermal conductivity of cans filled only with paraffin wax. Thermal conductivity of the systems was determined by two ways: directly using a thermal conductivimeter, and indirectly based on temperature profiles and on the analytical solution of a cylinder. We designed, built and evaluated a heat exchanger for solar energy accumulation, composed by 48 disposable soft drink cans filled with a total of 9.5 kg of paraffin wax mixed with 5% w/w aluminum wool. In sunny days, the wax melted completely in 3 h. The accumulated energy of 3000 kJ, allowed increasing the temperature of 3.5 m(3)/h air flow rate from 20 to 40 degrees C during a period of 2 h. This application will allow extending the use of solar energy in drying processes or could be used as household calefaction system. The progress of the phase change front in time during the energy discharge period was simulated with COMSOL, whereas the effect of the number of cans and thermal conductivity of the paraffin wax on the air temperature increase was simulated with MATLAB. (C) 2014 Elsevier Ltd. All rights reserved.</t>
  </si>
  <si>
    <t>Sepúlveda, Francesca/IZD-9869-2023</t>
  </si>
  <si>
    <t>Sepulveda Palma, Francisco Hernan/0000-0002-1930-3859</t>
  </si>
  <si>
    <t>0196-8904</t>
  </si>
  <si>
    <t>1879-2227</t>
  </si>
  <si>
    <t>10.1016/j.enconman.2014.08.032</t>
  </si>
  <si>
    <t>WOS:000345725400039</t>
  </si>
  <si>
    <t>Verdejo, H; Montes, G; Olguun, G</t>
  </si>
  <si>
    <t>Verdejo, H.; Montes, G.; Olguun, G.</t>
  </si>
  <si>
    <t>Identification of Coherent Machines Using Modal Analysis for the Reduction of Multimachine Systems</t>
  </si>
  <si>
    <t>Coherent generator groups are determined by modal analysis applied to Electric Power Systems (EPS). The oscillation modes are represented by the eigenvalues obtained from the linearization of the nonlinear equations that describe the behavior of the system. These modes are classified according to their damping frequency into two groups: the local modes and the inter-area modes. The latter are the ones of interest to the study, because their frequency is similar to that of a large perturbation and it can therefore allow the identification of coherent groups.</t>
  </si>
  <si>
    <t>10.1109/TLA.2014.6827867</t>
  </si>
  <si>
    <t>WOS:000338111100010</t>
  </si>
  <si>
    <t>Huiliñir, C; Villegas, M</t>
  </si>
  <si>
    <t>Huilinir, Cesar; Villegas, Manuel</t>
  </si>
  <si>
    <t>Biodrying of pulp and paper secondary sludge: Kinetics of volatile solids biodegradation</t>
  </si>
  <si>
    <t>This study focuses on the kinetics of volatile solids (VS) biodegradation of the biodrying process using pulp and paper secondary sludge. The experiments were carried out with air-flow rates of 0.51, 1.61, 3.25 and 5.26 L/min kg(VS)) and initial moisture content of 64-66% w.b. Using five kinetic models and a nonlinear regression method, kinetic parameters were estimated and the models were analyzed with two statistical indicators. Higher air-flow rates cause greater moisture content reduction, lower temperature in the matrix, and lower VS reduction. At an air-flow rate as high as 5.26 L/min kgVS there is no biodrying but only convective drying. The kinetic models used successfully simulate the VS biodegradation under biodrying conditions, with a root mean square error (RMSE) between 0.007929 and 0.02744. In conclusion, we show for the first time that VS biodegradation in the biodrying process can be successfully modeled with a kinetic model. (C) 2014 Elsevier Ltd. All rights reserved.</t>
  </si>
  <si>
    <t>10.1016/j.biortech.2014.01.109</t>
  </si>
  <si>
    <t>WOS:000334829600029</t>
  </si>
  <si>
    <t>Fediakova, E</t>
  </si>
  <si>
    <t>Fediakova, Evguenia</t>
  </si>
  <si>
    <t>Evangelicals in democratic Chile: Clash of generations?</t>
  </si>
  <si>
    <t>Historically, the Chilean evangelical Churches belonged to a marginal religious category, discriminated against by the dominant Catholic culture. Nevertheless, during the last 20 years, new generations of believers are challenging the authorities and traditional power relations in their Churches, elaborating new forms of civil participation and changing the previous evangelical identity. The higher levels of education and living standards allow the religious youth to question their pastors' power and to form more secular relations with national politics and society. This could be leading to a clash between the new generations of evangelicals with a university education and the established Church authorities, producing more diversity within evangelical religiosity, conflicts inside the communities, and/or extra-ecclesial' forms of the religious manifestations: inter-denominational movements, research centers, non-governmental organizations, websites. From another perspective, higher education and relative secularization are helping to liberate young evangelicals from marginality and include them in society, with the same socio-political status as Catholic and agnostic Chileans. Resume Historiquement, les eglises evangeliques chiliennes ont constitue une categorie religieuse marginale discriminee par la culture catholique dominante. Neanmoins, durant la derniere vingtaine d'annees, de nouvelles generations de croyants ont defie les autorites et les relations de pouvoir traditionnelles formees au sein des eglises, elaborant ainsi de nouvelles formes de participation civile et changeant l'identite evangelique precedente. Les niveaux de vie et d'education plus eleves permettent a la jeunesse religieuse de critiquer le vieux pouvoir de leur pasteur et de nouer des relations plus seculieres avec la politique et la societe nationale. L'education universitaire des nouvelles generations d'evangeliques pourrait les mener a une confrontation brutale avec les anciennes autorites de l'Eglise, produisant plus de diversite dans la religiosite evangelique, des conflits au sein de communautes, et/ou des formes de manifestations religieuses &lt;&lt; extra ecclesiales &gt;&gt; : des mouvements inter-confessionnels, des centres de recherches, des organisations non gouvernementales et des sites web. D'un autre cote, le niveau d'education plus eleve et la relative secularisation aident les jeunes evangeliques a sortir de la marginalite et a les convertir en citoyens integres qui ont le meme statut socio-politique que les Chiliens catholiques et agnostiques.</t>
  </si>
  <si>
    <t>10.1177/0037768613513945</t>
  </si>
  <si>
    <t>WOS:000331862800011</t>
  </si>
  <si>
    <t>Zamorano, S; Henríquez, HR</t>
  </si>
  <si>
    <t>Zamorano, S.; Henriquez, H. R.</t>
  </si>
  <si>
    <t>Feedback stabilization of abstract neutral linear control systems</t>
  </si>
  <si>
    <t>MATHEMATICS OF CONTROL SIGNALS AND SYSTEMS</t>
  </si>
  <si>
    <t>In this paper, the asymptotic stabilization of linear distributed parameter control systems of neutral type is considered. Specifically, we study control systems described by a special type of abstract neutral functional differential equation with finite delay. Assuming appropriate conditions, and using the spectral properties of quasi-compact semigroups, we show that the usual spectral controllability assumption implies the feedback stabilization of the system. We applied our results to the stabilization of several real systems of first and second order described by partial neutral functional differential equations.</t>
  </si>
  <si>
    <t>Zamorano, Sebastian/0000-0001-5592-9085</t>
  </si>
  <si>
    <t>0932-4194</t>
  </si>
  <si>
    <t>1435-568X</t>
  </si>
  <si>
    <t>10.1007/s00498-012-0103-1</t>
  </si>
  <si>
    <t>WOS:000322673700004</t>
  </si>
  <si>
    <t>What circumstances lead a government to promote brain drain?</t>
  </si>
  <si>
    <t>JOURNAL OF ECONOMICS</t>
  </si>
  <si>
    <t>This paper aims to complement the existing theoretical brain drain literature, focusing on the interaction between education, skilled emigration and government intervention in a small open economy. This article first characterises different emigration patterns that may arise in equilibrium, then seeks the conditions that lead a government to promote brain-drain. The model shows that the government may promote skilled emigration among workers with intermediate skills even though the resulting brain drain decreases per capita income. Emigrants remittances outweigh the income they would produce if they did not emigrate. Therefore, the government makes less severe the fall in per capita income that follows the brain drain by encouraging emigration among those skilled workers who are more productive abroad.</t>
  </si>
  <si>
    <t>0931-8658</t>
  </si>
  <si>
    <t>10.1007/s00712-012-0272-x</t>
  </si>
  <si>
    <t>WOS:000315273100004</t>
  </si>
  <si>
    <t>Rivas, C</t>
  </si>
  <si>
    <t>Rivas, Cristobal</t>
  </si>
  <si>
    <t>Left-orderings on free products of groups</t>
  </si>
  <si>
    <t>JOURNAL OF ALGEBRA</t>
  </si>
  <si>
    <t>We show that no left-ordering on a free product of (left-orderable) groups is isolated. In particular, we show that the space of left-orderings of a free product of finitely generated groups is homeomorphic to the Cantor set. With the same techniques, we also give a new and constructive proof of the fact that the natural conjugation action of the free group (of countable rank greater than one) on its space of left-orderings has a dense orbit. (C) 2011 Elsevier Inc. All rights reserved.</t>
  </si>
  <si>
    <t>Rivas, Cristobal/0000-0003-4021-2705</t>
  </si>
  <si>
    <t>0021-8693</t>
  </si>
  <si>
    <t>10.1016/j.jalgebra.2011.10.036</t>
  </si>
  <si>
    <t>WOS:000297970700018</t>
  </si>
  <si>
    <t>international law and civil law: a theory of communicative action to spread the gospel</t>
  </si>
  <si>
    <t>TEOLOGIA Y VIDA</t>
  </si>
  <si>
    <t>In On the Recently Discovered American Indians (1538), Francisco de Vitoria states that there is natural communication and society among all human beings. Forty years later, in Lima, the Jesuit Jose de Acosta, in On the Salvation of the Indians (1576), writes a report about how to put into practice this communication through peaceful preaching. It is a kind of communication treatise, in which he also denounces the practice of forcing conversions. To Acosta, successful communication of the gospel to Indians signifies a willing shift of beliefs and actions, based on what he considers natural reason. This philosophical and theological discussion shows that there is a normative interweaving between ius gentium, ius civile and ecclesiastic law, and that a contemporary theory of communication has a lot to learn from the paradigmatic and partially failed case of communicating the gospel in America.</t>
  </si>
  <si>
    <t>Neira, Hernan/0000-0003-3198-7242</t>
  </si>
  <si>
    <t>0049-3449</t>
  </si>
  <si>
    <t>10.4067/S0049-34492012000300005</t>
  </si>
  <si>
    <t>WOS:000208941000005</t>
  </si>
  <si>
    <t>Laurido, C</t>
  </si>
  <si>
    <t>Laurido, Claudio</t>
  </si>
  <si>
    <t>C-reflex evoked in the digastric muscle: A new method for evaluating trigeminal wind-up activity applicable to active principles of medicinal plants</t>
  </si>
  <si>
    <t>Wind-up is a measure of nociceptive neurons synaptic potentiation and constitutes an important mechanism in the generation of central sensitization in chronic pain. At the spinal level, the C-evoked reflex in the bicep femoris muscle, by low frequency repetitive stimulation of the sural nerve, has enabled us to evaluate the wind-up of nociceptive neurons of the dorsal horn, and also the effect of antinociceptive drugs with a possible potential therapeutic value in chronic pain. In the present work, we electrophysiologically evaluated the trigeminal wind-up activity, utilizing as an experimental paradigm the evoked C-reflex in the Sprague-Dawley rat digastric muscle. The results obtained indicate that: (a) It is possible to evoke an electromyographic reflex in the digastric muscle by stimulation of C-fibers belonging to the third trigeminal branch; (b) It is possible to potentiate the trigeminal C-reflex with low frequency stimuli (wind-up) and (c) it is possible to depress the trigeminal wind-up with the mu-opioid agonist morphine and with the NMDA receptor antagonist, ketamine. We can conclude that the simple measurement of the trigeminal wind-up will facilitate future studies on the analgesic efficacy of new drugs in oro-facial chronic pain syndromes like migraine and with special emphasis on medicinal plant active principles.</t>
  </si>
  <si>
    <t>WOS:000297724500003</t>
  </si>
  <si>
    <t>Hamm, E; Tapia, F; Melo, F</t>
  </si>
  <si>
    <t>Hamm, Eugenio; Tapia, Franco; Melo, Francisco</t>
  </si>
  <si>
    <t>Dynamics of shear bands in a dense granular material forced by a slowly moving rigid body</t>
  </si>
  <si>
    <t>We experimentally investigate the flow field in plane geometry around a slowly moving rigid finger in a dry, randomly packed granular medium. The finger enters the medium vertically from its free surface, in analogy with indentation tests on ductile materials. By developing a particle imaging velocimetry technique, we identify a localized flow around the finger, limited by two nearly symmetric shear bands that nucleate near the fingertip and reach the free surface of the granular compact. Evolution of the shear bands is discontinuous, exhibiting nucleation-relaxation processes as the finger moves downward. We present a simple model accounting for the shape of the shear bands at early stages of nucleation. We measure the force applied by the finger and the sources of dilation as well. A mechanism that relates local dilations to the total volume increase of the medium is proposed.</t>
  </si>
  <si>
    <t>Tapia, Franco/JFJ-2655-2023; Melo, Francisco/M-3923-2014; Hamm, Eugenio/A-7927-2013</t>
  </si>
  <si>
    <t>Melo, Francisco Esteban/0000-0001-6818-5476; Tapia Uribe, Franco/0000-0001-9150-3700</t>
  </si>
  <si>
    <t>OCT 17</t>
  </si>
  <si>
    <t>10.1103/PhysRevE.84.041304</t>
  </si>
  <si>
    <t>WOS:000296524500004</t>
  </si>
  <si>
    <t>Selman, AR; Kursbaum, EA; Ubilla, SM; Turner, GE; Espinoza, SC; Espinoza, HJ; González, FR; Villavicencio, TM; Valladares, JE; Naranjo, TL; Oppliger, PE</t>
  </si>
  <si>
    <t>Rafael Selman, A.; Andres Kursbaum, E.; Matias Ubilla, S.; Eduardo Turner, G.; Christian Espinoza, S.; Juan Espinoza, H.; Rodrigo Gonzalez, F.; Mauricio Villavicencio, T.; Elizabeth Valladares, J.; Lorenzo Naranjo, T.; Erhard Oppliger, P.</t>
  </si>
  <si>
    <t>Surgical results among 100 patients with type A aortic dissection. Retrospective review</t>
  </si>
  <si>
    <t>Background: Tipe A aortic dissection involves the ascending aorta and has high mortality rates without surgical treatment. Aim: To report the results of surgical treatment of type A aortic dissection. Material and Methods: Retrospective review of medical records of 100 patients aged 17 to 78 years (73% males) operated between January 2000 and August 2008, for type A aortic dissection. Follow up was performed with telephone interviews and review of national death records. Results: Eighty three percent of patients had an acute dissection. Operative mortality was 27 and 20% for patients with acute and chronic dissection, respectively Mortality was 50% among patients aged 70 years or more., compared with 21% among their younger counterparts, The most common complication was bleeding that required a new surgical procedure in 18% of patients. Actuarial survival was 70% at five years. Cardiovascular problems caused the death of two of the nine patients that died during follow up. Conclusions: Surgical mortality among patients with type A aortic dissection was higher among patient's with acute episodes and those aged 70 years or more. (Rev Med Chile 2010; 138: 982-987).</t>
  </si>
  <si>
    <t>WOS:000281907400006</t>
  </si>
  <si>
    <t>Photography as a reading key for The new novel</t>
  </si>
  <si>
    <t>This article proposes the idea that photography, as a medium of representation, is the model used for the construction of La nueva novela (The new novel) by Juan Luis Martinez. Photography joins ambivalent features, such as its romantic-scientific origin, its documental character, as well as its capacity to distort what it represents, deceiving the observer. Given its intrinsic features, the photographic procedure allows the author to reflect on the representation, language, literature, identity and history.</t>
  </si>
  <si>
    <t>DE LOS RIOS, VALERIA/0000-0002-0456-7720</t>
  </si>
  <si>
    <t>WOS:000269722700003</t>
  </si>
  <si>
    <t>Asymptotically almost periodic solutions of abstract retarded functional differential equations of first order</t>
  </si>
  <si>
    <t>NONLINEAR ANALYSIS-REAL WORLD APPLICATIONS</t>
  </si>
  <si>
    <t>We establish the existence of asymptotically almost periodic mild solutions for a class of semi-linear first-order abstract retarded functional differential equations with infinite delay. (c) 2008 Elsevier Ltd. All rights reserved.</t>
  </si>
  <si>
    <t>1468-1218</t>
  </si>
  <si>
    <t>10.1016/j.nonrwa.2008.05.002</t>
  </si>
  <si>
    <t>WOS:000264911200047</t>
  </si>
  <si>
    <t>Vera-Villarroel, P; Cordova-Rubio, N; Celis-Atenas, K</t>
  </si>
  <si>
    <t>Vera-Villarroel, Pablo; Cordova-Rubio, Natalia; Celis-Atenas, Karem</t>
  </si>
  <si>
    <t>OPTIMISM VERSUS SELF-STEEM: IMPLICATIONS FOR CLINICAL PSYCHOLOGY AND PSYCHOTHERAPY</t>
  </si>
  <si>
    <t>REVISTA ARGENTINA DE CLINICA PSICOLOGICA</t>
  </si>
  <si>
    <t>The paper assesses the differences between optimistic and not optimistic subjects, at negative (Depression, Anxiety) and positive (Satisfaction with Life, Happiness and Self-Esteem) variables. The research was conducted in a group of 309 university students between 18 and 25 years. The ANOVA test (Scheffe test) showed significant differences for the negative variables. For the positive variables were found significant differences in life satisfaction and happiness. Optimism is highlighted in relation to the others variables. In contrast, the variable self-esteem does not appear as a relevant variable. It concludes with the importance of the use of optimism and other positive variables, studied in recent years, as a tool in psychotherapy and clinical interventions.</t>
  </si>
  <si>
    <t>Vera-Villarroel, Pablo/AAQ-8476-2020; Vera-Villarroel, Pablo/A-1134-2011</t>
  </si>
  <si>
    <t>0327-6716</t>
  </si>
  <si>
    <t>1851-7951</t>
  </si>
  <si>
    <t>WOS:000270440600003</t>
  </si>
  <si>
    <t>THE PHILOSOPHICAL UNDERWRITING OF A REBELLION: PEDRO DE URSUA AND LOPE DE AGUIRRE'S EXPEDITION IN SEARCH OF EL DORADO</t>
  </si>
  <si>
    <t>2327-4247</t>
  </si>
  <si>
    <t>WOS:000261390600007</t>
  </si>
  <si>
    <t>System's identity conservation requirements</t>
  </si>
  <si>
    <t>Viable system model, developed by Stafford Beer, and nine level model by Jean Louis Le Moigne, are presented and analysed as ways of distinguishing systems. From the study of both models, requirements to be fulfilled by systems to preserve its identity and, consequently being able to be distinguished by an observer, are derived The interest and stress here is in a set of postulates by which any system is guaranteed to be recognized as suck Particular attention is paid to self-regulating systems, but the demands imposed to systems here, to be recognized as such, are estimated to be granted to any kind of system in different time-space scales.</t>
  </si>
  <si>
    <t>9-10</t>
  </si>
  <si>
    <t>10.1108/03684920310493350</t>
  </si>
  <si>
    <t>WOS:000186599000015</t>
  </si>
  <si>
    <t>Prediction of maximum of 24-h average of PM10 concentrations 30 h in advance in Santiago, Chile</t>
  </si>
  <si>
    <t>We have developed a neural network based model that uses values of PM 10 concentrations measured until 6 p.m. on the present day plus measured and forecasted values of meteorological variables as input in order to predict the level reached by the maximum of the 24-h moving average (24MA) of PM10 concentration on the next day. We have adjusted the parameters of the model using 1998 data to predict 1999 conditions and 1999 data to forecast 2000 maximum concentrations. We have found that among the relevant meteorological input variables, the forecasted difference between maximum and minimum temperature is the most important. Due to the fact that local authorities impose restrictions to emissions on days when the maximum of 24MA of PM10 concentration is expected to exceed 240 mug/m(3), we have corrected the measured concentrations on these days before evaluating the efficacy of the forecasting model. Percent errors in forecasting the numerical value are of the order of 20%. The performance of the neural network is better than that of a linear model with the same inputs, but the difference being not great is an indication that the right choice of input variables may be more important than the decision to use a linear or a nonlinear model. (C) 2002 Elsevier Science Ltd. All rights reserved.</t>
  </si>
  <si>
    <t>Perez, Patricio/AAS-7390-2020; Reyes, Jorge/N-2640-2014</t>
  </si>
  <si>
    <t>PII S1352-2310(02)00419-3</t>
  </si>
  <si>
    <t>10.1016/S1352-2310(02)00419-3</t>
  </si>
  <si>
    <t>WOS:000178496000011</t>
  </si>
  <si>
    <t>Numerical analysis of thermally coupled flow problems with interfaces and phase-change effects</t>
  </si>
  <si>
    <t>INTERNATIONAL JOURNAL OF COMPUTATIONAL FLUID DYNAMICS</t>
  </si>
  <si>
    <t>11th Congress on Numerical Methods and Their Applic ations (ENIEF 2000)</t>
  </si>
  <si>
    <t>NOV 20-24, 2000</t>
  </si>
  <si>
    <t>SAN CARLOS BARILO, ARGENTINA</t>
  </si>
  <si>
    <t>In this work a fixed mesh finite element approach is presented to solve thermally coupled flow problems including moving interfaces between immiscible fluids and phase-change effects. The weak form of the full incompressible Navier-Stokes equations is obtained using a generalized streamline operator (GSO) technique that enables the use of equal order interpolation of the primitive variables of the problem: velocity, pressure and temperature. The interfaces are defined with a mesh of marker points whose motion is obtained applying a Lagrangian scheme. Moreover, a temperature-based formulation is considered to describe the phase-change phenomena. The proposed methodology is used in the analysis of a filling of a step mould and a gravity-driven flow of an aluminium alloy in an obstructed vertical channel.</t>
  </si>
  <si>
    <t>1061-8562</t>
  </si>
  <si>
    <t>10.1080/1061856021000025139</t>
  </si>
  <si>
    <t>WOS:000178078300003</t>
  </si>
  <si>
    <t>Moyano, PC; Berna, AZ</t>
  </si>
  <si>
    <t>Modeling water loss during frying of potato strips: Effect of solute impregnation</t>
  </si>
  <si>
    <t>The effect of solute impregnation on water loss and oil uptake during potato strip frying was studied. Blanched potato strips were impregnated at 25degreesC by soaking in a solution of sucrose-NaCl-water, 20-5-75% by weight. After rinsing and air drying, strips were deep fried in sunflower oil at 160, 170 and 180degreesC. A control treatment, consisting of potato strips blanched but not soaked and later air dried was also conducted. Solute impregnation provided a decrease of the oil uptake. Two models, based on Fick's law were used to describe water loss during frying. The first one is the classic model with an effective moisture diffusion coefficient assumed a constant value. The second model considers that diffusion coefficient varies during the frying process. For a given frying temperature, constant diffusion coefficient for control potatoes resulted in lower values than the impregnated ones. The variable diffusivity model showed a two-stage behavior: during the first stage of frying, diffusion coefficient increased with frying temperatures, but from a given time on an inverse behavior began. This last fact was found to be related to an increase of the measured peak force needed to penetrate the potato crust.</t>
  </si>
  <si>
    <t>Berna, Amalia/C-2139-2008</t>
  </si>
  <si>
    <t>Berna, Amalia/0000-0003-4932-5415</t>
  </si>
  <si>
    <t>10.1081/DRT-120005854</t>
  </si>
  <si>
    <t>WOS:000177123200002</t>
  </si>
  <si>
    <t>Ulloa, B; Franco, A; Aneiros, F; Naveira, A; Diz, JC; Cortés, J</t>
  </si>
  <si>
    <t>Diz, JC; Franco, A; Bacon, DR; Rupreht, J; Alvarez, J</t>
  </si>
  <si>
    <t>History of pediatric anesthesia and surgery in Spain</t>
  </si>
  <si>
    <t>HISTORY OF ANESTHESIA</t>
  </si>
  <si>
    <t>INTERNATIONAL CONGRESS SERIES</t>
  </si>
  <si>
    <t>5th International Symposium on the History of Anesthesia</t>
  </si>
  <si>
    <t>SEP 19-23, 2001</t>
  </si>
  <si>
    <t>SANTIAGO, SPAIN</t>
  </si>
  <si>
    <t>Diz, Jose/AAA-5901-2019</t>
  </si>
  <si>
    <t>0531-5131</t>
  </si>
  <si>
    <t>0-444-51293-4</t>
  </si>
  <si>
    <t>PII S0531-5131(02)00772-0</t>
  </si>
  <si>
    <t>10.1016/S0531-5131(02)00772-0</t>
  </si>
  <si>
    <t>WOS:000181334800072</t>
  </si>
  <si>
    <t>Villablanca, M; Arias, M; Acevedo, C</t>
  </si>
  <si>
    <t>High-pulse series converters for HVDC systems</t>
  </si>
  <si>
    <t>IEEE TRANSACTIONS ON POWER DELIVERY</t>
  </si>
  <si>
    <t>In this work a novel concept has been developed, whereby series-connected converters with any desired number of pulses can be obtained without complicated circuitry. A complete theoretical treatment and experimental verification are carried out in this paper to fully validate the concept. This generalization is achieved by adding an extra circuitry to a conventional converter connection. Besides, pure natural commutation is used and the concept is equally valid for rectification and inversion. Also, the application of the concept on HVdc systems, to reduce harmonics that are normally injected into the ac and dc networks, is analyzed. Therefore, the elimination of harmonic filters and their inherent complexities in conventional installations may be possible.</t>
  </si>
  <si>
    <t>Arias, Laura/AAB-3052-2021</t>
  </si>
  <si>
    <t>0885-8977</t>
  </si>
  <si>
    <t>10.1109/61.956768</t>
  </si>
  <si>
    <t>WOS:000171542300049</t>
  </si>
  <si>
    <t>Chandía, NP; Matsuhiro, B; Vásquez, AE</t>
  </si>
  <si>
    <t>Alginic acids in Lessonia trabeculata:: characterization by formic acid hydrolysis and FT-IR spectroscopy</t>
  </si>
  <si>
    <t>The ratio of mannuronic acid to guluronic acid (M/G) in alginic acids from blade, stipe and holdfast of Lessonia trabeculata collected in three locations of the Chilean coast was determined by total hydrolysis with formic acid. It was found that the reaction of alginic acids with 90% formic acid for 6 h at 100 degreesC, followed by treatment with 1.5 N formic acid for 2 h at 100 degreesC produced the total hydrolysis. The values of M/G ratio, determined by HPLC, were slightly lower than those obtained by the traditional hydrolysis method employing 80% sulphuric acid. No systematic tissue-to-tissue variations in the M/G ratio were observed. FT-IR spectroscopy, especially in the second-derivative mode, was applied for characterizing alginates and partial hydrolysis fractions. The alginate fraction enriched in polymannuronic acid presented two bands at similar to 893 and similar to 822 cm(-1) while the polyguluronic acid enriched fractions showed four characteristic absorption bands at around 947, 903, 813 and 780 cm(-1). (C) 2001 Elsevier Science Ltd. All rights reserved.</t>
  </si>
  <si>
    <t>10.1016/S0144-8617(00)00286-1</t>
  </si>
  <si>
    <t>WOS:000169395200009</t>
  </si>
  <si>
    <t>Cantú, P</t>
  </si>
  <si>
    <t>Evidence based medicine</t>
  </si>
  <si>
    <t>WOS:000088333300016</t>
  </si>
  <si>
    <t>Quezada, LE; Córdova, FM; Widmer, S; O'Brien, C</t>
  </si>
  <si>
    <t>A methodology for formulating a business strategy in manufacturing firms</t>
  </si>
  <si>
    <t>This paper describes a methodology for formulating a business strategy in small- and medium-sized manufacturing firms. It identifies the objectives and beliefs of the owner. Then Strategy Business Units are defined as pairs of products-markets to produce a customer oriented analysis. They are assessed and action plans are generated to improve the competitiveness of the company, taking charge of the preferences of the owner. A reduced number of indicators is used to monitor the performance of the company. The way the process is applied is discussed and its application in five firms is presented as an illustration. (C) 1999 Elsevier Science B.V. All rights reserved.</t>
  </si>
  <si>
    <t>CORDOVA, FELISA/S-1093-2019; Quezada, Luis/W-8168-2019</t>
  </si>
  <si>
    <t>CORDOVA, FELISA/0000-0002-5557-8569; Quezada, Luis/0000-0003-1364-9266</t>
  </si>
  <si>
    <t>APR 20</t>
  </si>
  <si>
    <t>60-1</t>
  </si>
  <si>
    <t>10.1016/S0925-5273(98)00194-7</t>
  </si>
  <si>
    <t>WOS:000080065300011</t>
  </si>
  <si>
    <t>Cifuentes, G; Torrealba, J; Cifuentes, L; Kammel, R</t>
  </si>
  <si>
    <t>Mishra, B</t>
  </si>
  <si>
    <t>The kinetics of the electrochemical oxidation of cyanide on PbO2 coated stainless steel.</t>
  </si>
  <si>
    <t>EPD CONGRESS 1999</t>
  </si>
  <si>
    <t>EPD CONGRESS</t>
  </si>
  <si>
    <t>1999 EPD Congress, at the 1999 TMS Annual Meeting</t>
  </si>
  <si>
    <t>FEB 28-MAR 04, 1999</t>
  </si>
  <si>
    <t>Minerals Met &amp; Mat Soc, Extract &amp; Proc Div</t>
  </si>
  <si>
    <t>The kinetics of the electrolytic oxidation of cyanide to cyanate on PbO2-coated stainless steel anodes have been studied by both experimental and theoretical means. The anodes were based on 316 steel and performed in a satisfactory fashion. The pH of the studied KCN solutions exhibited a constant value about 11. Values for all the kinetic parameters have been determined and a mechanism for the studied reaction is proposed.</t>
  </si>
  <si>
    <t>1079-7580</t>
  </si>
  <si>
    <t>0-87339-422-4</t>
  </si>
  <si>
    <t>WOS:000080238500053</t>
  </si>
  <si>
    <t>Holmes, DS; Jedlicki, E; Cabrejos, ME; Bueno, S; Guacucano, M; Inostroza, C; Levican, G; Varela, P; Garcia, E</t>
  </si>
  <si>
    <t>Amils, R; Ballester, A</t>
  </si>
  <si>
    <t>The use of insertion sequences to analyse gene function in Thiobacillus ferrooxidans:: A case study involving cytochrome c-type biogenesis proteins in iron oxidation</t>
  </si>
  <si>
    <t>BIOHYDROMETALLURGY AND THE ENVIRONMENT TOWARD THE MINING OF THE 21ST CENTURY, PT B 1999</t>
  </si>
  <si>
    <t>PROCESS METALLURGY</t>
  </si>
  <si>
    <t>13th International Symposium on Biohydrometallurgy (IBS 99)</t>
  </si>
  <si>
    <t>JUN 20-23, 1999</t>
  </si>
  <si>
    <t>Univ Complutense Madrid,Univ Autonoma Madrid</t>
  </si>
  <si>
    <t>With DNA sequence information available for Thiobacillus ferrooxidans it will become much easier to understand its physiology and genetics. However, based on DNA sequence information alone a number of its genes, especially those involved in the more unusual or specific functions of the microorganism such as iron oxidation, could remain without a clear assignment of function. We show how naturally occurring insertion sequences can be used to generate mutants by knocking out gene function and how these knock-out mutants can be analyzed to reveal the gene involved in the mutation. An iron oxidizing mutant of T. ferrooxidans ATCC19859 is shown to contain a copy of the insertion sequence IST1 in a gene, which we term resB, that is probably involved in the biogenesis of a c-type cytochrome. Downstream of resB, and perhaps part of the same transcriptional unit, is another gene, resC, also probably involved in the biogenesis of a c-type cytochrome. Some of the predicted properties of these biogenesis proteins and their evolutionary relations are described. The target cytochrome(s) of the putative cytochrome-c type biogenesis proteins remains unknown, although just upstream of resB is a gene potentially encoding a cytochrome cl, making it a likely candidate as the target cytochrome. The target cytochrome is essential for growth on iron but not for growth on thiosulfate and may prove specific for the pathway of energy transduction and/or electron flow during iron oxidation.</t>
  </si>
  <si>
    <t>Levican, Gloria/R-5191-2019; Inostroza, Carolina/IXN-4181-2023; Bueno, Susan/KSL-5357-2024</t>
  </si>
  <si>
    <t>Bueno, Susan M./0000-0002-7551-8088; Holmes, David/0000-0001-9555-138X; inostroza, carolina/0000-0002-1176-9160; Levican, Gloria/0000-0002-1275-7399</t>
  </si>
  <si>
    <t>0-444-50193-2</t>
  </si>
  <si>
    <t>10.1016/S1572-4409(99)80102-3</t>
  </si>
  <si>
    <t>WOS:000086245100015</t>
  </si>
  <si>
    <t>Carrasco, L; González, FD; Cardemil, E</t>
  </si>
  <si>
    <t>Interaction of adenosine nucleotide analogs with Saccharomyces cerevisiae phosphoenolpyruvate carboxykinase</t>
  </si>
  <si>
    <t>BIOCHIMICA ET BIOPHYSICA ACTA-PROTEIN STRUCTURE AND MOLECULAR ENZYMOLOGY</t>
  </si>
  <si>
    <t>The substrate characteristics and interactions of different adenosine nucleotide analogs with Saccharomyces cerevisiae phosphoenolpyruvate (PEP) carboxykinase were investigated by steady-state kinetic analysis and calculations of interaction energies. Comparison of V-max/K-m values showed that analogs substituted at C8 in the adenine ring (8-Br-ATP, 8-N-3-ATP, 8-N-3-ADP) gave almost the same kinetic values as ATP and ADP, whereas those substituted in the ribose hydroxyls (3'(2')-O-(N-methylanthraniloyl)-ATP (MANT-ATP), 3'(2')-O-(N-methylanthraniloyl)-ADP (MANT-ADP), 2'(3')-O-(2,4,6-trinitrophenyl)-ADP (TNP-ADP), 2'(3')-O-(2,4,6-trinitrophenyl)-ATP (TNP-ATP)) showed 1-8% the value for the corresponding physiological substrate. A comparison between the experimental results and molecular mechanics calculations was performed, employing a model for the S. cerevisiae PEP carboxykinase-ATP-Mn2+ complex. The calculated interaction energies of S. cerevisiae PEP carboxykinase with ATP, MANT-ATP, TNP-ATP, 8-Br-ATP, and 8-N3-ATP were linearly related (correlation coefficient 0.92) with -ln(V-max/K-m). This good correlation supports the proposal that the interaction of the substituent with the enzyme affects the interaction of the common region of ATP with the active site, thus leading to effects in V-max. (C) 1998 Elsevier Science B.V. All rights reserved.</t>
  </si>
  <si>
    <t>0167-4838</t>
  </si>
  <si>
    <t>DEC 8</t>
  </si>
  <si>
    <t>10.1016/S0167-4838(98)00223-4</t>
  </si>
  <si>
    <t>WOS:000077781900010</t>
  </si>
  <si>
    <t>Cardenas, H; Carvajal, A; Utreras, E; Nelson, P; Moenne, A; Imarai, M</t>
  </si>
  <si>
    <t>Lactation inhibits the potentiating effect of galanin upon the GnRH-induced LH release observed in diestrous-1 rat</t>
  </si>
  <si>
    <t>Recent demonstrations of no changes in hypothalamic gonadotropin releasing hormone (GnRH) gene expression and GnRH levels detected at the pituitary gland in diestrous and lactating rats, indicate that lactational hypogonadotropism in this species is not associated with inhibition of hypothalamic GnRH synthesis and secretion. Hypothalamic galanin potentiates GnRH effects on luteinizing hormone (LH) secretion in male and cycling mts. To explore the interaction between GnRH and galanin during lactation, we studied in vitro the effects of pulsatile stimulation with those peptides upon LH synthesis and secretion from rat pituitaries on diestrous 1 or day 10 of lactation. Hemipituitaries were separately incubated in 1 ml Dulbecco's Minimal Essential Medium supplemented with 1% penicillin - streptomycin and fetal calf serum, at 37 degrees C in 5% CO2-air. The hemipituitaries were stimulated during 12 h with hourly pulses, 6 min each, of (a) gonadotropin releasing hormone (GnRH 25 ng/pulse), (b) rat galanin (600 ng/pulse), (c) GnRH piers galanin, or (d) saline. Medium was collected before each pulse to determine LH by radioimmunoassay. After the 12 h pulsatile regime total RNA was extracted and both actin and beta-LH mRNA were determined by reverse transcriptase polymerase chain reaction. There was a significant stimulation of LH secretion by GnRH (ANOVA, p&lt;0.001) without significant differences between diestrous and lactation pituitaries. Galanin alone did not modify LH secretion but it potentiated the effect of GnRH upon pituitaries from diestrous (p=0.036) but not lactating rats. Neither peptide alone or its combination modified pituitary beta-LH mRNA levels. Results show that galanin regulates differently the secretion and synthesis of LH at the pituitary level. The disappearance of galanin-induced potentiation of GnRH effects upon LH secretion during lactation might contribute to the hypogonadotropism of lactation in the rat.</t>
  </si>
  <si>
    <t>; utreras, elias/I-1038-2013</t>
  </si>
  <si>
    <t>Nelson Hunt, Pablo/0009-0005-0704-4334; Imarai, Monica/0000-0001-8767-9180; utreras, elias/0000-0002-1004-0466</t>
  </si>
  <si>
    <t>WOS:000077870500006</t>
  </si>
  <si>
    <t>Zagal, JH; Aguirre, MJ; Paez, MA</t>
  </si>
  <si>
    <t>O2 reduction kinetics on a graphite electrode modified with adsorbed vitamin B12</t>
  </si>
  <si>
    <t>Vitamin B-12 (acquo-cobalamine) adsorbs irreversibly on ordinary pyrolytic graphite (OPG) electrodes from aqueous solutions. The adsorbed vitamin exhibits cyclic voltammetric reversible waves corresponding to Co(II)/Co(I) and Co(III)/(II) couples and its redox chemistry is similar to that found in solution. The OPG/vitamin B-12(ads) electrodes show substantial catalytic activity for the reduction of oxygen. Tn alkaline pH, a Tafel slope of -60 mV/decade and a chemical order in protons of -1 suggest a redox catalysis type of kinetics, governed by the Co(III)/Co(II) couple in the cobalamine. At pH &lt; 10.9, the Tafel slopes change to -120 mV/decade and the order in protons gradually tends to zero, implying that a first electron transfer step becomes rate controlling. The reaction seems to occur via parallel 2-e(-) and 4-e(-) pathways, with the 4-e(-) reduction reaction predominating at more acid pH and at more negative potentials. At high overpotentials, the overall 4-e(-) reduction appears to be promoted by the cobalamine in the Co(I) oxidation state. (C) 1997 Elsevier Science S.A.</t>
  </si>
  <si>
    <t>zagal, jose/L-9648-2014; Aguirre, Maria/A-3935-2013; Paez, Maritza/M-2010-2014</t>
  </si>
  <si>
    <t>paez, maritza/0000-0001-5881-884X; Aguirre, Maria/0000-0003-1134-4469</t>
  </si>
  <si>
    <t>10.1016/S0022-0728(97)00253-2</t>
  </si>
  <si>
    <t>WOS:000071189700005</t>
  </si>
  <si>
    <t>Henriquez, M; Abuin, E; Lissi, E</t>
  </si>
  <si>
    <t>Effects of urea and sodium dodecylsulfate on the formation of hydrophobic microdomains in aqueous solutions of gelatin</t>
  </si>
  <si>
    <t>Fluorescence quenching techniques complemented with optical rotation and viscosity measurements were employed to study the effects of urea and sodium dodecylsulfate on the formation of hydrophobic microdomains and its relationship to the extent of helical structuration of gelatin chains in aqueous solution. The effects were examined for both additives acting independently of each other as well as for their joint action. Addition of urea (0.2-2 M) to a 0.5% (w/v) gelatin solution decreases the fraction of the fluorescence of pyrene protected against quenching by acrylamide in a fashion directly related to the extent of triple helix structuration of the polypeptide chains. The decrease in the amount of structured microdomains elicited by urea addition is accompanied by a substantial decrease in the viscosity of the gelatin solution. Upon addition of 1 mM SDS to the gelatin solution at 0.5% (w/v), the fluorescence of pyrene is almost completely protected against quenching by acrylamide, the triple helix content slightly decreases, and the viscosity of the solution increases. The joint incorporation of both additives produces an increase in the viscosity of the solution when SDS is added to a gelatin solution containing urea but, at any SDS concentration, the presence of urea decreases the viscosity of the solution. Similarly, addition of SDS to a highly disorganized gelatin solution in the presence of urea increases the fraction of triple helix, but urea added to the gelatin solution in the presence of SDS decreases it. The effects observed are interpreted in terms of the formation of different types of microdomains when urea or SDS are added independently as well as when they are simultaneously present in the solution. (C) 1996 Academic Press, Inc.</t>
  </si>
  <si>
    <t>MAY 10</t>
  </si>
  <si>
    <t>10.1006/jcis.1996.0246</t>
  </si>
  <si>
    <t>WOS:A1996UM25700024</t>
  </si>
  <si>
    <t>VillarMunoz, RD</t>
  </si>
  <si>
    <t>First Semiotic Conference of the Chilean Semiotics Society, Santiago, Chile, May 6-10, 1996</t>
  </si>
  <si>
    <t>ZEITSCHRIFT FUR SEMIOTIK</t>
  </si>
  <si>
    <t>0170-6241</t>
  </si>
  <si>
    <t>2-3</t>
  </si>
  <si>
    <t>WOS:A1996WH12600025</t>
  </si>
  <si>
    <t>ALVAREZ, PI; SHENE, C</t>
  </si>
  <si>
    <t>EXPERIMENTAL-DETERMINATION OF VOLUMETRIC HEAT-TRANSFER COEFFICIENT IN A ROTARY DRYER</t>
  </si>
  <si>
    <t>The objective of this work was to demonstrate the validity of empirical relationships for computing the volumetric heat transfer coefficient Ua in a pilot direct contact rotary dryer. It was also studied the effect of the operation conditions on the volumetric heat transfer coefficient. Relationships were proposed to compute the volumetric heat transfer coefficient. The methods used to obtain these relationships were based on mass and heat balances. The solids used in this work were soya meal, sawdust and sand.</t>
  </si>
  <si>
    <t>10.1080/07373939408962189</t>
  </si>
  <si>
    <t>WOS:A1994PG40000005</t>
  </si>
  <si>
    <t>TI+/NA+ COMPETITIVE-BINDING AT THE SURFACE OF DODECYL-SULFATE BRIJ 35 MIXED MICELLES</t>
  </si>
  <si>
    <t>10.1016/0021-9797(92)90508-J</t>
  </si>
  <si>
    <t>WOS:A1992HZ18900029</t>
  </si>
  <si>
    <t>MATSUHIRO, B; URZUA, A</t>
  </si>
  <si>
    <t>STEROLS OF SOME CHILEAN ALGAE</t>
  </si>
  <si>
    <t>The distribution of sterols in 14 Chilean Rhodophyceae and in Lessonia sp. (Phaeophyceae) was examined. Cholesterol is present in all the red algae examined. Gelidium filicinum also contains desmosterol and 24-methylenecholesterol. Cholest-7-en-3-.beta.-ol was found in Cryptonemia angustata and Neoagardhiella gaudichaudii. Fucosterol and 24-methylenecholesterol were found in Lessonia sp.</t>
  </si>
  <si>
    <t>1873-2925</t>
  </si>
  <si>
    <t>10.1016/0305-1978(84)90026-7</t>
  </si>
  <si>
    <t>WOS:A1984TC31100002</t>
  </si>
  <si>
    <t>EVALUATION OF PARTITION CONSTANTS IN COMPARTMENTALIZED SYSTEMS FROM FLUORESCENCE QUENCHING DATA</t>
  </si>
  <si>
    <t>10.1016/0009-2614(82)87031-0</t>
  </si>
  <si>
    <t>WOS:A1982PG45000013</t>
  </si>
  <si>
    <t>FAJARDO, V; URZUA, A; CASSELS, BK</t>
  </si>
  <si>
    <t>CALAFATINE - UNUSUAL BISBENZYLISOQUINOLINE ALKALOID</t>
  </si>
  <si>
    <t>HETEROCYCLES</t>
  </si>
  <si>
    <t>Fajardo, Virgilio/HMD-5427-2023; Cassels, Bruce/H-6937-2013</t>
  </si>
  <si>
    <t>0385-5414</t>
  </si>
  <si>
    <t>10.3987/R-1979-12-1559</t>
  </si>
  <si>
    <t>WOS:A1979HY85700010</t>
  </si>
  <si>
    <t>ENCINA, MV; LISSI, EA</t>
  </si>
  <si>
    <t>TYPE-I TYPE-II COMPETITION IN PHOTOLYSIS OF ALIPHATIC-KETONES</t>
  </si>
  <si>
    <t>10.1016/0047-2670(78)80015-X</t>
  </si>
  <si>
    <t>WOS:A1978EH64800007</t>
  </si>
  <si>
    <t>BAEZA, P; MATSUHIRO, B</t>
  </si>
  <si>
    <t>POLYSACCHARIDES FROM CHILEAN SEAWEEDS .4. SULFATED GALACTAN FROM GRATELOUPIA-LANCEOLA</t>
  </si>
  <si>
    <t>BOTANICA MARINA</t>
  </si>
  <si>
    <t>The extraction of G. lanceola with hot water afforded a sulfated polysaccharide which, on acid hydrolysis, gave D-galactose, glucose, 2-O-methyl-galactose and 6-O-methyl-galactose. The bulk of the polysaccharide is composed of D-galactose, 3,6-anhydro galactose and sulfate in the approximate molar proportion of 9:2:8.</t>
  </si>
  <si>
    <t>0006-8055</t>
  </si>
  <si>
    <t>1437-4323</t>
  </si>
  <si>
    <t>10.1515/botm.1977.20.6.355</t>
  </si>
  <si>
    <t>WOS:A1977DW30200004</t>
  </si>
  <si>
    <t>PHOTOCHEMISTRY OF ALKYL KETONES BEARING GAMMA-HYDROGENS</t>
  </si>
  <si>
    <t>10.1016/0047-2670(76)85062-9</t>
  </si>
  <si>
    <t>WOS:A1977CN38400002</t>
  </si>
  <si>
    <t>Abejón, R; Romero, J; Quijada-Maldonado, E</t>
  </si>
  <si>
    <t>Abejon, R.; Romero, J.; Quijada-Maldonado, E.</t>
  </si>
  <si>
    <t>Potential of membrane distillation for water recovery and reuse in water stress scenarios: Perspective from a bibliometric analysis</t>
  </si>
  <si>
    <t>DESALINATION</t>
  </si>
  <si>
    <t>Climate change and related issues such as water scarcity and the urgent need for a transition to sustainable energy sources have motivated the development of novel processes and techniques that can be applied for water treatment, recovery and reuse. Among these emerging processes, membrane distillation in its different configurations has been extensively studied and reported in the literature. A bibliometric analysis was performed to investigate the research documents published in the scientific database Scopus until 2024, related to use of membrane distillation for water recovery and reuse. The main quantitative attributes of the research during this period were identified. The results of this analysis showed a very low scientific production until 2005, followed by a rapid exponential increase since then. The combined contribution of the two most productive countries (China and USA respectively) accounted for more than 41 % of the total number of publications, followed by Australia and Saudi Arabia, which occupied the third and fourth positions in the ranking. Chemical engineering was the most important subject category (57.4 % contribution), closely followed by environmental sciences. The review of the most cited documents and keywords showed that membrane wetting is one of the main drawbacks that can reduce the performance of membrane distillation and the use of innovative superhydrophobic, omniphobic or Janus membranes resulted an adequate solution to avoid this problem. Moreover, the desalination of seawater, brines and other highly saline solutions can be considered as the most studied application of membrane distillation. The consideration of the energetic aspects of membrane distillation and its coupling with other technologies were identified as relevant topics during the bibliometric network analysis. Special attention was given to the potential of membrane distillation for water recovery and reuse in the Chilean context of water stress for the production of drinking water and the treatment of domestic greywater and wastewater from mining and other industrial activities.</t>
  </si>
  <si>
    <t>Abejon, Ricardo/I-7171-2019; Romero, Julio/I-6705-2013</t>
  </si>
  <si>
    <t>Quijada-Maldonado, Esteban/0000-0003-1411-4327; Romero, Julio/0000-0002-1229-1592; ABEJON, Ricardo/0000-0002-8030-7752</t>
  </si>
  <si>
    <t>0011-9164</t>
  </si>
  <si>
    <t>1873-4464</t>
  </si>
  <si>
    <t>DEC 11</t>
  </si>
  <si>
    <t>10.1016/j.desal.2024.117989</t>
  </si>
  <si>
    <t>AUG 2024</t>
  </si>
  <si>
    <t>WOS:001311852300001</t>
  </si>
  <si>
    <t>MOTHER, SON AND PSYCHOSIS IN CORONACION</t>
  </si>
  <si>
    <t>ANALES DE LITERATURA CHILENA</t>
  </si>
  <si>
    <t>Jose Donoso's first novel, Coronacion (1957), is sarcastic, comical, and horrifying at the same time, in its display of the violent confrontation between the drives of desire and law and order. This essay refers not so much to the explicit crime in the novel, the robbery, but to another more disturbing aspect that is present throughout the entire work: the transgression of going crazy. Using an analogy with Alfred Hitchcock's film Psycho (1960), I reflect on some of the political and ethical implications of Coronacion as a novel about the indeterminacy of identity and the failure of the male ego.</t>
  </si>
  <si>
    <t>0717-6058</t>
  </si>
  <si>
    <t>0719-0913</t>
  </si>
  <si>
    <t>WOS:001248161100016</t>
  </si>
  <si>
    <t>Meneses-Díaz, J; Vargas-Hernández, Y; Cancino-Jaque, E; Gaete-Garretón, L</t>
  </si>
  <si>
    <t>Meneses-Diaz, Josue; Vargas-Hernandez, Yolanda; Cancino-Jaque, Eduardo; Gaete-Garreton, Luis</t>
  </si>
  <si>
    <t>The influence of frequency, volume, and viscosity on the ultrasonic atomization threshold of sessile droplets</t>
  </si>
  <si>
    <t>JOURNAL OF THE ACOUSTICAL SOCIETY OF AMERICA</t>
  </si>
  <si>
    <t>In this research, we present a study on the atomization threshold (A(Th)) of sessile droplets, analyzing its relationship with the excitation frequency f(exc) (55-48 kHz), droplet volume V-drop (1-100 mu l), and droplet viscosity mu (1-6mPa . s). The investigation focused on the atomization thresholds using ultrasonic excitation of distilled water droplets and water- polyethylene glycol (PEG)-8000 mixtures deposited on vibrating surfaces. The obtained results are compared with previously reported theoretical models. A modification to the model proposed by Alzuaga et al. [Alzuaga, Manceau, and Bastien, J. Sound Vib. 282(1-2), 151-162 (2005)] is suggested to determine the atomization thresholds of sessile droplets, incorporating the atomization droplet size equation proposed by Rajan and Pandit and an empirical constant alpha to account for the effect of droplet volume in this process. The results show that the relationship between the atomization threshold and viscosity does not fit well with the prediction of Eisenmenger [Acta Acust united Acust. 9(4), 327-340 (1959)] and Pohlman and Stamm [Untersuchung Zum Mechanismus Der Ultraschallvernebelung an Flussigkeitsoberflachen im Hinblick Auf Technische Anwendungen (Investigation on the Mechanism of Ultrasonic Nebulization on Liquid Surfaces Considering Technical Applications) (VS Verlag fur Sozialwissenschaften, Wiesbaden, Germany, 1965)] and Pohlman et al. [Pohlman, Heisler, and Cichos, Ultrasonicc 12(1), 11-15 (1974)] (A(Th) proportional to mu). However, the data tendency aligns with the model proposed by Alzuaga (A(Th) proportional to mu(1/2)). The results obtained in this study provide a deeper understanding of the atomization thresholds of sessile droplets through ultrasonic excitation. (C) 2024 Acoustical Society of America.</t>
  </si>
  <si>
    <t>; Cancino, Eduardo/C-8669-2015</t>
  </si>
  <si>
    <t>Gaete-Garreton, Luis/0000-0002-2234-8783; Cancino, Eduardo/0000-0002-6920-2335</t>
  </si>
  <si>
    <t>0001-4966</t>
  </si>
  <si>
    <t>1520-8524</t>
  </si>
  <si>
    <t>10.1121/10.0025385</t>
  </si>
  <si>
    <t>WOS:001190843700001</t>
  </si>
  <si>
    <t>Benítez, IS</t>
  </si>
  <si>
    <t>Benitez, Isabel serra</t>
  </si>
  <si>
    <t>Utopian practice as a device for articulating and supporting the Chilean constitutional continuum</t>
  </si>
  <si>
    <t>In the context of the discussion for a new constitution in Chile, this study explores the role of utopia in defining the national political horizon. The research focuses not on utopia as a macro narrative, but rather on the utopian practices that have maintained the constitutional continuum from 1980 onwards. A framework is established that includes the notions of space, future, imagination, and hope related to utopia, and it outlines a panorama that illustrates possible approaches to understanding the 2019 social uprising. The methodology covers the categorization of six types of utopian practices identified during the protests in plaza Baquedano, followed by a historical review that examines how these same practices have influenced the constitutional landscape since the 1980s. It delves into three main practices: marches, the creation of symbols, and dialogues, and to analyze them, methods of urban design, visual analysis, and linguistic analysis are used. The findings reveal a detailed synthesis of utopian practices, highlighting their purposes, actors, objectives, and characteristics. From these, the relevance of spatialization, visualization, and futurization is emphasized as tools for understanding and projecting utopian aspirations in the sociopolitical fabric of the country.</t>
  </si>
  <si>
    <t>10.7203/KAM.24.27627</t>
  </si>
  <si>
    <t>WOS:001411162000018</t>
  </si>
  <si>
    <t>Castillo-Sepúlveda, J</t>
  </si>
  <si>
    <t>Castillo-Sepulveda, Jorge</t>
  </si>
  <si>
    <t>Opening the black box of time in health: analysis of temporal sorting by objects in Chile</t>
  </si>
  <si>
    <t>SAUDE E SOCIEDADE</t>
  </si>
  <si>
    <t>This study explores the social and material processes involved in organizing time when developing policies and clinical practice. From the analysis of material produced during a case study focused on ethnographies and interviews on the health Guarantees regime, we consider how the articulation between social activities and objects composes the temporal dimension in health. We analyze this by specifically considering the role of indexes and statistics in their biopolitical dimension and the local role of contingent and regular dispositions in clinical activity. We conclude with some implications on integrating a sociomaterial approach to the apprehension of time in health.</t>
  </si>
  <si>
    <t>0104-1290</t>
  </si>
  <si>
    <t>1984-0470</t>
  </si>
  <si>
    <t>e230580en</t>
  </si>
  <si>
    <t>10.1590/S0104-12902024230580en</t>
  </si>
  <si>
    <t>WOS:001460619500001</t>
  </si>
  <si>
    <t>Fernandez, AM</t>
  </si>
  <si>
    <t>Maria Fernandez, Ana</t>
  </si>
  <si>
    <t>Jealousy as an adaptation to protect close attachment bonds</t>
  </si>
  <si>
    <t>INTERNATIONAL JOURNAL OF PSYCHOLOGY</t>
  </si>
  <si>
    <t>0020-7594</t>
  </si>
  <si>
    <t>1464-066X</t>
  </si>
  <si>
    <t>7654KA</t>
  </si>
  <si>
    <t>WOS:001144610003364</t>
  </si>
  <si>
    <t>Cartagena, NG; Araya, GM; Yanez, SJ; Sepulveda, SG; Pina, JC</t>
  </si>
  <si>
    <t>Cartagena, Nicole Galvez; Araya, Grissel Munoz; Yanez, Sergio J.; Sepulveda, Sandra Gonzalez; Pina, Juan Carlos</t>
  </si>
  <si>
    <t>Influence on Physical and Mechanical Properties of Concrete Using Crushed Hazelnut Shell</t>
  </si>
  <si>
    <t>Concrete production requires a significant amount of natural resources, with aggregates comprising between 55% and 80% of the total volume. However, the over-exploitation of natural aggregates has led to the exploration of alternative materials for use in concrete production. In this study, crushed hazelnut shells were investigated as a partial replacement for fine aggregate, addressing the problem of natural resource depletion and offering a second use for this important agricultural waste product available in Chile. Hazelnut shells were incorporated in percentages of 2.5%, 5%, and 10% by weight of sand for water/cement ratios of 0.4 and 0.5. The compressive strength at 7 and 28 days and bending strength at 28 days were determined, alongside physical properties such as the workability, temperature, air content, fresh density, and hardened density of the concrete. Our findings showed that replacing 2.5% of the fine aggregate with hazelnut shells led to a higher compressive strength at 28 days, exceeding the strength of the standard specimens by 9.5%, whereas replacing 5% of the fine aggregate led to the highest bending strength, exceeding the strength of the standard specimens by 3.5%. Moreover, the 0.4 w/c ratio consistently led to better results for both compressive and bending strength, with fewer and lower reductions in mechanical strength compared to the standard mixture. Our results suggest that concrete mixes with hazelnut shells as a replacement for fine aggregate at a percentage of up to 2.5% can be used in construction systems with a compression strength lower than 17 MPa, and mixtures with up to 10% hazelnut shell replacement can be used in structures with tensile bending stress requirements lower than 6 MPa. Overall, the use of hazelnut shells as a partial replacement for fine aggregate in concrete production presents an environmentally friendly and cost-effective solution for the construction industry.</t>
  </si>
  <si>
    <t>Pina, Juan/AAC-3455-2021; Yanez, Sergio/G-5230-2019</t>
  </si>
  <si>
    <t>Pina, Juan Carlos/0000-0003-2556-3638; Yanez, Sergio/0000-0002-8856-0955</t>
  </si>
  <si>
    <t>10.3390/app132212159</t>
  </si>
  <si>
    <t>WOS:001107864900001</t>
  </si>
  <si>
    <t>Zambrano, V; Bustos, R; Arozarena, Y; Mahn, A; Gabriele, D</t>
  </si>
  <si>
    <t>Zambrano, Victor; Bustos, Ruben; Arozarena, Yipsy; Mahn, Andrea; Gabriele, Domenico</t>
  </si>
  <si>
    <t>Optimization of a Microencapsulation Process Using Oil-in-Water (O/W) Emulsion to Increase Thermal Stability of Sulforaphane</t>
  </si>
  <si>
    <t>FOODS</t>
  </si>
  <si>
    <t>Sulforaphane (SFN) is a bioactive compound widely studied for its potential applications in pharmaceutical, nutraceutical, and food industries since it offers health benefits due to its nature as a Phase 2 enzyme inducer. Its application in the food industry has been limited because SFN is unstable at high temperatures in an aqueous milieu. An option to increase SFN stability and protect it from thermal degradation is microencapsulation. The aim of this work was to optimize a microencapsulation process using oil-in-water emulsion to increase the thermal stability of SFN. The operation conditions that gave the highest entrapment efficiency were determined via experimental design and response surface methodology. Thermal degradation of microencapsulated SFN was studied at 37, 50, 60, and 70 degrees C. The optimum microencapsulation conditions were 8 min stirring, SFN/Gum Arabic ratio of 0.82, and surfactant/oil ratio of 1.0, resulting in an entrapment efficiency of 65%, which is the highest reported so far. The thermal stability of microencapsulated SFN was greatly enhanced compared with free SFN, with a 6-fold decrease in the degradation kinetic constant and a 41% increase in the activation energy. These results will contribute to a more efficient incorporation of SFN in various food matrices and explore new microencapsulation technologies to maximize the efficiency and stability of SFN.</t>
  </si>
  <si>
    <t>Bustos, Ruben/AAM-2029-2020</t>
  </si>
  <si>
    <t>Mahn, Andrea/0000-0001-6082-0279; Arozarena, Yipsy/0009-0000-9250-0034; Zambrano, Victor/0000-0003-4054-059X; Bustos, Ruben/0000-0003-0183-0324</t>
  </si>
  <si>
    <t>2304-8158</t>
  </si>
  <si>
    <t>10.3390/foods12203869</t>
  </si>
  <si>
    <t>WOS:001089825700001</t>
  </si>
  <si>
    <t>Muñoz, CD</t>
  </si>
  <si>
    <t>Munoz, Consuelo Diaz</t>
  </si>
  <si>
    <t>Epistemic (In)justice, a key concept to address trans* memory: The case of the dictatorship and post-dictatorship in Chile</t>
  </si>
  <si>
    <t>SIMBIOTICA</t>
  </si>
  <si>
    <t>The life experiences of communities of gender dissidents have been historically silenced; given this scenario, a key device to disarticulate such omissions is their testimony. This article addresses the story enunciated by Silvia Parada about her experiences as a trans* woman during the Pinochet dictatorship, emphasizing how the political demands that embody trans* memory have managed to directly challenge the State and its institutions. Thanks to the concept of epistemic injustice proposed by Miranda Fricker (2017), it is possible to reflect on structural violence from a perspective that gives us the necessary tools to attend to and address the emergencies of the LGBTIQA+ population with testimonial sensitivity. Thus, this proposal seeks to delve into the agentic self-construction of these protagonists, to identify their political demands and the responses they have received. Likewise, the results of this research propose new reading keys to continue strengthening studies on gender dissent.</t>
  </si>
  <si>
    <t>2316-1620</t>
  </si>
  <si>
    <t>10.47456/simbitica.v10i2.39554</t>
  </si>
  <si>
    <t>WOS:001054111600008</t>
  </si>
  <si>
    <t>Villegas, C; Martínez, S; Torres, A; Rojas, A; Araya, R; Guarda, A; Galotto, MJ</t>
  </si>
  <si>
    <t>Villegas, Carolina; Martinez, Sara; Torres, Alejandra; Rojas, Adrian; Araya, Rocio; Guarda, Abel; Galotto, Maria Jose</t>
  </si>
  <si>
    <t>Processing, Characterization and Disintegration Properties of Biopolymers Based on Mater-Bi® and Ellagic Acid/Chitosan Coating</t>
  </si>
  <si>
    <t>Among the most promising synthetic biopolymers to replace conventional plastics in numerous applications is MaterBi((R)) (MB), a commercial biodegradable polymer based on modified starch and synthetic polymers. Actually, MB has important commercial applications as it shows interesting mechanical properties, thermal stability, processability and biodegradability. On the other hand, research has also focused on the incorporation of natural, efficient and low-cost active compounds into various materials with the aim of incorporating antimicrobial and/or antioxidant capacities into matrix polymers to extend the shelf life of foods. Among these is ellagic acid (EA), a polyphenolic compound abundant in some fruits, nuts and seeds, but also in agroforestry and industrial residues, which seems to be a promising biomolecule with interesting biological activities, including antioxidant activity, antibacterial activity and UV-barrier properties. The objective of this research is to develop a film based on commercial biopolymer Mater-Bi-(R) (MB) EF51L, incorporating active coating from chitosan with a natural active compound (EA) at two concentrations (2.5 and 5 wt.%). The formulations obtained complete characterization and were carried out in order to evaluate whether the incorporation of the coating significantly affects thermal, mechanical, structural, water-vapor barrier and disintegration properties. From the results, FTIR analysis yielded identification, through characteristic peaks, that the type of MB used is constituted by three polymers, namely PLA, TPS and PBAT. With respect to the mechanical properties, the values of tensile modulus and tensile strength of the MB-CHI film were between 15 and 23% lower than the values obtained for the MB film. The addition of 2.5 wt.% EA to the CHI layer did not generate changes in the mechanical properties of the system, whereas a 5 wt.% increase in ellagic acid improved the mechanical properties of the CHI film through the addition of natural phenolic compounds at high concentrations. Finally, the disintegration process was mainly affected by the PBAT biopolymer, causing the material to not disintegrate within the times indicated by ISO 20200.</t>
  </si>
  <si>
    <t>Rojas, Adrián/ISB-5770-2023</t>
  </si>
  <si>
    <t>Rojas, Adrian/0000-0001-9253-1295</t>
  </si>
  <si>
    <t>10.3390/polym15061548</t>
  </si>
  <si>
    <t>WOS:000960506300001</t>
  </si>
  <si>
    <t>Avaria, DCV</t>
  </si>
  <si>
    <t>Avaria, Dra Carola Vesely</t>
  </si>
  <si>
    <t>EDITORIAL NOTE</t>
  </si>
  <si>
    <t>INFANCIAS IMAGENES</t>
  </si>
  <si>
    <t>1657-9089</t>
  </si>
  <si>
    <t>2665-511X</t>
  </si>
  <si>
    <t>WOS:001096164500001</t>
  </si>
  <si>
    <t>Suffering, Torture and public Space</t>
  </si>
  <si>
    <t>PENSAMIENTO</t>
  </si>
  <si>
    <t>Ric oe ur asserts that the medical therapeutics and phenomenology interweave in the semiotics of suffering signs. This becomes manifest when some fundamental characteristics of suffering are reached and defined. This methodology allows decipher the locus of suffering in the city by means of an aesthetic of the sublime. Being suffering an experience, the analysis of the relation of suffering with the theory of sublime is not only legitimate but inevitable. This forces to consider suffering as something wider than an individual fact and to define it as a component of the public interest. During the analysis we will evaluate some steps of suffering, as: long term suffering in a medical context, animal suffering, torture, euthanasia and suicide, whenever the aim of the last one is to rise an emotion in the city.</t>
  </si>
  <si>
    <t>0031-4749</t>
  </si>
  <si>
    <t>2386-5822</t>
  </si>
  <si>
    <t>10.14422/pen.v79.i303.y2023.009</t>
  </si>
  <si>
    <t>WOS:001111233000003</t>
  </si>
  <si>
    <t>Dintrans, PV; Valenzuela, P; Castillo, C; Granizo, Y; Maddaleno, M</t>
  </si>
  <si>
    <t>Villalobos Dintrans, Pablo; Valenzuela, Paula; Castillo, Claudio; Granizo, Yamileth; Maddaleno, Matilde</t>
  </si>
  <si>
    <t>Bottom-up innovative responses to COVID-19 in Latin America and the Caribbean: addressing deprioritized populations</t>
  </si>
  <si>
    <t>REVISTA PANAMERICANA DE SALUD PUBLICA-PAN AMERICAN JOURNAL OF PUBLIC HEALTH</t>
  </si>
  <si>
    <t>Objective. To identify and describe innovative initiatives implemented as a response to the interruption of health services during the COVID-19 pandemic in Latin America and the Caribbean (LAC). Methods. This was a descriptive study that reviewed 34 initiatives implemented during the COVID-19 pandemic in LAC to address health services needs among deprioritized groups. The review of initiatives included four phases: a call for submissions of innovative initiatives from LAC countries; a selection of initiatives that had the ability to address health services gaps and that were innovative and effective; systematization and cataloging of the selected initiatives; and a content analysis of the information collected. Data were analyzed from September to October 2021. Results. The 34 initiatives show important variations regarding the target populations, the stakeholders involved, level of implementation, strategies, scope, and relevance of the innovative initiative. There was also evidence of the emergence of a bottom-up set of actions in the absence of top-down actions. Conclusion. The findings of this descriptive review of 34 initiatives implemented during the COVID-19 pandemic in LAC suggest that systematizing the strategies and lessons learned has the potential to expand learning for re-establishing and improving post-pandemic health services.</t>
  </si>
  <si>
    <t>1020-4989</t>
  </si>
  <si>
    <t>1680-5348</t>
  </si>
  <si>
    <t>10.26633/RPSP.2023.92</t>
  </si>
  <si>
    <t>WOS:001012860700001</t>
  </si>
  <si>
    <t>Donoso-García, P; Henríquez-Vargas, L; Huerta, E</t>
  </si>
  <si>
    <t>Donoso-Garcia, Pablo; Henriquez-Vargas, Luis; Huerta, Esteban</t>
  </si>
  <si>
    <t>Waste Heat Recovery from Air Using Porous Media and Conversion to Electricity</t>
  </si>
  <si>
    <t>This paper presents a numerical study of waste heat recovery from a fluid stream using thermoelectric devices. The system consisted of a square section duct with spherical porous media placed in its central region. Hot air circulates continuously through the duct and exchanges energy with the solid matrix and subsequently with the thermoelectric modules. The mathematical model of the system was solved using ANSYS/FLUENT software, requiring the implementation of user-defined functions (UDFs) and user-defined scalars (UDS) regarding porous media and thermoelectric generation modelling. From the simulations carried out, global efficiency and electrical power values were obtained in the range of [0.11-4.51] [%] and [0.01-12.77] [W], respectively. Furthermore, for the set of variables analysed, it was observed that the performance of the system is favoured by an increase in the fluid inlet temperature and speed, as well as by a higher external heat transfer coefficient.</t>
  </si>
  <si>
    <t>Donoso Garcia, Pablo/0000-0001-9839-8691; Henriquez-Vargas, Luis/0000-0002-6825-8505</t>
  </si>
  <si>
    <t>10.3390/en15155597</t>
  </si>
  <si>
    <t>WOS:000839738900001</t>
  </si>
  <si>
    <t>Manríquez, MR; Martín, RR</t>
  </si>
  <si>
    <t>Manriquez, Manuel Rubio; Martin, Raquel Rubio</t>
  </si>
  <si>
    <t>The cultural dimension in the training of teachers of Spanish for inmigrants.</t>
  </si>
  <si>
    <t>LENGUA Y MIGRACION-LANGUAGE AND MIGRATION</t>
  </si>
  <si>
    <t>The purpose of this work is to characterize the role of cultural dimension from the perspective of the development of intercultural competence, experienced by a group of university students who teach Spanish as a foreign language to adult immigrants of different nationalities in Santiago de Chile. This research is based on the qualitative analysis of this group of instructors' teaching experiences, through the process of reflection on action and identification of critical incident to build shared pedagogical knowledge. As a result, a change in the static idea of culture is identified, one's own culture is relativized, and an idea of culture as a dynamic element starts to emerge, which is reconfigured through dialogue in a framework of mutual recognition and empathy.</t>
  </si>
  <si>
    <t>1889-5425</t>
  </si>
  <si>
    <t>10.37536/LYM.14.1.2022.990</t>
  </si>
  <si>
    <t>WOS:000998174300006</t>
  </si>
  <si>
    <t>Flores-Kossack, C; Muñoz, C; Fuentes, N; Maisey, K</t>
  </si>
  <si>
    <t>Flores-Kossack, C.; Munoz, C.; Fuentes, N.; Maisey, K.</t>
  </si>
  <si>
    <t>Analysis of rainbow trout TCRαβ/CD3 complex: An in-silico modeling approach</t>
  </si>
  <si>
    <t>MOLECULAR IMMUNOLOGY</t>
  </si>
  <si>
    <t>In mammals, the T lymphocyte receptor (TCR) is a multiprotein complex formed by the proteins TCR alpha, TCR beta, CD3 epsilon, CD3 gamma, CD3 delta, and CD3 zeta. It is responsible for recognizing antigens processed and presented by antigen presenting cells (APC). The TCR is located at the cytoplasmic membrane of the T lymphocyte but is functional assembled in the rough endoplasmic reticulum (RER).Most of the available information on TCR constituents in salmonids comes from numerous nucleotide sequences available in different databases. In this work, by in silico homology modeling, we generated the TCR alpha beta/ CD3 complex of rainbow trout (Oncorhynchus mykiss) and characterized the structure of the different proteins and their potential interactions.The results show that the main structural features described in mammalian TCR/CD3 are present in the model predicted for trout. Furthermore, we highlighted several aminoacidic interactions between TCR alpha, TCR beta, CD3 gamma delta, and CD3 epsilon.In silico structural analyses suggest that trout TCR alpha beta complex would fit similarly to that described for mammals. Herein, we explore the implications of the modeled trout complex and the leukocyte phenotypes, mainly associated with different regulation mechanisms of trout TCR alpha beta/CD3 subunits gene expression or may be due to differences in the assembly process of the complex in the RER. However, further studies will be needed to study deeper the mechanisms involved.</t>
  </si>
  <si>
    <t>Maisey, Kevin/AAP-2886-2021; Fuentes, Natalia/KIG-8791-2024</t>
  </si>
  <si>
    <t>Maisey, Kevin/0000-0002-7423-6329</t>
  </si>
  <si>
    <t>0161-5890</t>
  </si>
  <si>
    <t>1872-9142</t>
  </si>
  <si>
    <t>10.1016/j.molimm.2022.02.009</t>
  </si>
  <si>
    <t>FEB 2022</t>
  </si>
  <si>
    <t>WOS:000789539700004</t>
  </si>
  <si>
    <t>Abarzúa, CGO</t>
  </si>
  <si>
    <t>Abarzua, Carlos G. Osorio</t>
  </si>
  <si>
    <t>Semina morbi or seeds of disease</t>
  </si>
  <si>
    <t>REVISTA CHILENA DE INFECTOLOGIA</t>
  </si>
  <si>
    <t>Already in ancient times there was the idea that tiny animals or insects could cause diseases when ingested or breathed. In parallel, several philosophers developed the concept of seeds to explain the composition of the world. Both concepts were amalgamated in the brilliant idea of seeds of disease that was spread in the famous poem De rerum natura by the Epicurean philosopher Lucretius. The idea was refined in the Renaissance by the prominent physician Girolamo Fracastorius with his famous semina morbi (seeds of disease) that explained contagion. The germinal theory of microbes of the s. XIX did nothing more than assign to this already millenary idea a material substratum.</t>
  </si>
  <si>
    <t>0716-1018</t>
  </si>
  <si>
    <t>0717-6341</t>
  </si>
  <si>
    <t>WOS:000800448700010</t>
  </si>
  <si>
    <t>Castillo-Sepúlveda, J; Pasmanik, D</t>
  </si>
  <si>
    <t>Castillo-Sepulveda, Jorge; Pasmanik, Diana</t>
  </si>
  <si>
    <t>Toward the understanding of 'the human' in engineering: a discourse analysis</t>
  </si>
  <si>
    <t>EUROPEAN JOURNAL OF ENGINEERING EDUCATION</t>
  </si>
  <si>
    <t>This study addresses the interpretations of the human in the discourse of civil industrial engineers in Chile and analyses their relationship with ethics and training. We argue that engineering is a heterogeneous activity that requires the alignment of multiple elements. Among these, assumptions about the human influence both the design of productive processes and the ways in which humans participate in organisations. Considering these aspects, we analysed the interpretative repertoires present in the discourse of civil industrial engineers, generated through individual and group interviews. We describe three ways in which the human is understood in engineering: in the casual, caring, and typification repertoires. After describing them in terms of how they discursively perform versions of the human, we discuss their ethical and practical implications for the engineer training processes. We conclude by discussing how viewing ethics as a product of daily practices can influence both training and daily professional activity.</t>
  </si>
  <si>
    <t>; Castillo-Sepulveda, Jorge/E-8632-2014</t>
  </si>
  <si>
    <t>Pasmanik, Diana/0000-0002-3996-3619; Castillo-Sepulveda, Jorge/0000-0002-6315-3798</t>
  </si>
  <si>
    <t>0304-3797</t>
  </si>
  <si>
    <t>1469-5898</t>
  </si>
  <si>
    <t>SEP 3</t>
  </si>
  <si>
    <t>10.1080/03043797.2021.1903836</t>
  </si>
  <si>
    <t>WOS:000633236700001</t>
  </si>
  <si>
    <t>Quijada-Maldonado, E; Romero, J</t>
  </si>
  <si>
    <t>Quijada-Maldonado, Esteban; Romero, Julio</t>
  </si>
  <si>
    <t>Solvent extraction of rare-earth elements with ionic liquids: Toward a selective and sustainable extraction of these valuable elements</t>
  </si>
  <si>
    <t>CURRENT OPINION IN GREEN AND SUSTAINABLE CHEMISTRY</t>
  </si>
  <si>
    <t>In this review, the performance of ionic liquids (ILs) as sepa-rating media for selective and sustainable extraction of rare-earth elements (REEs) is analyzed. ILs as solvents have been used as diluents and also as extractants diluted in organic solvents where it has been found that high selectivities were obtained when fractionating heavy REEs from light ones either when ILs are diluents or extractants. However, for adjacent REE separation, there is still a challenge for future research. Finally, an analysis is carried out providing insights for selec-tive and sustainable extraction of REEs with ILs.</t>
  </si>
  <si>
    <t>2452-2236</t>
  </si>
  <si>
    <t>10.1016/j.cogsc.2020.100428</t>
  </si>
  <si>
    <t>WOS:000641414700003</t>
  </si>
  <si>
    <t>Kaschel, H; Diaz, A</t>
  </si>
  <si>
    <t>Kaschel, Hector; Diaz, Alvaro</t>
  </si>
  <si>
    <t>High Security Ubiquitous H-IoT Monitoring System based on a WBAN</t>
  </si>
  <si>
    <t>Wireless Body Area Networks (WBANs) based on the Internet of Things (IoT) play an important role in modern medical systems to monitor and supervise the health of a patient. WBANs have the ability to collect information on the physiological variables of the human body from patients in real time using smart sensors and then send the collected information remotely to a ubiquitous and highly secure H-IoT monitoring system to perform monitoring early detection of the patient's disease. The advantages of H-IoT are numerous and can greatly ease the burden on public health institutions and reduce a country's healthcare costs. In this paper we present the concepts of electronic health records and internet of medical things (HIoT) and the requirements needed to design a highly secure ubiquitous H-IoT monitoring system based on a WBAN.</t>
  </si>
  <si>
    <t>Kaschel, Hector/0000-0002-0868-7834</t>
  </si>
  <si>
    <t>10.1109/ICAACCA51523.2021.9465281</t>
  </si>
  <si>
    <t>WOS:000855764500030</t>
  </si>
  <si>
    <t>Díaz, CZ</t>
  </si>
  <si>
    <t>Zamorano Diaz, Cesar</t>
  </si>
  <si>
    <t>Cries of eviction. Testimony in Chilean exile magazines</t>
  </si>
  <si>
    <t>ALTRE MODERNITA-RIVISTA DI STUDI LETTERARI E CULTURALI</t>
  </si>
  <si>
    <t>The exile of thousands of Chileans since 1973 generated a set of organizations and collectives in the various host countries. This allowed the creation of countless periodicals that channeled diverse forms of resistance, which were established through cultural and political production. Each journal, inspired by the need to express experiences and reflections generated from Chile and from abroad, poured their expectations in the construction of a universe of possible readers both in Chile, in the group of exiles and in an international community that had to be mobilized. This paper aims to address a set of narratives disseminated in political-cultural periodicals that have a testimonial character. Narratives ranging from denunciatory testimony to more complex forms, as is the case of the painter Guillermo Nunez, who in various records in cultural journals, allows us to recognize that the testimonial function is embedded in the deepest and most dramatic modulation of the human experience that writes to share and leave the trace of suffering individuality and expand in solidarity with others.</t>
  </si>
  <si>
    <t>Zamorano Diaz, Cesar/K-6033-2015</t>
  </si>
  <si>
    <t>2035-7680</t>
  </si>
  <si>
    <t>WOS:000634965300016</t>
  </si>
  <si>
    <t>Leal, A; Palomera, A; Norambuena, C</t>
  </si>
  <si>
    <t>Leal, Arlette; Palomera, Adriana; Norambuena, Carmen</t>
  </si>
  <si>
    <t>Protection and Refuge in Brazil and Chile: the Case of Palestinian Refugees-an Analysis from the Model of Economic and Cultural Adaptation</t>
  </si>
  <si>
    <t>JOURNAL OF INTERNATIONAL MIGRATION AND INTEGRATION</t>
  </si>
  <si>
    <t>From the beginning of the independent history of Brazil and Chile, both countries have hosted immigrants. This predisposition had been ratified in the last decade when the United Nations High Commissioner for Refugees (UNHCR) asked Latin American countries to settle a group of Palestinian families that were under their protection and both, Brazil and Chile responded favorably. In this process, Brazil, which accepted 109 refugees in 2007, and Chile, which accepted 116 refugees in 2008, presented differences and similarities in the measures applied in the protection of these refugees, evidenced in the programs used and in the role of inter-ministerial committees. This paper examines the measures applied for the protection of Palestinian refugees in Brazil and Chile from 2007 to 2011 through the refugees' adaptation model of Michael Lanphier and tests if this model can be applied in developing countries, such as Latin American countries.</t>
  </si>
  <si>
    <t>Leal, Arlette/0000-0002-8407-1409; Norambuena Carrasco, Carmen/0000-0002-9259-2992; Palomera, Adriana/0000-0003-2348-9411</t>
  </si>
  <si>
    <t>1488-3473</t>
  </si>
  <si>
    <t>1874-6365</t>
  </si>
  <si>
    <t>10.1007/s12134-019-00696-7</t>
  </si>
  <si>
    <t>WOS:000580753100007</t>
  </si>
  <si>
    <t>Sepúlveda-Rojas, JP; Ternero, R</t>
  </si>
  <si>
    <t>Sepulveda-Rojas, Juan Pedro; Ternero, Rodrigo</t>
  </si>
  <si>
    <t>Analysis of the Value of Information and Coordination in a Dyadic Closed Loop Supply Chain</t>
  </si>
  <si>
    <t>Purpose: This article analyzes the value of information and coordination in a closed loop supply chain (CLSC) and discusses the benefits of a global or local optimization approach and the impact of uncertainty. Methodology: A theoretical dyadic closed loop supply chain is analyzed where the manufacturer re-manufactures products returned by customers, producing as good as new products for the retailer. Twelve coordination scenarios were analyzed. For the definition of these scenarios, a framework based on two criteria was proposed: value of information and perimeter of decision making. Findings: Information on returns leads to lower costs than information on demand. In the presence of complete or partial coordination between the actors in the supply chain, it is preferable to have low product return rates. However, if we are in the complete absence of coordination, high rates of return are more convenient as they function as a buffer against uncertainties. The perimeter of decision making (global or local optimization) does not significantly improve the supply chain performance in relation to its costs. Only the exchange of information improves its performance. Therefore, companies should make efforts to exchange information, first, on their lot sizes, then on their returns and finally, on the customer demand. Originality: The novelty of our work relies on an analysis of the closed loop supply chain performance with the simultaneous presence of information, coordination, and uncertainty.</t>
  </si>
  <si>
    <t>Sepulveda-Rojas, Juan Pedro/C-1799-2013</t>
  </si>
  <si>
    <t>Sepulveda-Rojas, Juan Pedro/0000-0002-6725-7295</t>
  </si>
  <si>
    <t>10.3390/su12208398</t>
  </si>
  <si>
    <t>WOS:000583123400001</t>
  </si>
  <si>
    <t>Pagés-Díaz, J; Alvarado, AOC; Montalvo, S; Diaz-Robles, L; Curio, CH</t>
  </si>
  <si>
    <t>Pages-Diaz, Jhosane; Cerda Alvarado, Andres Osvaldo; Montalvo, Silvio; Diaz-Robles, Luis; Huilinir Curio, Cesar</t>
  </si>
  <si>
    <t>Anaerobic bio-methane potential of the liquors from hydrothermal carbonization of different lignocellulose biomasses</t>
  </si>
  <si>
    <t>RENEWABLE ENERGY</t>
  </si>
  <si>
    <t>In this work, the spent liquor of pine sawdust (L1), canola oil waste (L2), olive oil waste (L3) and vineyards waste (L4) from hydrothermal carbonization (220 degrees C, 1 h) process were studied as substrates for biogas production. Kinetic degradation using three kinetic models (Gompertz model, Hill model and Chapman model) was also analyzed. The batch experiments showed that the highest methane yield (253 NmLCH(4)/gCOD(added)) and higher soluble Chemical Oxygen Demand (sCOD) removal efficiency (71%) was achieved for the spent liquor of L1, reaching up to 81% of the theoretical methane yield. The liquid fractions of L2, L3 and L4 resulted in lower yields (24-36% of the theoretical yield) and lower sCOD removal (40-45%), which can be related to the presence of recalcitrant nitrogen materials formed during the HTC. Gompertz model better represents the performance of the liquor fractions (L1 and L2), having long lag phase (5-7 days), while Chapman model adjusted the accuracy of the behavior of L3 and L4 (lag phase &lt; 1 days). As a conclusion, the spent liquor coming from HTC process of lignocellulosic biomass waste can be used as resource to recover energy through anaerobic digestion. (C) 2020 Elsevier Ltd. All rights reserved.</t>
  </si>
  <si>
    <t>Pagés-Díaz, Jhosané/AAD-5648-2020; Diaz-Robles, Luis/D-3450-2013; Huilinir, Cesar/IYS-6899-2023</t>
  </si>
  <si>
    <t>Pages Diaz, Jhosane/0000-0002-2956-5705; Huilinir, Cesar/0000-0002-3487-684X</t>
  </si>
  <si>
    <t>0960-1481</t>
  </si>
  <si>
    <t>10.1016/j.renene.2020.05.025</t>
  </si>
  <si>
    <t>WOS:000541747100016</t>
  </si>
  <si>
    <t>Hofman, AA; Valderrama, P</t>
  </si>
  <si>
    <t>Hofman, Andre A.; Valderrama, Patricio</t>
  </si>
  <si>
    <t>LONG RUN ECONOMIC GROWTH PERFORMANCE IN LATIN AMERICA-1820-2016</t>
  </si>
  <si>
    <t>This paper provides an assessment of Latin America's long-run performance from a comparative and historical perspective and concentrates on quantification of long-run GDP growth and measurement of factor inputs and total factor productivity (TFP). Growth accounting shows the contribution of factor inputs (capital and labor) and TFP to output growth. What is new: capital and labor services are estimated for a group of nine countries, Argentina, Brazil, Chile, Colombia, Ecuador, Mexico, Peru, Uruguay, and Venezuela, and we widen the time frame of analysis to 1820-2016. This kind of exercise may serve different purposes such as explaining differences in growth rates between countries and assessing the role of technical progress. The overall GDP growth rate of the Latin American economies over the 1820-2016 period was somewhat above 3%. In the long run, the main differences in factor contributions to growth can be found in capital and, especially, in TFP. Capital contributed on average 1.45% to GDP growth over the whole period. However, the main culprit of the mediocre performance of Latin America compared to other developed and developing countries is TFP. TFP contributed over the whole period a mere 0.25% to Latin American GDP growth and was negative in several subperiods.</t>
  </si>
  <si>
    <t>10.1111/joes.12383</t>
  </si>
  <si>
    <t>WOS:000546430100001</t>
  </si>
  <si>
    <t>González-Araneda, S</t>
  </si>
  <si>
    <t>Gonzalez-Araneda, Sergio</t>
  </si>
  <si>
    <t>COMMENTARY TO THE RELATION BETWEEN TEMPORARINESS AND IMAGINATION IN JEAN-PAUL SARTRE'S PHENOMENOLOGICAL CONSCIOUSNESS</t>
  </si>
  <si>
    <t>COLMENA-REVISTA DE LA UNIVERSIDAD AUTONOMA DEL ESTADO DE MEXICO</t>
  </si>
  <si>
    <t>The components and philosophical performance of consciousness in Jean- Paul Sartre's thinking are exposed and analyzed. This is described as plaud in the word (ex-thetic), which acquires a meaning when it is thought from its temporary and imaginative unfolding. This way, it is shown that the most intimate constitution of reality, according to this philosopher, is the liberty to create possibilities, thinking of the unthought. That is to say, the core of human existence is the possibility to imagine new scenarios of reality.</t>
  </si>
  <si>
    <t>1405-6313</t>
  </si>
  <si>
    <t>2448-6302</t>
  </si>
  <si>
    <t>APR-JUN</t>
  </si>
  <si>
    <t>WOS:000543384000008</t>
  </si>
  <si>
    <t>Garrido-Vergara, L</t>
  </si>
  <si>
    <t>Garrido-Vergara, Luis</t>
  </si>
  <si>
    <t>Political, Social, and Cultural Capital in the Chilean Political Elite, 1990-2010</t>
  </si>
  <si>
    <t>LATIN AMERICAN POLITICS AND SOCIETY</t>
  </si>
  <si>
    <t>Although sociological research has examined the reproduction of Chile's elites, there is little empirical evidence of how different forms of capital operate among them. Using datasets for members of the Chilean political elite from 1990 to 2010, this country note examines and measures the effect of political, social, and cultural capital on the access of certain individuals to strategic positions in the political field, comparing the legislative and executive branches as represented by deputies and ministers. The empirical analysis includes logit models.</t>
  </si>
  <si>
    <t>Garrido-Vergara, Luis/0000-0002-8134-9663</t>
  </si>
  <si>
    <t>1531-426X</t>
  </si>
  <si>
    <t>1548-2456</t>
  </si>
  <si>
    <t>PII S1531426X19000487</t>
  </si>
  <si>
    <t>10.1017/lap.2019.48</t>
  </si>
  <si>
    <t>WOS:000506196300006</t>
  </si>
  <si>
    <t>TECHNOLOGY AND SOCIETY: CONTRIBUTIONS TO THE DEVELOPMENT OF PUBLIC POLICIES IN CHILE</t>
  </si>
  <si>
    <t>WOS:000608874800001</t>
  </si>
  <si>
    <t>Joglar, C; Rojas, SP</t>
  </si>
  <si>
    <t>Joglar, C.; Rojas, S. P.</t>
  </si>
  <si>
    <t>Overcoming Obstacles to the Formulation and Use of Questions in the Science Classroom: Analysis from a Teacher Reflection Workshop</t>
  </si>
  <si>
    <t>RESEARCH IN SCIENCE EDUCATION</t>
  </si>
  <si>
    <t>Studies have investigated various aspects of the use of questions in science lessons, but there is still a lack of research that demonstrates how, during peer reflection, teachers learn through identifying and overcoming obstacles to their own questioning in their professional development process. The present study is aimed at analyzing the types of obstacles identified by science teachers who participated in a Teacher Reflection Workshop (TRW) on the formulation and use of questions in their lessons. The workshop consisted of stage 1 (7 sessions), stage 2 (video recordings in school classrooms), and stage 3 (3 sessions). The discourses of 8 participating teachers in the areas of chemistry, biology, physics, and natural science at different educational institutions in the city of Santiago, Chile, were analyzed in this case study. The analysis was carried out by the professors participating in the workshop, based on the participants' identification, initial attempts to address, and proposals to overcome, their obstacles. In the earlier stages of the process, the identified obstacles had procedural characteristics, but as the process advanced, they took on a more epistemological nature. One of the main differences between the initial and final identification of obstacles by the participating teachers is that the latter were more precise and critical, and the teachers increasingly demonstrated the ability to propose specific solutions to teaching problems. Engagement with the obstacles does not take place uniformly but depends on the types of obstacles that the teachers identify in their practice. Proposals for overcoming the obstacles require the teachers to have time for reflecting and validating their ideas in their practice.</t>
  </si>
  <si>
    <t>ROJAS, SANDRA/AAU-5018-2020</t>
  </si>
  <si>
    <t>Joglar, Carol/0000-0002-3102-7295; Rojas Rojas, Sandra Patricia/0000-0001-6284-5373</t>
  </si>
  <si>
    <t>0157-244X</t>
  </si>
  <si>
    <t>1573-1898</t>
  </si>
  <si>
    <t>10.1007/s11165-019-9857-5</t>
  </si>
  <si>
    <t>WOS:000477042900013</t>
  </si>
  <si>
    <t>Against the presidentialization of public administration. The opposition's stance on administrative reform efforts in Chile, 1886-1889</t>
  </si>
  <si>
    <t>This paper aims to study the political debate with regard to a number of reforms of the Chilean public administration promoted by Chilean President Jose Manuel Balmaceda between 1886 and 1889. Based on a review of both Congressional records and news articles of the mentioned period, the paper analyzes the political discourse of the opposition with reference to the type of institutional relationship that the President of the Republic should have with the public administration. The article concludes that, due to the rejection of the President's ability to direct the administrative apparatus and use it as a political resource to control society as a whole, the opposition promoted an alternative vision in order to constrain the state's coercive capacity.</t>
  </si>
  <si>
    <t>10.4013/hist.2019.232.08</t>
  </si>
  <si>
    <t>WOS:000474689800009</t>
  </si>
  <si>
    <t>Silva, AG</t>
  </si>
  <si>
    <t>Gutierrez Silva, Alejandro</t>
  </si>
  <si>
    <t>Mineral movement simulation through the grates and pulp lifter in a SAG mill and evaluation for a new grate design using DEM</t>
  </si>
  <si>
    <t>PHYSICOCHEMICAL PROBLEMS OF MINERAL PROCESSING</t>
  </si>
  <si>
    <t>Nowadays computer simulations have been shown to be powerful tools to understand the performance of systems where we have mathematical models that can capture the physics of the problem. In this paper we attempt to simulate the behavior of the particles that move inside a large-scale mine mill, specifically through the grates and the discharge ducts of the material, when small changes are made in the geometry of the grates. Basically, the continuity, energy and momentum conservation equations are the ones that can solve the behavior of the material in that zone. The discrete element method is used to carry out the simulation, under the hypothesis that the restitution coefficient can substitute for the presence of the fluid inside the mill, and that by changing the angle of inclination of the grate slots the performance can improve the classification that they make and in the total discharge flow. A corollary of this study is that the pulp-lifters have a greater impact than the grates in improving the discharge flow. It was possible to quantify phenomena like flow-back and carry-over, effects that are not evaluable experimentally, in this way showing the usefulness of this simulation. The application of the DOE method has allowed to back up statistically the results and indicate that the slot angle increases the mill's outlet flow.</t>
  </si>
  <si>
    <t>Silva, André/Q-6858-2016</t>
  </si>
  <si>
    <t>1643-1049</t>
  </si>
  <si>
    <t>2084-4735</t>
  </si>
  <si>
    <t>10.5277/ppmp18174</t>
  </si>
  <si>
    <t>WOS:000468352000003</t>
  </si>
  <si>
    <t>Robles-Ortiz, C</t>
  </si>
  <si>
    <t>Robles-Ortiz, Claudio</t>
  </si>
  <si>
    <t>Revolution from below in Panguipulli: Agrarian reform and political conflict under the Popular Unity in Chile</t>
  </si>
  <si>
    <t>JOURNAL OF AGRARIAN CHANGE</t>
  </si>
  <si>
    <t>This article examines the political conflict in rural society during the Popular Unity Government (1970-73) by focusing on the mobilization of forestry workers in Panguipulli, a district in southern Chile. Adopting land invasions as their main strategy in the struggle for land and power, Panguipulli workers experienced a radical politicization by aligning themselves with the Peasant Revolutionary Movement, the peasant front of the Revolutionary Left Movement. Because of its relation with this emerging new left, rural mobilization was a significant expression of the revolution from below, which challenged the Popular Unity's Chilean road to socialism. Moreover, because rural mobilization also took place in other areas throughout Chile where the Revolutionary Left Movement was influential, it gave rise to a grassroots project for radicalizing the government's agrarian reform. As a result, the rural revolution from below strongly influenced the content and trajectory of political conflict under the Popular Unity Government.</t>
  </si>
  <si>
    <t>Robles-Ortiz, Claudio/IAQ-6409-2023</t>
  </si>
  <si>
    <t>Robles-Ortiz, Claudio/0000-0003-3041-7838</t>
  </si>
  <si>
    <t>1471-0358</t>
  </si>
  <si>
    <t>1471-0366</t>
  </si>
  <si>
    <t>10.1111/joac.12241</t>
  </si>
  <si>
    <t>WOS:000435939700007</t>
  </si>
  <si>
    <t>Herrera, F; Fuenzalida, F; Marquez, P; Gautier, JL</t>
  </si>
  <si>
    <t>Herrera, F.; Fuenzalida, F.; Marquez, P.; Gautier, J. L.</t>
  </si>
  <si>
    <t>Improvement of the electrochemical performance of LiFePO4 cathode by Y-doping</t>
  </si>
  <si>
    <t>MRS COMMUNICATIONS</t>
  </si>
  <si>
    <t>LiFe1-xYxPO4 doped (d-LFP) with amounts of yttrium (0.01% &lt; x &lt; 5% w/w) show a remarkable effect on the electrochemical behavior. The d-LPF samples were investigated on the Li extraction/insertion performance through charge/discharge and capacity-voltage curves. The best performance was attained with Y content of x = 1%. The materials were synthesized by a hydrothermal method and characterized by x-ray diffraction (XRD) and scanning electron microscopy-energy dispersive x-ray spectroscopy (SEM-EDX). The XRD studies showed that d-LPF had the same monoclinic structure as the undoped material. The achieved electrode performance has been attributed to the addition of Y3+ ion by stabilizing the orthorhomic structure. The electrode resistance decreases through the Y-doping.</t>
  </si>
  <si>
    <t>Marquez, Paulina/0000-0002-8020-6273; Herrera, Francisco/0000-0001-7783-2970</t>
  </si>
  <si>
    <t>2159-6859</t>
  </si>
  <si>
    <t>2159-6867</t>
  </si>
  <si>
    <t>10.1557/mrc.2017.71</t>
  </si>
  <si>
    <t>WOS:000412602400022</t>
  </si>
  <si>
    <t>Derpich, I; Sepulveda, J</t>
  </si>
  <si>
    <t>Derpich, I.; Sepulveda, J.</t>
  </si>
  <si>
    <t>Lagrangian Formulation for Energy-efficient Warehouse Design</t>
  </si>
  <si>
    <t>Energy consumption in modern warehouses is today an important issue which has not received much attention in the scientific community. In this paper it is addressed the problem of warehouse design considering the energy costs incurred by vehicles and equipment in a fully or partially automated facility. Closed-form solutions are obtained by a formulating the Lagrangian of an operational cost function with equality constraints. The contribution of the paper is to develop formulas for reduced energy consumption and pollution, both relevant aspects in sustainable engineering systems. An example applied to a distributor of MRO items is presented. In this version the energy cost is integrated into the formula, modifying the method presented in [1].(a)</t>
  </si>
  <si>
    <t>WOS:000390587600003</t>
  </si>
  <si>
    <t>Mahn, A; Rubio, MP</t>
  </si>
  <si>
    <t>Mahn, Andrea; Paz Rubio, M.</t>
  </si>
  <si>
    <t>Evolution of Total Polyphenols Content and Antioxidant Activity in Broccoli Florets during Storage at Different Temperatures</t>
  </si>
  <si>
    <t>JOURNAL OF FOOD QUALITY</t>
  </si>
  <si>
    <t>Broccoli has great potential as functional food because of its high content of bioactive compounds. Polyphenols are to a great extent responsible for the high antioxidant activity of broccoli. An important challenge to keep the health promoting properties of broccoli is preservation, with freezing and refrigeration being the preferred methods. Despite storage at low temperature reduces the rate of deterioration reactions, some reactions still occur, thus affecting the content of bioactive compounds. In this work, we investigated the evolution of total polyphenols content and antioxidant activity in blanched and unprocessed broccoli florets during storage at different temperatures (-45 degrees C to 20 degrees C). Both antioxidant activity and total polyphenols content increased at the beginning of storage at -21, -1, 10, and 20 degrees C, followed by a decrease. Storage at -45 degrees C produced no significant variations. The uneven behavior of antioxidant activity precluded modeling. The evolution of polyphenols was well described by a two-consecutive-reaction model, with r &gt; 0.86 and MSE &lt; 0.1. The Ea values obtained for polyphenols formation (27-32 kJ/mol) and degradation (26-38 kJ/mol) confirm that, in both unprocessed and blanched broccoli, the same reactions are responsible for the evolution of polyphenols content. Our results may contribute to design preservation strategies of broccoli.</t>
  </si>
  <si>
    <t>0146-9428</t>
  </si>
  <si>
    <t>1745-4557</t>
  </si>
  <si>
    <t>10.1155/2017/3742183</t>
  </si>
  <si>
    <t>WOS:000413008500001</t>
  </si>
  <si>
    <t>Morales, C; Adasme, P</t>
  </si>
  <si>
    <t>Morales, Claudio; Adasme, Pablo</t>
  </si>
  <si>
    <t>Modeling a Simple Traveler Salesman Problem for Improving Energy Efficiency in Robots that Execute Computer Numerical Control Machining</t>
  </si>
  <si>
    <t>Energy efficiency is a permanent concern in all types of production processes. The automation of machine tools using Computer Numerical Control (CNC) and the increasing introduction of manipulator robots mean a significant improvement in the efficient use of energy versus manual production methods, but there is still scope for improving efficiency and productivity. One of the methods to improve efficiency is the definition of optimal trajectories in the execution of automated tasks. In small and medium-scale flexible manufacturing systems, the tasks assigned to CNC machines are usually given in standardized formats, such as G-code, where the paths defined from the design software do not necessarily take into account the efficient use of the energy for a given machine. This problem is addressed in this paper from the need to optimize the use of energy in an articulated robot that performs a drilling task originally designed to be executed in a CNC drill. We propose a simple method to model the energy consumption of the robot as an optimization problem in the well-known form of a Traveler Salesman Problem (TSP), with which it is possible to use common software packages for its resolution. The proposed solution simplifies the approach of the optimization problem in relation to other proposals in the literature and is generalizable to other machining tasks and machining systems.</t>
  </si>
  <si>
    <t>Adasme, Pablo/0000-0003-2500-3294</t>
  </si>
  <si>
    <t>WOS:000425925000150</t>
  </si>
  <si>
    <t>Urrea, Claudio; Kern, John</t>
  </si>
  <si>
    <t>Development of an electronic controller applied to a robotized manipulator</t>
  </si>
  <si>
    <t>The design and implementation of an embedded control system using DSC (Digital Signal Controller) devices of the dsPIC type, applied on a four-DOF (Degrees Of Freedom) model OWI-535 robotic manipulator is presented. A control structure based on a Master/Slave configuration between two dsPIC30F4013 through the SPI (Serial Peripheral Interface) protocol is developed. In such a system, algorithms are implemented: PID (Proportional Integral Derivative) with anti-windup, and generation PWM (Pulse-Width Modulation) and data acquisition, in the DSC master and slave, respectively. The proposed methodology greatly simplifies the development of an autonomous control system based on DSCs that communicate with each other. Taking advantage of the high transmission speed of SPI communications and of the quick response of the dsPIC30F4013 DSC which makes up the embedded system, it is possible to reduce the correction time error of the robot's joint position and to eliminate the vibrations of the actuators, achieving settlement of the desired position quickly and smoothly. (C) 2016 Elsevier Ltd. All rights reserved.</t>
  </si>
  <si>
    <t>10.1016/j.compeleceng.2016.01.020</t>
  </si>
  <si>
    <t>WOS:000390640700046</t>
  </si>
  <si>
    <t>Vera-Villarroel, P; Contreras, D; Lillo, S; Beyle, C; Segovia, A; Rojo, N; Moreno, S; Oyarzo, F</t>
  </si>
  <si>
    <t>Vera-Villarroel, Pablo; Contreras, Daniela; Lillo, Sebastian; Beyle, Christian; Segovia, Ariel; Rojo, Natalia; Moreno, Sandra; Oyarzo, Francisco</t>
  </si>
  <si>
    <t>Perception of Safety and Liking Associated to the Colour Intervention of Bike Lanes: Contribution from the Behavioural Sciences to Urban Design and Wellbeing</t>
  </si>
  <si>
    <t>PLOS ONE</t>
  </si>
  <si>
    <t>The perception of colour and its subjective effects are key issues to designing safe and enjoyable bike lanes. This paper addresses the relationship between the colours of bike lane interventions-in particular pavement painting and intersection design-and the subjective evaluation of liking, visual saliency, and perceived safety related to such an intervention. Utilising images of three real bike lane intersections modified by software to change their colour (five in total), this study recruited 538 participants to assess their perception of all fifteen colour-design combinations. A multivariate analysis of covariance (MANCOVA) with the Bonferroni post hoc test was performed to assess the effect of the main conditions (colour and design) on the dependent variables (liking towards the intervention, level of visual saliency of the intersection, and perceived safety of the bike lane). The results showed that the colour red was more positively associated to the outcome variables, followed by yellow and blue. Additionally, it was observed that the effect of colour widely outweighs the effect of design, suggesting that the right choice and use of colour would increase the effectiveness on bike-lanes pavement interventions. Limitations and future directions are discussed.</t>
  </si>
  <si>
    <t>Lillo, Sara/KVB-4124-2024; Beyle, Christian/O-9872-2019; Vera-Villarroel, Pablo/A-1134-2011; Beyle, Christian/E-8226-2018</t>
  </si>
  <si>
    <t>Vera-Villarroel, Pablo/0000-0001-9187-8414; Beyle, Christian/0000-0003-2526-3141</t>
  </si>
  <si>
    <t>1932-6203</t>
  </si>
  <si>
    <t>e0160399</t>
  </si>
  <si>
    <t>10.1371/journal.pone.0160399</t>
  </si>
  <si>
    <t>WOS:000381768400014</t>
  </si>
  <si>
    <t>Expansion of the firm during the 1820s-1830s and the South American branches</t>
  </si>
  <si>
    <t>WOS:000458913900003</t>
  </si>
  <si>
    <t>Torres, J; Contreras, S; Palominos, P; Lippi, L</t>
  </si>
  <si>
    <t>Torres, J.; Contreras, S.; Palominos, P.; Lippi, L.</t>
  </si>
  <si>
    <t>ISO 9001 IN EDUCATIONAL ORGANIZATIONS: INTERNATIONAL IMPLEMENTATION EXPERIENCES</t>
  </si>
  <si>
    <t>INTED2016: 10TH INTERNATIONAL TECHNOLOGY, EDUCATION AND DEVELOPMENT CONFERENCE</t>
  </si>
  <si>
    <t>10th International Technology, Education and Development Conference (INTED)</t>
  </si>
  <si>
    <t>MAR 07-09, 2016</t>
  </si>
  <si>
    <t>In the context of a new Educational Reform in Chile, one of the issues gaining relevance is quality: what it means in an educational context; how to move forward in its pursuit and how to secure it. Based on the above, this article intends to contribute to the debate, from the review of international experiences in implementing ISO 9000 and 9001 in educational organizations. ISO 9000 Standards and particularly ISO 9001 are part of a continuously expanding Quality Assurance System, which is involved in an organization's processes, contributing through its order, cleanliness and standardization. From the world of business and labors, this standard has crossed the borders of its origin, by being implemented in several types of organizations of various kinds, including those that focus their activities on teaching and learning processes. Finally, this article proposes a discussion on the relevance of implementing ISO 9001 in professional technical and vocational secondary schools in Chile. Acknowledgements: We wish to thank the Universidad de Santiago de Chile, Usach. Proyecto DICYT, Codigo 031554CP_DAS, Vicerrectoria de Investigacion, Desarrollo e Innovacion.</t>
  </si>
  <si>
    <t>978-84-608-5617-7</t>
  </si>
  <si>
    <t>WOS:000402738402130</t>
  </si>
  <si>
    <t>García, V; Scovacricchi, E; Cubillos, FA; Martínez, C</t>
  </si>
  <si>
    <t>Garcia, Veronica; Scovacricchi, Eugenio; Cubillos, Francisco A.; Martinez, Claudio</t>
  </si>
  <si>
    <t>Study of effectors proteins of Campylobacter jejuni using yeast as model</t>
  </si>
  <si>
    <t>YEAST</t>
  </si>
  <si>
    <t>27th International Conference on Yeast Genetics and Molecular Biology (ICYGMB)</t>
  </si>
  <si>
    <t>SEP 06-12, 2015</t>
  </si>
  <si>
    <t>Fondazione Edmund Mach, Levico Terme, ITALY</t>
  </si>
  <si>
    <t>Inst Cell Biol Nas Ukraine,Roche,Singer Instruments,Tema Ric,EMBO,Wiley Blackwell,Federat European Microbiol Soc,Assoc Genetica Italiana,Stanford Univ,DSB,Athesina Studiorum Univ,Soc Italiana Microbiologia Generale &amp; Biotecnologie Microbiche,Saccharomyces Genome Database,Fondazione Bruno Kessler,Prov Autonoma Trento</t>
  </si>
  <si>
    <t>Fondazione Edmund Mach</t>
  </si>
  <si>
    <t>Cubillos, Francisco/G-5195-2019; Martinez, Claudio/MGS-9961-2025; García, Verónica/AAM-1175-2021</t>
  </si>
  <si>
    <t>0749-503X</t>
  </si>
  <si>
    <t>1097-0061</t>
  </si>
  <si>
    <t>PS7-11</t>
  </si>
  <si>
    <t>S178</t>
  </si>
  <si>
    <t>WOS:000361466200293</t>
  </si>
  <si>
    <t>Mendoza, L; Sepúlveda, C; Melo, R; Cotoras, M</t>
  </si>
  <si>
    <t>Mendoza, Leonora; Sepulveda, Carolina; Melo, Ricardo; Cotoras, Milena</t>
  </si>
  <si>
    <t>CHARACTERIZATION OF THE ANTIFUNGAL ACTIVITY AGAINST BOTRYTIS CINEREA OF SCLAREOL AND 13-EPI-SCLAREOL, TWO LABDANE-TYPE DITERPENOIDS</t>
  </si>
  <si>
    <t>The antifungal activity of Sclareol and 13-epi-Sclareol, two labdane-type diterpenoids, on mycelial growth of the phytopathogenic fungus Botrytis cinerea was evaluated. Diterpenoid fungitoxicity was assessed using the radial growth test method. Both diterpenoids inhibited the mycelial growth of B. cinerea in solid medium; however the inhibitory activity of Sclareol was slightly higher than 13-epi-Sclareol with IC50 value of 237.6 mu g/mL and 268.8 mu g/mL, respectively. On the other hand, both labdane-type diterpenoids did not alter the plasmatic membrane integrity; however the oxygen consumption of B. cinerea germinating conidia was affected. The evidence suggests that action mechanism of these molecules would be related to the uncoupling of mitochondrial oxidative phosphorylation. Finally, biotransformation of Sclareol by B. cinerea was analysed and the main biotransformed metabolite was identified as 3 beta-hydroxysclareol.</t>
  </si>
  <si>
    <t>10.4067/S0717-97072015000300010</t>
  </si>
  <si>
    <t>WOS:000365352800010</t>
  </si>
  <si>
    <t>Sandoval, D; Soto, I; Adasme, P</t>
  </si>
  <si>
    <t>Sandoval, Diego; Soto, Ismael; Adasme, Pablo</t>
  </si>
  <si>
    <t>Control of Direct Current Motor using Ant Colony Optimization</t>
  </si>
  <si>
    <t>2015 CHILEAN CONFERENCE ON ELECTRICAL, ELECTRONICS ENGINEERING, INFORMATION AND COMMUNICATION TECHNOLOGIES (CHILECON)</t>
  </si>
  <si>
    <t>In this paper an Ant Colony optimization (ACO) algorithm is proposed as tuning mechanism for Proportional-Integral-Derivative(PID) controller of a direct current (DC) motor from a robotic arm. Firstly, the model of the DC motor, PID and ACO algorithm are described. Secondly, it is performed the PID tuning using Ziegler-Nichols (ZN), manual tuning and the ACO algorithm. Finally, the experimental results of PID and tuning methods are compared and discussed.</t>
  </si>
  <si>
    <t>Soto, Ismael/0000-0002-5501-5651</t>
  </si>
  <si>
    <t>WOS:000380551100014</t>
  </si>
  <si>
    <t>Sepúlveda, N; Melo, F; Vivanco, F</t>
  </si>
  <si>
    <t>Sepulveda, Nelson; Melo, Francisco; Vivanco, Francisco</t>
  </si>
  <si>
    <t>Effects of grain shape on the response of a two-dimensional granular material under constant shear rate</t>
  </si>
  <si>
    <t>We present a study on the effects of particle shape (disks, hexagons, and pentagons) on the macroscopic coefficient of friction of a two-dimensional, monodisperse, single-shaped, granular system, subjected to shear. We found that the mechanism of stress relaxation in disks is based on the sliding of adjacent planes parallel to the applied deformation direction. In hexagons, stress is relaxed through the creation of rigid pivots, which require hexagonal domains to nucleate and are responsible for the large fluctuations in the dilatancy and shear force. In pentagons the stress relaxation mechanism is through the rotation of individual pentagons, which is a consequence of their permanent misalignment, and are responsible for the small but relatively rapid fluctuations in the shear force. We observed that the friction coefficient is larger for polygonal particles than for the rounded ones. A maximum in the friction coefficient is observed in hexagon granulates with an initial width around 6.5 grains caused by the increased frequency in nucleation of rigid pivots. In mixtures of disks and hexagons we observed three different friction coefficient behaviors, which depended on the relative concentration of hexagons; in low concentrations of hexagons, &lt;20%, the friction coefficient corresponds to that obtained in solely disks, at intermediate concentrations,&lt;80%, the coefficient varies linearly with concentration, and at larger concentrations the friction coefficient corresponds to the values obtained for solely hexagons. On the contrary, mixtures of pentagons and hexagons showed two regimes; a low constant friction regime at concentrations lower than 60%, and an increased in friction observed with higher concentrations of hexagons.</t>
  </si>
  <si>
    <t>Melo, Francisco/M-3923-2014; Sepulveda, Nelson/E-6536-2011; Vivanco, Francisco/AAB-8928-2019</t>
  </si>
  <si>
    <t>Sepulveda, Nelson/0000-0002-6294-7799; Melo, Francisco Esteban/0000-0001-6818-5476</t>
  </si>
  <si>
    <t>10.1103/PhysRevE.90.052202</t>
  </si>
  <si>
    <t>WOS:000345313700003</t>
  </si>
  <si>
    <t>González, A; Moenne, F; Gómez, M; Sáez, CA; Contreras, RA; Moenne, A</t>
  </si>
  <si>
    <t>Gonzalez, Alberto; Moenne, Fabiola; Gomez, Melissa; Saez, Claudio A.; Contreras, Rodrigo A.; Moenne, Alejandra</t>
  </si>
  <si>
    <t>Oligo-carrageenan kappa increases NADPH, ascorbate and glutathione syntheses and TRR/TRX activities enhancing photosynthesis, basal metabolism, and growth in Eucalyptus trees</t>
  </si>
  <si>
    <t>FRONTIERS IN PLANT SCIENCE</t>
  </si>
  <si>
    <t>In order to analyze the effect of OC kappa in redox status, photosynthesis, basal metabolism and growth in Eucalyptus globulus, trees were treated with water (control), with OC kappa at 1 mg mL(-1), or treated with inhibitors of NAD(P)H, ascorbate (ASC), and glutathione (GSH) syntheses and thioredoxin reductase (TRR) activity, CHS-828, lycorine, buthionine sulfoximine (BSO), and auranofin, respectively, and with OC kappa, and cultivated for 4 months. Treatment with OC kappa induced an increase in NADPH, ASC, and GSH syntheses, TRR and thioredoxin (TRX) activities, photosynthesis, growth and activities of basal metabolism enzymes such as rubisco, glutamine synthetase (GInS), adenosine 5'-phosphosulfate reductase (APR), involved in C, N, and S assimilation, respectively, Krebs cycle and purine/pyrimidine synthesis enzymes. Treatment with inhibitors and OC kappa showed that increases in ASC, GSH, and TRR/TRX enhanced NADPH synthesis, increases in NADPH and TRR/TRX enhanced ASC and GSH syntheses, and only the increase in NADPH enhanced TRR/TRX activities. In addition, the increase in NADPH, ASC, GSH, and TRR/TRX enhanced photosynthesis and growth. Moreover, the increase in NADPH, ASC and TRR/TRX enhanced activities of rubisco, Krebs cycle, and purine/pyrimidine synthesis enzymes, the increase in GSH, NADPH, and TRR/TRX enhanced APR activity, and the increase in NADPH and TRR/TRX enhanced GInS activity. Thus, OC kappa increases NADPH, ASC, and GSH syntheses leading to a more reducing redox status, the increase in NADPH, ASC, GSH syntheses, and TRR/TRX activities are cross-talking events leading to activation of photosynthesis, basal metabolism, and growth in Eucalyptus trees.</t>
  </si>
  <si>
    <t>Sáez, Claudio/AAP-6923-2021; González, Alberto/IYJ-8593-2023; Contreras, Rodrigo/I-1871-2013</t>
  </si>
  <si>
    <t>Gonzalez Figueroa, Alberto/0000-0002-5777-9022; Contreras, Rodrigo/0000-0001-9970-3125; Saez, Claudio/0000-0002-5037-3484</t>
  </si>
  <si>
    <t>1664-462X</t>
  </si>
  <si>
    <t>OCT 13</t>
  </si>
  <si>
    <t>10.3389/fpls.2014.00512</t>
  </si>
  <si>
    <t>WOS:000344743300001</t>
  </si>
  <si>
    <t>Pérez, C; Barrientos, H; Román, J; Mahn, A</t>
  </si>
  <si>
    <t>Perez, Carmen; Barrientos, Herna; Roman, Juan; Mahn, Andrea</t>
  </si>
  <si>
    <t>Optimization of a blanching step to maximize sulforaphane synthesis in broccoli florets</t>
  </si>
  <si>
    <t>A blanching step was designed to favor sulforaphane synthesis in broccoli. Blanching was optimised through a central composite design, and the effects of temperature (50-70 degrees C) and immersion time in water (5-15 min) on the content of total glucosinolates, glucoraphanin, sulforaphane, and myrosinase activity were determined. Results were analysed by ANOVA and the optimal condition was determined through response surface methodology. Temperature between 50 and 60 degrees C significantly increased sulforaphane content (p &lt; 0.05), whilst blanching at 70 and 74 degrees C diminished significantly this content, compared to fresh broccoli. The optimal blanching conditions given by the statistical model were immersion in water at 57 degrees C for 13 min; coinciding with the minimum glucosinolates and glucoraphanin content, and with the maximum myrosinase activity. In the optimal conditions, the predicted response of 4.0 mu mol sulforaphane/g dry matter was confirmed experimentally. This value represents a 237% increase with respect to the fresh vegetable. (C) 2013 Elsevier Ltd. All rights reserved.</t>
  </si>
  <si>
    <t>Roman, Juan/AAA-1689-2019</t>
  </si>
  <si>
    <t>perez, carmen/0000-0003-3333-6881; Roman Aliste, Juan Ismael/0000-0002-9505-0953</t>
  </si>
  <si>
    <t>FEB 15</t>
  </si>
  <si>
    <t>10.1016/j.foodchem.2013.08.053</t>
  </si>
  <si>
    <t>WOS:000327685200036</t>
  </si>
  <si>
    <t>Crampon, M</t>
  </si>
  <si>
    <t>Papadopoulos, A; Troyanov, M</t>
  </si>
  <si>
    <t>Crampon, Mickael</t>
  </si>
  <si>
    <t>The geodesic flow of Finsler and Hilbert geometries</t>
  </si>
  <si>
    <t>HANDBOOK OF HILBERT GEOMETRY</t>
  </si>
  <si>
    <t>IRMA Lectures in Mathematics and Theoretical Physics</t>
  </si>
  <si>
    <t>978-3-03719-147-7</t>
  </si>
  <si>
    <t>10.4171/147</t>
  </si>
  <si>
    <t>WOS:000350071800008</t>
  </si>
  <si>
    <t>Sepúlveda, EAG</t>
  </si>
  <si>
    <t>Godoy Sepulveda, Eduardo Andres</t>
  </si>
  <si>
    <t>Educational Experiences and Anarchist Cultural Practices in Chile (1890-1927)</t>
  </si>
  <si>
    <t>WOS:000339599700017</t>
  </si>
  <si>
    <t>Paucar, MAV</t>
  </si>
  <si>
    <t>Villalta Paucar, Marco Antonio</t>
  </si>
  <si>
    <t>School Organization and Teaching Practices in High Educational Performance Institutions</t>
  </si>
  <si>
    <t>In this research some of the organizational elements of the school institutional culture are describe as related to teaching practices in institutions with high educational performance in Chile. Mixed methodology is used, two surveys were applied to teachers (N = 60) and Second Year High School students (N = 612), divided into two distinctive areas a) School Institutional Culture and, b) Everyday teaching practices. The contents are analyzed in focal groups with teachers and students. The results lead to the following conclusions: a) a positive correlation exists between the school culture and the teaching techniques; b) there is an agreement in considering that the school organization aims to achieve learning, and; c) discipline in a basic need to implement teaching methodologies in order to achieve learning. Results are discussed.</t>
  </si>
  <si>
    <t>WOS:000345097900023</t>
  </si>
  <si>
    <t>The impenetrable animal heart: Descartes and Condillac on animals</t>
  </si>
  <si>
    <t>FILOSOFIA UNISINOS</t>
  </si>
  <si>
    <t>During French modernity, comparison between animals and humans is a key to understand what human is, as shown by Descartes's and Condillac's works. An analysis of these works allows us to see how, during modernity, two questions about animals arise. (i) How might one establish a foundation for a resemblance between humans and animals or, on the contrary, consider it illegitimate? (ii) How could one speak philosophically about animals if part of their essence seems to consist of being impenetrable for human knowledge? Reflecting on the position of Descartes and Condillac on animals makes it possible to clarify some of the challenges that contemporary zoophilosophy must solve.</t>
  </si>
  <si>
    <t>1519-5023</t>
  </si>
  <si>
    <t>1984-8234</t>
  </si>
  <si>
    <t>SEP-DEC</t>
  </si>
  <si>
    <t>10.4013/fsu.2013.143.05</t>
  </si>
  <si>
    <t>WOS:000331983900006</t>
  </si>
  <si>
    <t>Valenzuela, B; Rodríguez, FE; Obreque, J; Modak, B; Imarai, M</t>
  </si>
  <si>
    <t>Valenzuela, B.; Rodriguez, F. E.; Obreque, J.; Modak, B.; Imarai, M.</t>
  </si>
  <si>
    <t>Adjuvant capacity of the aromatic geranyl derivative Filifolinone in salmonids</t>
  </si>
  <si>
    <t>Obreque, Javiera/JHT-9931-2023</t>
  </si>
  <si>
    <t>10.1016/j.fsi.2013.03.327</t>
  </si>
  <si>
    <t>WOS:000319646100350</t>
  </si>
  <si>
    <t>Mira, CR; Santoni, A</t>
  </si>
  <si>
    <t>Rojas Mira, Claudia; Santoni, Alessandro</t>
  </si>
  <si>
    <t>Political geography of the Chilean exile: the different faces of solidarity</t>
  </si>
  <si>
    <t>PERFILES LATINOAMERICANOS</t>
  </si>
  <si>
    <t>0188-7653</t>
  </si>
  <si>
    <t>2309-4982</t>
  </si>
  <si>
    <t>WOS:000327861400006</t>
  </si>
  <si>
    <t>Mineralization of Triadimefon Fungicide in Water by Electro-Fenton and Photo Electro-Fenton</t>
  </si>
  <si>
    <t>WATER AIR AND SOIL POLLUTION</t>
  </si>
  <si>
    <t>The complete mineralization of the conazole fungicide triadimefon in water at pH 3 using electrochemical advanced oxidation processes, electro-Fenton and photo electro-Fenton, was achieved. The electrochemical system consisted of a one-compartment electrochemical cell of 100 mL provided with a glassy carbon mesh electrode (cathode) and a concentric outer steel mesh as anode. The electrolysis was realized at constant current. The most remarkable features are as follows: (1) photo electro-Fenton process reaches a complete mineralization of triadimefon after 2 h of electrolysis with respect to electro-Fenton method; and (2) 4-chlorophenol, hydroquinone, carboxylic acids, and inorganic ions were detected as intermediates of degradation processes, which end with the complete mineralization of triadimefon to CO2 + H2O. (3) A reaction pathway for the oxidation of triadimefon fungicide by hydroxyl radicals that accounts for almost all detected intermediates is proposed.</t>
  </si>
  <si>
    <t>0049-6979</t>
  </si>
  <si>
    <t>1573-2932</t>
  </si>
  <si>
    <t>10.1007/s11270-012-1184-7</t>
  </si>
  <si>
    <t>WOS:000307276400050</t>
  </si>
  <si>
    <t>Vera, J; Castro, J; Contreras, RA; González, A; Moenne, A</t>
  </si>
  <si>
    <t>Vera, Jeannette; Castro, Jorge; Contreras, Rodrigo A.; Gonzalez, Alberto; Moenne, Alejandra</t>
  </si>
  <si>
    <t>Oligo-carrageenans induce a long-term and broad-range protection against pathogens in tobacco plants (var.Xanthi)</t>
  </si>
  <si>
    <t>PHYSIOLOGICAL AND MOLECULAR PLANT PATHOLOGY</t>
  </si>
  <si>
    <t>Here, we analyzed the effect of oligo-carrageenans kappa, lambda and iota on protection against tobacco mosaic virus (TMV), Botrytis cinerea Whetzel and Pectobacterium carotovorum Waldee and suppression of infections in tobacco plants. Treatment with increasing concentrations of oligo-carrageenans, increasing number of treatments and increasing time after treatment enhanced protection against TMV indicating a long-term protection that mimics vaccination, mainly oligo-carrageenan lambda. In addition, oligo-carrageenans induced protection against P. carotovorum with similar efficiencies and against B. cinerea, mainly oligo-carrageenans lambda and iota. Moreover, oligo-carrageenans induced a partial suppression of TMV and P. carotovorum infections and a complete suppression of B. cinerea infection at systemic level. Furthermore, oligo-carrageenans induced a sustained activation of phenylalanine ammonia lyase activity and the accumulation of phenylpropanoid compounds with potential antimicrobial activities suggesting these compounds are involved in protection and suppression effects. (C) 2012 Elsevier Ltd. All rights reserved.</t>
  </si>
  <si>
    <t>González, Alberto/IYJ-8593-2023; Contreras, Rodrigo/I-1871-2013</t>
  </si>
  <si>
    <t>Gonzalez Figueroa, Alberto/0000-0002-5777-9022; Contreras, Rodrigo/0000-0001-9970-3125</t>
  </si>
  <si>
    <t>0885-5765</t>
  </si>
  <si>
    <t>10.1016/j.pmpp.2012.03.005</t>
  </si>
  <si>
    <t>WOS:000306994200005</t>
  </si>
  <si>
    <t>Salinas, R; Raff, U; Henríquez-Vargas, LA</t>
  </si>
  <si>
    <t>Salinas, R.; Raff, U.; Henriquez-Vargas, L. A.</t>
  </si>
  <si>
    <t>Digital Temperature Tracking in Porous Media Burners</t>
  </si>
  <si>
    <t>Combustion in porous media burners presents considerable advantages over free flame burners due to several outstanding features inter alia clean and highly efficient combustion properties allowing a considerable amount of feedback energy from the flame area to preheat the mixture of fuel and air resulting in a considerable reduction of unavoidable pollutant formations appearing e.g. as the emission of CO and NOR. In addition, porous media burners are manufactured in highly compact small sizes suitable to industrial and household heating characteristic applications. Heat transfer between solid and gas depends mainly on the porous thermophysical properties of the component known as the solid matrix. These systems are characterized by the formation of a combustion flame pulse or wave which can travel inside the burner, depending on the operating conditions at velocities of about 0.1 mm/s. In this paper, a new temperature tracking scheme is proposed based on digital image processing to determine the position and the velocity of the thermal profile. Results showed reduced errors in the estimation of the peak temperature position using digital image analysis compared to conventional thermocouple-based measurements techniques.</t>
  </si>
  <si>
    <t>10.1177/002029401204500305</t>
  </si>
  <si>
    <t>WOS:000303366300005</t>
  </si>
  <si>
    <t>Castillo, EF; Cruchaga, MA</t>
  </si>
  <si>
    <t>Castillo, Ernesto F.; Cruchaga, Marcela A.</t>
  </si>
  <si>
    <t>Experimental vibration analysis for a 3d scaled model of a three-floor steel structure</t>
  </si>
  <si>
    <t>LATIN AMERICAN JOURNAL OF SOLIDS AND STRUCTURES</t>
  </si>
  <si>
    <t>In this paper we present an experimental study of a three dimensional physical model of a three-floor structure subjected to forced vibrations by imposing displacements in its support. The aim of this work is to analyze the behavior of the building when a dynamic vibration absorber (DVA) is acting. An analytic simplified analysis and a numerical study are developed to obtain the natural frequencies of the structure. Experiments are carried out in a vibrating table. The frequency range to be experimentally analyzed is determined by the first natural frequency of the structure for which the DVA damping effects are verified. The equipment capabilities, i.e. the frequencies, amplitudes and admissible load, limit the analyses. Nevertheless, satisfactory results are obtained for the study of the first mode of vibration. The effect of different amplitudes of the imposed support motion is also analyzed. In addition, the damping effect of the DVA device is evaluated upon varying its mass and its location in the structure. The characteristic curves in the frequency domain are obtained computing the Fast Fourier Transformation (FFT) of the acceleration history registered with piezoelectric accelerometers at different checkpoints for the cases analyzed.</t>
  </si>
  <si>
    <t>Castillo, Ernesto/D-1612-2015; Cruchaga, Marcela/M-7522-2014</t>
  </si>
  <si>
    <t>Castillo, Ernesto/0000-0001-7013-6008; Cruchaga, Marcela/0000-0002-8708-2402</t>
  </si>
  <si>
    <t>1679-7825</t>
  </si>
  <si>
    <t>10.1590/S1679-78252012000500005</t>
  </si>
  <si>
    <t>WOS:000306401800005</t>
  </si>
  <si>
    <t>Gabriel Romero, J.</t>
  </si>
  <si>
    <t>Determining Public Provision of Education Services in a Sequential Education Process</t>
  </si>
  <si>
    <t>B E JOURNAL OF ECONOMIC ANALYSIS &amp; POLICY</t>
  </si>
  <si>
    <t>This paper applies a political economy approach to the study of the endogenous determination of the size and composition of a public education budget. In this model, there are two education stages: the first is compulsory, while advanced education is optional. Parents decide on the education policy by a majority vote, children attend schools and then decide whether to get advanced education. This paper shows that even in a simple scenario where only public education is available, children's college-attendance decisions may lead the single-crossing condition to fail, which indicates that a majority voting equilibrium may not exist. In a scenario where individuals can opt for private education services, the model provides necessary and sufficient conditions for an equilibrium of the ends-against-the-middle type, where the poor are decisive. An implication of this result is that the opting-out feature of education may improve the welfare of the poor.</t>
  </si>
  <si>
    <t>1935-1682</t>
  </si>
  <si>
    <t>10.1515/1935-1682.3079</t>
  </si>
  <si>
    <t>WOS:000313708100009</t>
  </si>
  <si>
    <t>Escala, A; Del Valle, L</t>
  </si>
  <si>
    <t>Escala, Andres; Del Valle, Luciano</t>
  </si>
  <si>
    <t>GAS-INDUCED MERGER OF MASSIVE BLACK HOLE BINARIES</t>
  </si>
  <si>
    <t>INTERNATIONAL JOURNAL OF MODERN PHYSICS E</t>
  </si>
  <si>
    <t>1st Caribbean Symposium on Nuclear and Astroparticle Physics (STARS Instituto de Cibernetica, Mathematica y Fisica (ICMAF) Sociedad Cubana de Fisica (SCF)</t>
  </si>
  <si>
    <t>MAY 01-04, 2011</t>
  </si>
  <si>
    <t>Havana, CUBA</t>
  </si>
  <si>
    <t>We use SPIT simulations to investigate the effects of gas on the inspiral and merger of massive black hole binary. This scenario is motivated by the very massive nuclear gas disk observed in the central regions of merging galaxies. We run a variety of models, ranging from simulations with relaty smooth gas to cases in which the gas has a more clumpy spatial distribution. We also vary the Mgas/Mbin ratio identifying the case M-bin/M-gas = 1 as an important limiting test-case for the analytic formulation of the dynamical process that dominates the binary-disk interaction in the late evolution of the system. We find that gas has an important effect in the evolution of interacting massive black hole binary on merging galaxies and that this interaction can be separate in two principal stages. The coalescence timescale that we find. for the MBH binary varies between 5 . 10(6) yr and 2.5 . 10(7) yr for typical parameters of ULIRGs galaxies. This results supports scenarios of massive black hole evolution and growth in which hierarchical merging plays an important role. The final coalescence of the black hole leads to gravitational radiation emission that would be detected out to high redshift by LISA.</t>
  </si>
  <si>
    <t>Escala, Andrés/J-6618-2016</t>
  </si>
  <si>
    <t>0218-3013</t>
  </si>
  <si>
    <t>1793-6608</t>
  </si>
  <si>
    <t>10.1142/S0218301311040104</t>
  </si>
  <si>
    <t>WOS:000298820900011</t>
  </si>
  <si>
    <t>Solar, M; Ducoing, E</t>
  </si>
  <si>
    <t>Solar, Mauricio; Ducoing, Eugenio</t>
  </si>
  <si>
    <t>Development of a virtual model of fibro-bronchoscopy</t>
  </si>
  <si>
    <t>A virtual model of fibro-bronchoscopy is reported. The virtual model represents in 3D the trachea and the bronchi creating a virtual world of the bronchial tree. The bronchoscope is modeled to look over the bronchial tree imitating the displacement and rotation of the real bronchoscope. The parameters of the virtual model were gradually adjusted according to expert opinion and allowed the training of specialists with a virtual bronchoscope of great realism. The virtual bronchial tree provides clues of reality regarding the movement of the bronchoscope, creating the illusion that the virtual instrument is behaving as the real one with all the benefits in costs that this means. (Rev Med Chile 2011; 139: 1169-1175).</t>
  </si>
  <si>
    <t>Solar, Mauricio/AAE-9673-2020</t>
  </si>
  <si>
    <t>10.4067/S0034-98872011000900009</t>
  </si>
  <si>
    <t>WOS:000297144000009</t>
  </si>
  <si>
    <t>Skurtys, O; Velásquez, P; Henriquez, O; Matiacevich, S; Enrione, J; Osorio, F</t>
  </si>
  <si>
    <t>Skurtys, O.; Velasquez, P.; Henriquez, O.; Matiacevich, S.; Enrione, J.; Osorio, F.</t>
  </si>
  <si>
    <t>Wetting behavior of chitosan solutions on blueberry epicarp with or without epicuticular waxes</t>
  </si>
  <si>
    <t>LWT-FOOD SCIENCE AND TECHNOLOGY</t>
  </si>
  <si>
    <t>The physical properties of fresh highbush blueberry epicarp were determined in order to increase the effectiveness of chitosan-based coatings. The measured roughness of the blueberry epicarp was 42 +/- 10 mu m. The surface free energy, gamma(SV) of blueberry epicarp with and without epicuticular wax was calculated using the acid-base theory. Blueberry epicarps with or without wax have mainly an apolar (Lifshitz-van der Waals) character with a small polarity (Lewis acid-base). In both cases, blueberry surface is a low-energy surface. With wax gamma(SV) = 29.1 +/- 0.1 mJ M-2 while after the wax removal, gamma(SV) was increased significantly to 38.3 +/- 2.8 mJ m(-2). Various chitosan-based coatings were applied to the blueberry epicarp. The surface tension, the cohesive energy and the spreading coefficient were calculated for each solution. In particular, the effects of concentration of a plasticizer (glycerol) and a surfactant (Tween 20) on the wetting of blueberry epicarp were studied. A mathematical relationship between concentrations and spreading coefficient S was proposed. Finally, the optimal concentrations of chitosan-based solutions were determined according to S. (C) 2011 Elsevier Ltd. All rights reserved.</t>
  </si>
  <si>
    <t>skurtys, olivier/HNS-4835-2023; Enrione, Javier/I-9225-2014; osorio, fernando/AAY-7304-2021</t>
  </si>
  <si>
    <t>skurtys, olivier/0000-0003-1432-7242; osorio, fernando/0000-0001-7206-0924; Velasquez, Patricia/0000-0002-6646-2238; Enrione, Javier/0000-0002-3916-6775</t>
  </si>
  <si>
    <t>0023-6438</t>
  </si>
  <si>
    <t>1096-1127</t>
  </si>
  <si>
    <t>10.1016/j.lwt.2011.02.007</t>
  </si>
  <si>
    <t>WOS:000289752200016</t>
  </si>
  <si>
    <t>Jorge, RC</t>
  </si>
  <si>
    <t>Jorge Rueda, C.</t>
  </si>
  <si>
    <t>LOVABLE-POPULAR SENSIBILITY IN THREE CHILEAN TALES OF THE XX CENTURY</t>
  </si>
  <si>
    <t>WOS:000209233800009</t>
  </si>
  <si>
    <t>THE AUDIBLE NARRATIVE OF LUIS RAFAEL SANCHEZ</t>
  </si>
  <si>
    <t>This article explores the audible character of the novel La guaracha del Macho Camacho by the Puerto Rican author Luis Rafael Sanchez. In this novel, writing imitates radio, for example through the inclusion of the discourse of a disc-jockey, a character who announces with insistence the success of the guaracha La vida es una cosa fenomenal. The employment of the radio model which appeals to the intimacy of the illiterate masses contributes to the construction of the subjects and reveals the standardization present in the discourse of the characters. At the same time, it points to the potential construction of a community based on mass media culture.</t>
  </si>
  <si>
    <t>10.4067/S0718-04622011000100004</t>
  </si>
  <si>
    <t>WOS:000295347000004</t>
  </si>
  <si>
    <t>Mascayano, C; Núñez, G; Acevedo, W; Rezende, MC</t>
  </si>
  <si>
    <t>Mascayano, Carolina; Nunez, Gabriel; Acevedo, Waldo; Caroli Rezende, Marcos</t>
  </si>
  <si>
    <t>Binding of arachidonic acid and two flavonoid inhibitors to human 12-and 15-lipoxygenases: a steered molecular dynamics study</t>
  </si>
  <si>
    <t>The lipoxygenases (LOX) are a family of non-heme iron-containing dioxygenases which catalyze the stereospecific insertion of molecular oxygen into arachidonic acid, leading to hydroxy derivatives as end products. In this work, we docked arachidonic acid and two of its competitive inhibitors, flavonoids baicalein and quercetin, into the binding pockets of human 12- and 15-lipoxygenase. Steered molecular dynamics (SMD) simulations were employed to study the unbinding processes of the substrate and inhibitors from the two isoforms.</t>
  </si>
  <si>
    <t>Nuñez, Gabriel/IAN-2843-2023; Caroli, Marcos/H-3570-2019; Acevedo, Waldo/L-9698-2019</t>
  </si>
  <si>
    <t>Mascayano Collado, Carolina Lorena/0000-0002-3488-9309; Acevedo Castillo, Waldo Andres/0000-0002-1182-0253; Acevedo, William/0000-0002-6688-2697; Rezende, Marcos/0000-0003-2040-9009; Nunez Vivanco, Gabriel/0000-0002-2858-1789</t>
  </si>
  <si>
    <t>10.1007/s00894-009-0616-9</t>
  </si>
  <si>
    <t>WOS:000276061300021</t>
  </si>
  <si>
    <t>Olea, R</t>
  </si>
  <si>
    <t>Olea, Raquel</t>
  </si>
  <si>
    <t>Memory and citizenship</t>
  </si>
  <si>
    <t>WOS:000286786300023</t>
  </si>
  <si>
    <t>Castro, ME; Molina, RC; Díaz, WA; Pradenas, GA; Vásquez, CC</t>
  </si>
  <si>
    <t>Castro, Miguel E.; Molina, Roberto C.; Diaz, Waldo A.; Pradenas, Gonzalo A.; Vasquez, Claudio C.</t>
  </si>
  <si>
    <t>Expression of Aeromonas caviae ST pyruvate dehydrogenase complex components mediate tellurite resistance in Escherichia coli</t>
  </si>
  <si>
    <t>BIOCHEMICAL AND BIOPHYSICAL RESEARCH COMMUNICATIONS</t>
  </si>
  <si>
    <t>Potassium tellurite (K2TeO3) is harmful to most organisms and specific mechanisms explaining its toxicity are not well known to date. We previously reported that the lpdA gene product of the tellurite-resistant environmental isolate Aeromonas caviae ST is involved in the reduction of tellurite to elemental tellurium. In this work, we show that expression of A. caviae ST aceE, aceF, and IpdA genes, encoding pyruvate dehydrogenase, dihydrolipoamide transacetylase, and dihydrolipoamide dehydrogenase, respectively, results in tellurite resistance and decreased levels of tellurite-induced Superoxide in Escherichia coli. In addition to oxidative damage resulting from tellurite exposure, a metabolic disorder Would be simultaneously established in which the pyruvate dehydrogenase complex would represent an intracellular tellurite target. These results allow LIS to widen Our Vision regarding the molecular mechanisms involved in bacterial tellurite resistance by correlating tellurite toxicity and key enzymes of aerobic metabolism. (C) 2009 Elsevier Inc. All rights reserved.</t>
  </si>
  <si>
    <t>Molina-Quiroz, Roberto/H-4696-2019</t>
  </si>
  <si>
    <t>0006-291X</t>
  </si>
  <si>
    <t>1090-2104</t>
  </si>
  <si>
    <t>FEB 27</t>
  </si>
  <si>
    <t>10.1016/j.bbrc.2009.01.078</t>
  </si>
  <si>
    <t>WOS:000263656100028</t>
  </si>
  <si>
    <t>González, RCL</t>
  </si>
  <si>
    <t>Lois Gonzalez, Ruben C.</t>
  </si>
  <si>
    <t>Geography and territorial analysis in Spain: issues to reflect on</t>
  </si>
  <si>
    <t>BOLETIN DE LA ASOCIACION DE GEOGRAFOS ESPANOLES</t>
  </si>
  <si>
    <t>The last decades have been defined by the vertiginous rhythms reached by the spatial and the territorial changes. At the same time, the issues regarding Geography have placed themselves in the middle of a debate of social sciences. This contribution interprets the way in which one of these changes has affected Spain, especially its Geographical Community. It is a collectivity in which we integrate ourselves, with a significant University component and a leadership taken over by the Association of Spanish Geographers (Asociacion de Geografos Espanoles, AGE). The hopeful or menacing future of the Geographers' Community will depend on its reaction to the challenge of a new Knowledge with a strong spatial imprint.</t>
  </si>
  <si>
    <t>González, Rubén/AAB-4216-2019</t>
  </si>
  <si>
    <t>0212-9426</t>
  </si>
  <si>
    <t>2605-3322</t>
  </si>
  <si>
    <t>WOS:000272402200001</t>
  </si>
  <si>
    <t>Approximate controllability of linear distributed control systems</t>
  </si>
  <si>
    <t>APPLIED MATHEMATICS LETTERS</t>
  </si>
  <si>
    <t>We characterize the approximate controllability of first-order and second-order linear abstract control systems in terms Of quasi-analytic vectors. (C) 2007 Elsevier Ltd. All rights reserved.</t>
  </si>
  <si>
    <t>0893-9659</t>
  </si>
  <si>
    <t>10.1016/j.aml.2007.10.024</t>
  </si>
  <si>
    <t>WOS:000259277000010</t>
  </si>
  <si>
    <t>Guerra, IA</t>
  </si>
  <si>
    <t>Guerra, I. A.</t>
  </si>
  <si>
    <t>Solutions of an elliptic system with a nearly critical exponent</t>
  </si>
  <si>
    <t>ANNALES DE L INSTITUT HENRI POINCARE-ANALYSE NON LINEAIRE</t>
  </si>
  <si>
    <t>Consider the problem -Delta u(epsilon) = v(epsilon)(p), v(epsilon) &gt; 0 in Omega. -Delta v(epsilon) = u(epsilon) &gt;0 in Omega. where Omega is a bounded convex domain in R-N, N &gt; 2, with smooth boundary partial derivative Omega. Here p, q(epsilon) &gt; 0, and epsilon: N/p+1 + N/q(epsilon)+1 - (N-2). This problem has positive solutions for epsilon &gt; 0 (with pq(epsilon) &gt; 1) and no non-trivial solution for epsilon &lt;= 0. We study the asymptotic behavior of least energy solutions as epsilon -&gt; 0(+). These solutions are shown to blow-up at exactly one point, and the location of this point is characterized. In addition, the shape and exact rates for blowing up are given. (c) 2007 Elsevier Masson SAS. All rights reserved.</t>
  </si>
  <si>
    <t>0294-1449</t>
  </si>
  <si>
    <t>10.1016/j.anihpc.2006.11.008</t>
  </si>
  <si>
    <t>WOS:000252802500010</t>
  </si>
  <si>
    <t>Preliminary considerations on the study of the Andean world in the 18th century</t>
  </si>
  <si>
    <t>International Peruvianist Congress</t>
  </si>
  <si>
    <t>APR 25-29, 2007</t>
  </si>
  <si>
    <t>WOS:000265620500002</t>
  </si>
  <si>
    <t>Reyes, A; Herrera, N; Vega, R</t>
  </si>
  <si>
    <t>Reyes, Alejandro; Herrera, Nicolas; Vega, Ricardo</t>
  </si>
  <si>
    <t>Drying suspensions in a pulsed fluidized bed of inert particles</t>
  </si>
  <si>
    <t>The drying of carbohydrate suspensions on polypropylene particles in a pulsed fluidized bed was studied by means of a 2(5) experimental design, to determine the effect of the air flow and temperature, suspension flow rate, and free section and rotating speed of the rotary plate on the Nusselt number, the moisture content of the product, and the percentage of solids retained inside the bed (which were minimized to 4.9 and 14.4%, respectively) with an air flow of 600 m(3)/h at 90 degrees C and 720 mmHg, a suspension flow rate of 6L/h, and a plate with 6% free section, rotating at 50 rpm. Additionally, the effects of temperature, air flow, and suspension flow rate on the residence time distribution (RTD) were determined, using the stimulus-response methodology. The RTD was represented by 1.1 to 2 tanks in series, according to this model. The mean residence time of the dried carbohydrate particles was between 5.4 and 8.2 min. Finally, an egg suspension could be dried at 4L/h, with air at 90 degrees C, with a mean residence time about 50% longer that that found for drying carbohydrate suspensions.</t>
  </si>
  <si>
    <t>10.1080/07373930701781777</t>
  </si>
  <si>
    <t>WOS:000252324100014</t>
  </si>
  <si>
    <t>Lastra, F; Romero, G; Lopez, CE; Retamal, JC</t>
  </si>
  <si>
    <t>Lastra, F.; Romero, G.; Lopez, C. E.; Retamal, J. C.</t>
  </si>
  <si>
    <t>Classical noise induced decoherence effects on the entanglement in a two-qubit system</t>
  </si>
  <si>
    <t>INTERNATIONAL JOURNAL OF QUANTUM INFORMATION</t>
  </si>
  <si>
    <t>In this work we study entanglement properties of a two-qubit system being affected by a classical noisy environment and coupled through exchange interaction. We study the dynamical generation of entanglement considering different initial conditions for the two-qubit system. We evaluate the rate at which entanglement is lost by calculating the concurrence as a function of time.</t>
  </si>
  <si>
    <t>Retamal, Juan/G-6425-2010; López, Carlos/B-8456-2009; Romero, Guillermo/C-8245-2009; Romero, Guillermo/C-8245-2009</t>
  </si>
  <si>
    <t>Romero, Guillermo/0000-0003-4366-4950; Retamal Abarzua, Juan Carlos/0000-0002-7174-7879; Romero, Guillermo/0000-0003-2917-7814</t>
  </si>
  <si>
    <t>0219-7499</t>
  </si>
  <si>
    <t>10.1142/S0219749907003006</t>
  </si>
  <si>
    <t>WOS:000251175600002</t>
  </si>
  <si>
    <t>Rezende, MC; Jara, F; Domínguez, M</t>
  </si>
  <si>
    <t>Rezende, Marcos Caroli; Jara, Francisco; Domínguez, Moises</t>
  </si>
  <si>
    <t>Evaluating the internal charge-transfer in benzylidene derivatives of N,N′-dimethylbarbituric acid</t>
  </si>
  <si>
    <t>JOURNAL OF CHEMICAL EDUCATION</t>
  </si>
  <si>
    <t>Domínguez, Moisés/M-3457-2014; Caroli, Marcos/H-3570-2019</t>
  </si>
  <si>
    <t>0021-9584</t>
  </si>
  <si>
    <t>1938-1328</t>
  </si>
  <si>
    <t>10.1021/ed083p937</t>
  </si>
  <si>
    <t>WOS:000237653800030</t>
  </si>
  <si>
    <t>Contreras, D; Moreno, M; Martínez, N; Araya, P; Livacic-Rojas, P; Vera-Villarroel, P</t>
  </si>
  <si>
    <t>Contreras, Daniela; Moreno, Monica; Martinez, Natalia; Araya, Patricia; Livacic-Rojas, Pablo; Vera-Villarroel, Pablo</t>
  </si>
  <si>
    <t>Effects of a cognitive-behavioral intervention on the emotional variables among the elderly</t>
  </si>
  <si>
    <t>REVISTA LATINOAMERICANA DE PSICOLOGIA</t>
  </si>
  <si>
    <t>An evaluation of a brief cognitive-behavioral intervention oriented to an elderly group in order to decrease their anxiety and depressive symptomatology is outlined. Treatment was conducted during a 1 month period (two-2 hour sessions per week). Participants were 39 older persons from the city of Santiago (Chile). Their depression status was mild/moderate with anxious symptomatology, and were distributed to the experimental and control groups. Major used techniques were: Progressive Relaxation, Cognitive Restructuring and Psycho Education. For the analysis of results, a multivaried experimental design for the comparison of two groups, involving measurements pre, during, post and follow-up of the intervention was used. Results revealed statistically relevant (p &lt; 0.05) variances among the experimental and control groups for every measurement of both treatment and follow-up of the variables studied. The size of the effect was moderate-high for anxiety-state (0.74) and depression (0.68) and moderate for anxiety-trait (0.52). In relation to Power, it was high for all-variables studied, with a value of 1 at the end of the research.</t>
  </si>
  <si>
    <t>0120-0534</t>
  </si>
  <si>
    <t>WOS:000237499100003</t>
  </si>
  <si>
    <t>Moyano, PC; Pedreschi, F</t>
  </si>
  <si>
    <t>Kinetics of oil uptake during frying of potato slices: Effect of pre-treatments</t>
  </si>
  <si>
    <t>Oil uptake in fresh, blanched and, blanched and dried potato slices was studied during frying. Potato slices blanched in hot water (85 degrees C: 3.5 min) and potato slices blanched (85 degrees C, 3.5 min) and then dried until to a moisture content of similar to 60 g/100 g (wet basis) were deep fried in sunflower oil at 120, 150 and 180 degrees C. A control treatment consisted of unblanched potato slices without the pre-drying treatment (fresh samples). It was studied applying two empirical kinetic models in order to fit the oil uptake during frying: (i) a first order model, (ii) a proposed model, with a linear time behavior for short times, while time independent for long times. Oil uptake was high even for short frying times at the different temperatures tested suggesting that oil wetting is an important mechanism of oil uptake during frying. For control slices, oil uptake increased approximately by 32% as the frying temperature decreased from 180 to 120 degrees C at Moisture contents &lt;= 1 g water/g dry solid. No apparent effect of frying temperature in oil uptake was observed at moisture contents &lt;= 0.5g water/g dry solid in fried slices previously blanched and dried. The two kinetic models studied fitted properly the values of oil uptake during frying, with similar correlation coefficient.. (C) 2005 Swiss Society of Food Science and Technology. Published by Elsevier Ltd. All rights reserved.</t>
  </si>
  <si>
    <t>pedreschi, franco/F-8844-2013</t>
  </si>
  <si>
    <t>10.1016/j.lwt.2005.01.010</t>
  </si>
  <si>
    <t>WOS:000234776500012</t>
  </si>
  <si>
    <t>Chileavdaloff, W; Sanchez, M; Fernandez, E</t>
  </si>
  <si>
    <t>Sleep patterns in patients attending primary care units in Santiago</t>
  </si>
  <si>
    <t>SLEEP</t>
  </si>
  <si>
    <t>17th Annual Meeting of the Associated-Professional-Sleep-Societies</t>
  </si>
  <si>
    <t>JUN 03-08, 2003</t>
  </si>
  <si>
    <t>CHICAGO, ILLINOIS</t>
  </si>
  <si>
    <t>Assoc Prof Sleep Soc</t>
  </si>
  <si>
    <t>0161-8105</t>
  </si>
  <si>
    <t>A372</t>
  </si>
  <si>
    <t>WOS:000182841100939</t>
  </si>
  <si>
    <t>Gutiérrez, G</t>
  </si>
  <si>
    <t>Atomistic simulation of densified amorphous alumina</t>
  </si>
  <si>
    <t>REVISTA MEXICANA DE FISICA</t>
  </si>
  <si>
    <t>12th Chilean Symposium of Physics</t>
  </si>
  <si>
    <t>NOV 22-24, 2000</t>
  </si>
  <si>
    <t>SANTIAGO, CHILE</t>
  </si>
  <si>
    <t>We investigate pressure-induced structural transformation in Al2O3 glass using Molecular Dynamics (MD). A detailed analysis of the interatomic distances reveals that as the density increases from 3.175 to 4.2 gr/cm(3) the Al-O bond length increases, the peak of Al-O coordination number changes from 4 to 6, and the O-Al-O bond angle changes from 105degrees to 90degrees. These results provide firm evidence of a structural transition from tetrahedral to octahedral network. According to our simulation, this pressure-induced coordination changes occur at pressures between 15 to 25 GPa.</t>
  </si>
  <si>
    <t>Gutierrez, Gonzalo/A-4973-2008</t>
  </si>
  <si>
    <t>Gutierrez, Gonzalo/0000-0003-0676-0089</t>
  </si>
  <si>
    <t>0035-001X</t>
  </si>
  <si>
    <t>WOS:000180065500021</t>
  </si>
  <si>
    <t>Santander, RE; Bubnovich, V</t>
  </si>
  <si>
    <t>Assessment of mass and heat transfer mechanisms in unsaturated soil</t>
  </si>
  <si>
    <t>INTERNATIONAL COMMUNICATIONS IN HEAT AND MASS TRANSFER</t>
  </si>
  <si>
    <t>By means of the finite volumes numerical methodology and experiments carried out in an unsaturated porous medium, the mechanism of moisture migration and thermal dissipation in soils are studied. The study is founded on the phenomenological model of Philip &amp; De Vries for a thermal energy source inserted within two soils with different characteristics. The results predict the temporal and spatial thermal evolution of the medium for power dissipation between 16.8 W/m and 80 W/m. Likewise, it is observed that for moisture and temperature the Philip &amp; De Vries model overestimates moisture migration in soil. (C) 2002 Elsevier Science Ltd.</t>
  </si>
  <si>
    <t>0735-1933</t>
  </si>
  <si>
    <t>PII S0735-1933(02)00350-0</t>
  </si>
  <si>
    <t>10.1016/S0735-1933(02)00350-0</t>
  </si>
  <si>
    <t>WOS:000176370100011</t>
  </si>
  <si>
    <t>Martinez, M</t>
  </si>
  <si>
    <t>The Chilean Chemical Society and the Meeting. Chile: Science 2000.</t>
  </si>
  <si>
    <t>WOS:000089763300001</t>
  </si>
  <si>
    <t>Martínez, JR; Miranda, AH</t>
  </si>
  <si>
    <t>IEEE; IEEE; IEEE</t>
  </si>
  <si>
    <t>Comparative analysis of control techniques for forced commutated cycloconverters</t>
  </si>
  <si>
    <t>VII IEEE INTERNATIONAL POWER ELECTRONICS CONGRESS, TECHNICAL PROCEEDINGS: CIEP 2000</t>
  </si>
  <si>
    <t>7th IEEE International Power Electronics Congress (CIEP 2000)</t>
  </si>
  <si>
    <t>OCT 15-19, 2000</t>
  </si>
  <si>
    <t>ACAPULCO, MEXICO</t>
  </si>
  <si>
    <t>Electr Dept,Natl Ctr Res &amp; Technol Dev,IEEE, Sect Moreles Power Electr Chapter,IEEE, Power Electr Soc,Natl Council Technol Educ Syst,Electromag SA CV,Enfil Mexico SA CV,Radio Surtidora SA CV</t>
  </si>
  <si>
    <t>This paper presents a comparative analysis of two control techniques applied to Forced Commutated Cycloconverters, such as PWM and Hysteresis Band control. The analysis is methodically performed, providing a brief description of the state of the arts regarding the topic, reviewing general concepts pertaining to each of the techniques, analyzing their performance with regards to the typical disturbances in power systems, namely comparing their distortion levels and response time. Their behavior under passive load (R-L) is examined thoroughly and the conclusions are presented by means of computer simulations.</t>
  </si>
  <si>
    <t>0-7803-6489-9</t>
  </si>
  <si>
    <t>10.1109/CIEP.2000.891442</t>
  </si>
  <si>
    <t>WOS:000166794500061</t>
  </si>
  <si>
    <t>Cataldo, M; García, A</t>
  </si>
  <si>
    <t>Three dimensional black hole coupled to the Born-Infeld electrodynamics</t>
  </si>
  <si>
    <t>PHYSICS LETTERS B</t>
  </si>
  <si>
    <t>A nonlinear charged Version of the (2 + I)-anti de Sitter black hole solution is derived. The source to the Einstein equations is a Born-Infeld electromagnetic field, which in the weak field limit becomes the (2 + 1)-Maxwell field. The obtained Einstein-Born-Infeld solution for certain range of the parameters (mass, charge, cosmological and the Born-Infeld constants) represent a static circularly symmetric black hole. Although the covariant metric components and the electric field do not exhibit a singular behavior at r = 0 the curvature invariants are singular at that point. (C) 1999 Published by Elsevier Science B.V. All rights reserved.</t>
  </si>
  <si>
    <t>0370-2693</t>
  </si>
  <si>
    <t>10.1016/S0370-2693(99)00441-4</t>
  </si>
  <si>
    <t>WOS:000080922500006</t>
  </si>
  <si>
    <t>Mujica, N; Caballero, L; Melo, F</t>
  </si>
  <si>
    <t>Collective motion and solid-liquid type transitions in vibrated granular layers</t>
  </si>
  <si>
    <t>PHYSICA A</t>
  </si>
  <si>
    <t>20th International Conference on Statistical Physics (STATPHYS 20)</t>
  </si>
  <si>
    <t>JUL 20-24, 1998</t>
  </si>
  <si>
    <t>PARIS, FRANCE</t>
  </si>
  <si>
    <t>Int Union Pure &amp; Appl Phys</t>
  </si>
  <si>
    <t>Experiments on thin layers of granular material subjected to vertical vibration reveal a series of subharmonic bifurcations from flat surface to standing wave patterns. From pressure and surface layer dilation measurements we show that a solid-liquid type transition precedes surface wave bifurcation, indicating that these waves are associated with the fluid-like behavior of the layer. Other structures observed, like the flat with kinks state, are linked to an inverse liquid-solid type transition.</t>
  </si>
  <si>
    <t>Melo, Francisco/M-3923-2014; Mujica, Nicolas/J-3646-2014</t>
  </si>
  <si>
    <t>Melo, Francisco Esteban/0000-0001-6818-5476; Mujica, Nicolas/0000-0003-4724-6246</t>
  </si>
  <si>
    <t>0378-4371</t>
  </si>
  <si>
    <t>FEB 1</t>
  </si>
  <si>
    <t>10.1016/S0378-4371(98)00521-4</t>
  </si>
  <si>
    <t>WOS:000078713600044</t>
  </si>
  <si>
    <t>Cifuentes, G; Simpson, J; Cifuentes, L; Crisóstomo, G</t>
  </si>
  <si>
    <t>Dutrizac, JE; Ji, J; Ramachandran, V</t>
  </si>
  <si>
    <t>The corrosion of lead anodes in copper electrowinning</t>
  </si>
  <si>
    <t>ELECTROREFINING AND ELECTROWINNING OF COPPER</t>
  </si>
  <si>
    <t>4th International Conference of the COPPER 99/COBRE 99</t>
  </si>
  <si>
    <t>OCT 10-13, 1999</t>
  </si>
  <si>
    <t>PHOENIX, AZ</t>
  </si>
  <si>
    <t>Chilean Inst Min Engineers,Met Soc Canadian Inst Min, Met &amp; Petr,Minerals Met &amp; Mat Soc,Soc Min, Met &amp; Explorat</t>
  </si>
  <si>
    <t>When the applied current is interrupted in a copper electrowinning plant, and then is back in operation, the lead anodes tend to corrode. In order to decrease the corrosion, the damage protective (back up) anodic currents are applied during the period of interruption. The current work aims to establish the effect of the concentrations of sulphuric acid, copper and cobalt on the anode corrosion, to quantify the effect of various anodic protection levels on the anode corrosion and to propose a method to select the appropriate protective current density value.</t>
  </si>
  <si>
    <t>Seves, Luis/I-1108-2013; Cifuentes, Gerardo/AAS-2148-2021</t>
  </si>
  <si>
    <t>0-87339-437-2</t>
  </si>
  <si>
    <t>WOS:000085714700037</t>
  </si>
  <si>
    <t>Vaschetto, ME; Retamal, BA; Contreras, ML; Zagal, JH</t>
  </si>
  <si>
    <t>Theoretical analysis of counterion influence over the physicochemical properties of aniline tetramers in several oxidation states</t>
  </si>
  <si>
    <t>We present semiempirical quantum chemical calculations of geometric structures, charge distributions, energy levels, ionization potentials, and enthalpies of formation for aniline tetramers in different oxidation states using the semiempirical AM1 method. For tetraaniline radical cation the effect of these three counterions on the above-mentioned physicochemical parameters was analyzed. The ions studied included Cl-, HSO4-, and CH3COO-. Chloride counterion showed a large charge transfer to the chain, as was shown in a preceding work [4]. HSO4- showed a strong charge stabilization without transfer. CH3COO- exhibits hydrogen bond formation and also displays a strong charge stabilization in a fragment of the chain, but does not transfer any charge. Also, Cl- was able to form a hydrogen bond, depending on the initial position that it occupies in relation to the tetrameric chain, which is then optimized. Charge transfer is present for the Cl- cases. For dication structures the effect of SO42- was analyzed. Our calculations showed that the distribution of the energy levels of tetraaniline radical cation can be comparable to the polyaniline ones by adding a counterion to the tetramer.</t>
  </si>
  <si>
    <t>10.1007/BF02262847</t>
  </si>
  <si>
    <t>WOS:A1997WW43900003</t>
  </si>
  <si>
    <t>Sariego, R; Farias, L; Moya, SA</t>
  </si>
  <si>
    <t>Complexes with heterocyclic nitrogen ligands .4. complexes of ruthenium(II) and applications in catalysis</t>
  </si>
  <si>
    <t>POLYHEDRON</t>
  </si>
  <si>
    <t>The synthesis of the new ruthenium(II) complexes [Ru(NBD)Cl2L] and [Ru(NBD)ClL(PPh3)]PF6 (where NBD = bicyclo [2.2.1]hepta-2,5-diene, L = 2,2'bipyridine, 1, 10-phenanthroline, or some di or tetra methylated 1,10-phenanthroline) is reported. By spectroscopy, the trans character of the neutral complexes was deduced. These complexes show catalytic activity in the water gas shift reaction (WGSR) under quite moderate conditions and they are very active catalysts for the hydrogen transfer reactions from isopropanol to acetophenone. (C) 1997 Elsevier Science Ltd.</t>
  </si>
  <si>
    <t>0277-5387</t>
  </si>
  <si>
    <t>WOS:A1997XR70900019</t>
  </si>
  <si>
    <t>LISSI, EA; SALIMHANNA, M; VIDELA, LA</t>
  </si>
  <si>
    <t>SPONTANEOUS URINARY VISIBLE LUMINESCENCE - CHARACTERISTICS AND MODIFICATION BY OXIDATIVE STRESS-RELATED CLINICAL CONDITIONS</t>
  </si>
  <si>
    <t>BRAZILIAN JOURNAL OF MEDICAL AND BIOLOGICAL RESEARCH</t>
  </si>
  <si>
    <t>Urinary visible luminescence is the result of the excretion of oxidized biomolecules and, as such, could provide a valuable index of systemic oxidative stress. The characteristics of the urinary luminescence that support this proposal are reviewed and the data obtained for patients with hyperthyroidism and children with Duchenne muscular dystrophy are also discussed. Enhanced urinary chemiluminescence was observed in both pathologies. A similar enhancement was obtained when the urinary luminescence of smokers was compared to that of non-smokers. The possibilities and limitations of this noninvasive methodology for the evaluation of systemic oxidative stress is critically evaluated.</t>
  </si>
  <si>
    <t>0100-879X</t>
  </si>
  <si>
    <t>WOS:A1994PA55200002</t>
  </si>
  <si>
    <t>NOMEZ, N</t>
  </si>
  <si>
    <t>LITERATURE, CULTURE AND SOCIETY, MODERNISM AND THE ORIGINS OF CONTEMPORARY CHILEAN POETRY</t>
  </si>
  <si>
    <t>3rd Congress of Hispanic Cultures: Cultures and Identities</t>
  </si>
  <si>
    <t>AUG, 1992</t>
  </si>
  <si>
    <t>UNIV CHILE, SANTIAGO, CHILE</t>
  </si>
  <si>
    <t>UNIV CHILE</t>
  </si>
  <si>
    <t>0048-7651</t>
  </si>
  <si>
    <t>WOS:A1993MW20700022</t>
  </si>
  <si>
    <t>RUBIO, MA; LISSI, EA</t>
  </si>
  <si>
    <t>FLUORESCENCE QUENCHING BY ACRYLAMIDE IN MICELLAR SOLUTIONS</t>
  </si>
  <si>
    <t>Quenching of the fluorescence of methylpyrene and anthracene derivatives by acrylamide in micelles follows a linear Stern-Volmer relationship. Incorporation of the fluorophores inside the micelles leads to a decrease in the quenching rates, and the bimolecular rate constants, obtained in terms of the analytical acrylamide concentration, are considerably smaller in cetyltrimethylammonium chloride (CTAC) and poly(oxyethylene)dodecyl ether (Brij 35) micelles than in sodium dodecylsulphate (SDS) micelles. By comparison of these data with those obtained using indole derivatives, it is concluded that the strong protection observed, particularly in CTAC micelles, is due to a reduction in the intramicellar bimolecular quenching rate constant. Increasing the SDS concentration or the addition of n-hexanol or NaCl leads to a reduction in the interaction rate due to partial dehydration of the micellar interface.</t>
  </si>
  <si>
    <t>10.1016/1010-6030(93)85070-O</t>
  </si>
  <si>
    <t>WOS:A1993KZ19100012</t>
  </si>
  <si>
    <t>LISSI, E; RUBIO, MA</t>
  </si>
  <si>
    <t>O2(SIGMA-3) AND O2(DELTA-1) PROCESSES IN MICROHETEROGENOUS SYSTEMS</t>
  </si>
  <si>
    <t>PURE AND APPLIED CHEMISTRY</t>
  </si>
  <si>
    <t>0033-4545</t>
  </si>
  <si>
    <t>10.1351/pac199062081503</t>
  </si>
  <si>
    <t>WOS:A1990DP60600009</t>
  </si>
  <si>
    <t>ON STEPANOV ALMOST PERIODIC SEMIGROUPS AND COSINE FUNCTIONS OF OPERATORS</t>
  </si>
  <si>
    <t>10.1016/0022-247X(90)90313-5</t>
  </si>
  <si>
    <t>WOS:A1990CW50300011</t>
  </si>
  <si>
    <t>LISSI, EA; YUPANQUI, K</t>
  </si>
  <si>
    <t>EFFECT OF ANTHRACENE-DERIVATIVES ON THE RADICAL POLYMERIZATION OF STYRENE</t>
  </si>
  <si>
    <t>10.1016/0014-3057(90)90233-T</t>
  </si>
  <si>
    <t>WOS:A1990DE79500020</t>
  </si>
  <si>
    <t>GOTTLIEB, D; HOJMAN, R; RODRIGUEZ, L</t>
  </si>
  <si>
    <t>ELECTRICAL-CONDUCTIVITY OF VERY ANISOTROPIC SYSTEMS, COHERENCE VS DIFFUSION</t>
  </si>
  <si>
    <t>NUOVO CIMENTO DELLA SOCIETA ITALIANA DI FISICA D-CONDENSED MATTER ATOMIC MOLECULAR AND CHEMICAL PHYSICS FLUIDS PLASMAS BIOPHYSICS</t>
  </si>
  <si>
    <t>0392-6737</t>
  </si>
  <si>
    <t>10.1007/BF02460220</t>
  </si>
  <si>
    <t>WOS:A1983RS39900013</t>
  </si>
  <si>
    <t>GAUTIER, JL; FUENTEALBA, R; CABEZAS, C</t>
  </si>
  <si>
    <t>PHYSICOCHEMICAL BEHAVIOR OF MNXCO3-XO4-SPINELS (1-GREATER-THAN-OR-EQUAL-TO X GREATER-THAN-OR-EQUAL-TO 0,25) SYNTHESIZED AT 400-DEGREES-C AND THEIR RELATIONSHIP TO CHEMICAL-REACTIVITY</t>
  </si>
  <si>
    <t>ZEITSCHRIFT FUR PHYSIKALISCHE CHEMIE-WIESBADEN</t>
  </si>
  <si>
    <t>0044-3336</t>
  </si>
  <si>
    <t>10.1524/zpch.1981.126.1.071</t>
  </si>
  <si>
    <t>WOS:A1981MJ08400008</t>
  </si>
  <si>
    <t>LISSI, EA; ENCINA, MV; ABARCA, MT</t>
  </si>
  <si>
    <t>PHOTO-POLYMERIZATION OF METHYL-METHACRYLATE SENSITIZED BY ALIPHATIC-KETONES</t>
  </si>
  <si>
    <t>10.1002/pol.1979.170170103</t>
  </si>
  <si>
    <t>WOS:A1979GF00300003</t>
  </si>
  <si>
    <t>URZUA, A; CASSELS, BK</t>
  </si>
  <si>
    <t>4-HYDROXYNORNANTENINE, A 4-HYDROXYLATED NORAPORPHINE</t>
  </si>
  <si>
    <t>TETRAHEDRON LETTERS</t>
  </si>
  <si>
    <t>0040-4039</t>
  </si>
  <si>
    <t>WOS:A1978FH02900004</t>
  </si>
  <si>
    <t>ENCINA, MV; SOTO, H; LISSI, EA</t>
  </si>
  <si>
    <t>QUENCHING OF 2-PENTANONE SINGLETS BY ALIPHATIC-AMINES</t>
  </si>
  <si>
    <t>WOS:A1975V708100005</t>
  </si>
  <si>
    <t>Espinoza-Pérez, LA; Espinoza-Pérez, AT; Vásquez, OC</t>
  </si>
  <si>
    <t>Espinoza-Perez, Lorena A.; Espinoza-Perez, Andrea T.; Vasquez, Oscar C.</t>
  </si>
  <si>
    <t>Life cycle assessment of alternatives for industrial textile recycling</t>
  </si>
  <si>
    <t>The $882 billion textile trade in 2021 poses environmental concerns, highlighting the importance of encouraging a circular economy to attain sustainable textiles. Therefore, policies must prioritize textile recycling, particularly in developing countries, and sharing information throughout the value chain. This research aims to explore the potential environmental benefits of two industrial recycling processes for textile residues versus the traditional waste management and production process through a life cycle assessment applying the ReCiPe method at midpoint and endpoint levels focusing on generating significant data availability and broader assessment than existing literature to support decision making related to recycling systems for textile residues. Results related to the textile residues recycling process to obtain stripes (R1) and replace sawdust, to fill pushing balls, show that it would produce environmental benefits regardless of location in several midpoint categories. Furthermore, regarding the endpoint results, the DALY savings are mainly due to avoiding landfill, while the savings in ecosystem impacts are generated by avoiding landfill and sawdust production. Regarding the recycling process to obtain recycled yarn and fill (R2) net savings in global warming potential are generated if landfill avoidance is considered. Nevertheless, endpoint results show that DALYs of all the avoided processes correspond to 1.5 times the impacts of all the R2 recycling processes, mainly due to avoiding virgin yarn production. Therefore, both recycling processes are recommended. However, some strategies are required to generate greater benefits, such as applying the R2 recycling process as the first option for stretchable textile waste, and after being used, going through the R1 recycling process. In addition, the strategic placement of the R1 recycling facility should be distant from areas of sawdust production. A sensitivity analysis was carried out due to the variability of virgin products to replace in the market.</t>
  </si>
  <si>
    <t>Espinoza, Lorena/GVU-7778-2022; Espinoza Perez, Andrea Teresa/M-4426-2014</t>
  </si>
  <si>
    <t>Vasquez, Oscar C./0000-0002-1393-4692; Espinoza Perez, Lorena/0000-0001-6737-8479; Espinoza Perez, Andrea Teresa/0000-0002-6362-9100</t>
  </si>
  <si>
    <t>1879-1026</t>
  </si>
  <si>
    <t>10.1016/j.scitotenv.2024.172161</t>
  </si>
  <si>
    <t>APR 2024</t>
  </si>
  <si>
    <t>WOS:001227504900001</t>
  </si>
  <si>
    <t>Bernal, DFQ; Kern, J; Urrea, C</t>
  </si>
  <si>
    <t>Bernal, Daniel Fernando Quintero; Kern, John; Urrea, Claudio</t>
  </si>
  <si>
    <t>A Multimodal Fusion System for Object Identification in Point Clouds with Density and Coverage Differences</t>
  </si>
  <si>
    <t>Data fusion, which involves integrating information from multiple sources to achieve a specific objective, is an essential area of contemporary scientific research. This article presents a multimodal fusion system for object identification in point clouds in a controlled environment. Several stages were implemented, including downsampling and denoising techniques, to prepare the data before fusion. Two denoising approaches were tested and compared: one based on neighborhood technique and the other using a median filter for each x, y, and z coordinate of each point. The downsampling techniques included Random, Grid Average, and Nonuniform Grid Sample. To achieve precise alignment of sensor data in a common coordinate system, registration techniques such as Iterative Closest Point (ICP), Coherent Point Drift (CPD), and Normal Distribution Transform (NDT) were employed. Despite facing limitations, variations in density, and differences in coverage among the point clouds generated by the sensors, the system successfully achieved an integrated and coherent representation of objects in the controlled environment. This accomplishment establishes a robust foundation for future research in the field of point cloud data fusion.</t>
  </si>
  <si>
    <t>Urrea, Claudio/0000-0001-7197-8928; Quintero Bernal, Daniel Fernando/0000-0002-0745-6452</t>
  </si>
  <si>
    <t>10.3390/pr12020248</t>
  </si>
  <si>
    <t>WOS:001172618100001</t>
  </si>
  <si>
    <t>Methodological Challenges in Conducting Cross-Cultural/Language Research with Spanish Speakers: The Role of the Researcher/Translator</t>
  </si>
  <si>
    <t>QUALITATIVE REPORT</t>
  </si>
  <si>
    <t>With the increase in global research, it is common for researchers to investigate topics in intercultural settings, both in their own home countries and abroad. Although findings from this research are prolific, rarely are detailed examples given or practical suggestions offered, particularly in relation to the role of the translator/researcher. The significant and often undervalued role of the translator/researcher in cross cultural/language qualitative research warrants methodological considerations at the onset and throughout the research. Nonetheless, few qualitative studies transparently report the process of how the translation findings were developed. This paper addresses this gap by examining a Latinx postgraduate student's role in the qualitative research on teacher induction in Chile. I used reflexivity to assess my positionality of insiderness and outsiderness and its influence in the process of recruitment, conducting interviews, transcription, and translation. Interviews were conducted, transcribed and analysed in Spanish. Examples of data translation that can help to identify the main issues associated with reporting the findings in English are provided. These applied examples are used to illustrate the gaps and misinterpretations possible in intercultural research. The importance of researcher's culture competence, contextual skills and knowledge of the field of the study are highlighted.</t>
  </si>
  <si>
    <t>1052-0147</t>
  </si>
  <si>
    <t>2160-3715</t>
  </si>
  <si>
    <t>10.46743/2160-3715/2024.6216</t>
  </si>
  <si>
    <t>WOS:001139414900002</t>
  </si>
  <si>
    <t>Meza, BF</t>
  </si>
  <si>
    <t>Meza, Bastion Flores</t>
  </si>
  <si>
    <t>Video game journalism in Spain. Media ecosystem and trends of cultural specialization</t>
  </si>
  <si>
    <t>MEDIACIONES SOCIALES</t>
  </si>
  <si>
    <t>1989-0494</t>
  </si>
  <si>
    <t>e96230</t>
  </si>
  <si>
    <t>10.5209/meso.96230</t>
  </si>
  <si>
    <t>WOS:001247797800003</t>
  </si>
  <si>
    <t>Verdejo, H; Jara, EF; Castillo, T; Becker, C; Vergara, D; Sebastian, R; Guzmán, G; Tobar, F; Zolezzi, J</t>
  </si>
  <si>
    <t>Verdejo, Humberto; Fucks Jara, Emiliano; Castillo, Tomas; Becker, Cristhian; Vergara, Diego; Sebastian, Rafael; Guzman, Guillermo; Tobar, Francisco; Zolezzi, Juan</t>
  </si>
  <si>
    <t>Analysis and Modeling of Residential Energy Consumption Profiles Using Device-Level Data: A Case Study of Homes Located in Santiago de Chile</t>
  </si>
  <si>
    <t>The advancement of technology has significantly improved energy measurement systems. Recent investment in smart meters has enabled companies and researchers to access data with the highest possible temporal disaggregation, on a minute-by-minute basis. This research aimed to obtain data with the highest possible temporal and spatial disaggregation. This was achieved through a process of energy consumption measurements for six devices within seven houses, located in different communes (counties) of the Metropolitan Region of Chile. From this process, a data panel of energy consumption of six devices was constructed for each household, observed in two temporal windows: one quarterly (750,000+ observations) and another semi-annual (1,500,000+ observations). By applying a panel data econometric model with fixed effects, calendar-temporal patterns that help explain energy consumption in each of these two windows have been studied, obtaining explanations of over 80% in some cases, and very low in others. Sensitivity analyses show that the results are robust in a short-term temporal horizon and provide a practical methodology for analyzing energy consumption determinants and load profiles with panel data. Moreover, to the authors' knowledge, these are the first results obtained with data from Chile. Therefore, the findings provide key information for the planning of production, design of energy market mechanisms, tariff regulation, and other relevant energy policies, both at local and global levels.</t>
  </si>
  <si>
    <t>Vergara, Diego/J-4827-2012; Sebastian, Rafael/E-9386-2011</t>
  </si>
  <si>
    <t>, Cristhian Becker/0000-0001-6943-5086; Zolezzi Cid, Juan Manuel/0009-0001-5377-0688</t>
  </si>
  <si>
    <t>10.3390/su16010255</t>
  </si>
  <si>
    <t>WOS:001140542300001</t>
  </si>
  <si>
    <t>Axionic Dark Matter in a Bi-Metric Universe</t>
  </si>
  <si>
    <t>UNIVERSE</t>
  </si>
  <si>
    <t>We study the evolution and production of axion dark matter in a universe model with two scale factors corresponding to different patches of the universe. The interaction between patches is described through a deformed Poisson bracket structure. The first part of the present paper is devoted to a review of the results reported in previous works concerning the study of dark matter as WIMPs and FIMPs. The new results concerning axionic dark matter in this bi-metric scenario show that different values of the deformation parameter kappa allow values of masses and misalignment angles forbidden in standard cosmology. The present model can also be considered a different type of nonstandard cosmology consistent with previously reported results.</t>
  </si>
  <si>
    <t>2218-1997</t>
  </si>
  <si>
    <t>10.3390/universe9100429</t>
  </si>
  <si>
    <t>WOS:001119392800001</t>
  </si>
  <si>
    <t>Lobos, LC</t>
  </si>
  <si>
    <t>Lobos, Lucia Castillo</t>
  </si>
  <si>
    <t>Raise as if we were not working and work as if we were not having children reflections on the labor integration of migrant mothers raising in Chile</t>
  </si>
  <si>
    <t>POBLACION Y SALUD EN MESOAMERICA</t>
  </si>
  <si>
    <t>The childrearing practices deployed by migrant mothers are influenced by the precariousness of their subsistence spaces, as well as the mothers &amp; PRIME; knowledge and experiences. From the theoretical assumptions of intersectionality that reveals the imbricated networks based on gender, ethnicity-race and class that establish relations of inequality between social superstructures and mothers-migrants, it is proposed to respond to the general objective of analyzing the influence of precariousness work of migrant mothers in raising their sons and daughters in Chile. From a Latin American perspective, it is hoped to open the discussion regarding a local phenomenon as a manifestation of situated knowledge and, in turn, make visible the discrimination, subordination and submission of migrant women mothers, which explains the general dismissal of their vulnerable integration into the country and in which the upbringing of their sons and daughters take place. Through a qualitative methodology based on symbolic interactionism, 39 semi-structured interviews were conducted with Venezuelan, Peruvian and Haitian migrant mothers, which were subjected to thematic analysis and theorized according to the defined research objectives. As a result, it is obtained that migrant mothers tend to access precarious and informal jobs against which they deploy different strategies that range from job abandonment, renouncing their maternity rights, acceptance of double presence and the formation of chains. care packages to make the childrearing compatible with work. The conclusions show that the labor integration of migrant mothers in Chile outlines the practices of childrearing from a permanent negotiation between subsistence, the maintenance of ties and their cultural heritage, where the dimensions of gender, race and class outline the intensity of these transactions that make manifest the social location of subalternity of migrant mothers, and that is intensified in the case of Haitian mothers since the greater representation of otherness is embodied in them.</t>
  </si>
  <si>
    <t>1659-0201</t>
  </si>
  <si>
    <t>10.15517/psm.v21i1.52797</t>
  </si>
  <si>
    <t>WOS:001024594600003</t>
  </si>
  <si>
    <t>Quijada-Maldonado, E; de la Parra, M; Olea, F; Parraguez, B; Ulloa, L; Castillo, X; Pizarro, J; Romero, J</t>
  </si>
  <si>
    <t>Quijada-Maldonado, Esteban; de la Parra, Matias; Olea, Felipe; Parraguez, Benjamin; Ulloa, Luis; Castillo, Ximena; Pizarro, Jaime; Romero, Julio</t>
  </si>
  <si>
    <t>Novel copper desorption from a functionalized fly ash adsorbent using 1,1,1-trifluoro-2,4-pentanodione in ionic liquid [bmim][Tf2N]: Experimental and quantum chemistry calculations</t>
  </si>
  <si>
    <t>JOURNAL OF IONIC LIQUIDS</t>
  </si>
  <si>
    <t>In the context of the current environmental issues and the need to consolidate effective efforts according to the criteria of a circular economy, adsorption of copper from water with functionalized materials has shown high performance at low cost. However, desorption requires high amounts of acid and base to regenerate the functionalized material. In order to overcome this drawback, this work proposes an alternative desorbing phase based on a specific extractant for copper 1,1,1-trifluoro-2,4-pentanodione (TFA) dissolved in the ionic liquid (IL) 1-butyl-3-methylimidazolium bis(trifluoromethylsulfonyl)imide. In this way, adsorption experiments were carried out using adsorbent fly ash, modified with a mesoporous siliceous material, and functionalized with 3aminopropyl-triethoxysilane (APS). Under the operating conditions of this study, the best desorption performance was achieved using the lowest functionalization percentage of the absorbent material. The desorption percentage reached 45% after 200 min of contact with a stirred solution of TFA 0.2 [M] in IL. This percentage can be increased to around 70% through a second contact with fresh desorbing phase. Meanwhile, the conventional desorption technique with nitric acid showed faster kinetics and a slightly higher desorption percentage close to 50%. In turn, the final pH of the adsorbent slightly decreased when the proposed desorbing phase was used, representing an advantage over the use of acid. Additionally, it was possible to decrease the amount of desorbing phase allowing the concentration of copper. The COSMO-RS calculations indicate that a more hydrophobic IL could increase desorption percentage.</t>
  </si>
  <si>
    <t>olea, felipe/IAN-5687-2023; Romero, Julio/I-6705-2013</t>
  </si>
  <si>
    <t>Romero, Julio/0000-0002-1229-1592; Olea Chandia, Felipe/0000-0002-6349-6184; Quijada-Maldonado, Esteban/0000-0003-1411-4327</t>
  </si>
  <si>
    <t>2772-4220</t>
  </si>
  <si>
    <t>10.1016/j.jil.2023.100055</t>
  </si>
  <si>
    <t>WOS:001465453600005</t>
  </si>
  <si>
    <t>Moyano, BC; Pacheco, PV</t>
  </si>
  <si>
    <t>Moyano, Cristina B.; Pacheco, Valentina P.</t>
  </si>
  <si>
    <t>Production and dissemination of feminism in the Chilean post-dictatorship: the cases of La Casa de la Mujer La Mora- da, la Editorial Cuarto Propio, the Revista de Crítica Cultural and Radio Tierra, 1990-2007</t>
  </si>
  <si>
    <t>REVISTA DE HISTORIA DA SOCIEDADE E DA CULTURA</t>
  </si>
  <si>
    <t>This article analyzes the formation of the intellectual network in which feminist knowl-edge was produced, circulated and spread between 1990 and 2007, a period that covers al-most two post-dictatorship decades in Chile. The main objective is to historicize the function-ing of the network, its agents and the concepts that helped build the cognitive frameworks of contemporary feminism, as one of the forms of knowledge that was part of the narratives of discomfort and that strongly criticized the type of democracy and the processes of democ-ratization alter 1990, through a methodological intersection between political history and intellectual history.</t>
  </si>
  <si>
    <t>1645-2259</t>
  </si>
  <si>
    <t>2183-8615</t>
  </si>
  <si>
    <t>10.14195/1645-2259_23-2_7</t>
  </si>
  <si>
    <t>WOS:001161487500001</t>
  </si>
  <si>
    <t>Navarrete, EF</t>
  </si>
  <si>
    <t>Navarrete, Esteban Figueroa</t>
  </si>
  <si>
    <t>The concept of civil society: a geographical/ rhizomatic reflection</t>
  </si>
  <si>
    <t>REVISTA GEOGRAFICA VENEZOLANA</t>
  </si>
  <si>
    <t>We reflected on the concept of civil society in some geography schools in Chile, what we understand about it, its scope and limits. Thus, we approached a necessary discussion on a concept widely used in the social sciences, with a wide presence in the geographical literature, however, its explicit study so far has been limited in this literature. The research focused on an exclusively qualitative methodological proposal. It used qualitative content analysis techniques and an adaptation to the Delphi technique in its consultation with experts. It was evidenced that there is no explicit purpose in the uses of the concept of civil society, however, it is due to the little knowledge of it, in turn, there is a widespread claim that it is significant for geographical studies, hence the importance of building it from geography.</t>
  </si>
  <si>
    <t>1012-1617</t>
  </si>
  <si>
    <t>2244-8853</t>
  </si>
  <si>
    <t>WOS:001043295200006</t>
  </si>
  <si>
    <t>Prudant, E</t>
  </si>
  <si>
    <t>Prudant, Elisabet</t>
  </si>
  <si>
    <t>Urbanization as a historical vindication device for the right to the city in Santiago of Chile (1930-1950)</t>
  </si>
  <si>
    <t>REVISTA HISTORIA-DEBATES E TENDENCIAS</t>
  </si>
  <si>
    <t>The article analyzes the claims for urbanization of inhabitants of certain suburban neighborhoods of Santiago between 1930 and 1950, as an expression of a process of appropriation of their inhabited space and resistance to the dynamics of inequality characteristic of metropolitan development in Latin America. To this end, the demands inscribed in the significant concept of dignity on part of neighborhood-based associations are examined. Likewise, the political dimension of associativism and affirmation practices emerged from the periphery rooting for the right to the city are addressed. As the main historical sources, the paper analyzes a set of small newspapers produced and circulated in various neighborhoods on the outskirts of Santiago, allowing us to study how the working classes that suffered from urban problems fought against spatial segregation</t>
  </si>
  <si>
    <t>1517-2856</t>
  </si>
  <si>
    <t>2238-8885</t>
  </si>
  <si>
    <t>10.5335/hdtv.23n.1.13921</t>
  </si>
  <si>
    <t>WOS:001152737300006</t>
  </si>
  <si>
    <t>Lizama, DR</t>
  </si>
  <si>
    <t>Lizama, David Rojas</t>
  </si>
  <si>
    <t>An available place in the cosmos: the mental and the physical in Feigl?s realism</t>
  </si>
  <si>
    <t>This work critically addresses Herbert Feigl's proposal to the mind-body problem within the general framework of his philosophy. For this, we describe succinctly (a) the context of the physicalist theories within which his proposal emerges, highlighting its differences with the positions of Carnap specialIntscript Place specialIntscript , Smart specialIntscript and (b) some relevant elements of the evolution of his own thought, with special emphasis on those elements inherited from previous philosophy that allowed the Austrian philosopher to build his own theoretical framework, characterized mainly by the defense of a semantic realism in science. Against this background, we will expose the differences between the central ideas of his 1934 text, centered on the idea o double-language , his definitive proposal presented in his most influential text of 1958, centered on his theory of double knowledge. Additionally, throughout the article, we support the general view that Feigl's philosophy of mind is a proposal of contemporary value and interest, although not especially original, whose understanding depends notoriously on the more general framework of his philosophy and the traditions that crossed it.</t>
  </si>
  <si>
    <t>10.32735/S0718-22012022000551091</t>
  </si>
  <si>
    <t>WOS:000960013600003</t>
  </si>
  <si>
    <t>Videla, L</t>
  </si>
  <si>
    <t>Videla, Leonardo</t>
  </si>
  <si>
    <t>A transport process on graphs and its limiting distributions</t>
  </si>
  <si>
    <t>JOURNAL OF APPLIED PROBABILITY</t>
  </si>
  <si>
    <t>Given a finite strongly connected directed graph G=(V, E) , we study a Markov chain taking values on the space of probability measures on V. The chain, motivated by biological applications in the context of stochastic population dynamics, is characterized by transitions between states that respect the structure superimposed by E: mass (probability) can only be moved between neighbors in G. We provide conditions for the ergodicity of the chain. In a simple, symmetric case, we fully characterize the invariant probability.</t>
  </si>
  <si>
    <t>Videla, Leonardo/HSH-9709-2023</t>
  </si>
  <si>
    <t>Videla, Leonardo/0000-0003-3423-6508</t>
  </si>
  <si>
    <t>0021-9002</t>
  </si>
  <si>
    <t>1475-6072</t>
  </si>
  <si>
    <t>PII S002190022200047X</t>
  </si>
  <si>
    <t>10.1017/jpr.2022.47</t>
  </si>
  <si>
    <t>WOS:000865612700001</t>
  </si>
  <si>
    <t>Soto, PA</t>
  </si>
  <si>
    <t>Soto, Pablo Alderete</t>
  </si>
  <si>
    <t>INTHE FOOTPRINT OF PEASANT POLITICIZATION: LABOR CONFLICT, ANTAGONISMS AND PEASANT RESISTANCE (CURICÓ, 1934-1938)</t>
  </si>
  <si>
    <t>In this article we propose to examine the problem of peasant politicization, in a period that has been understudied by national historiography. We intend to show how the peasants of Curico antagonized the rural landowners, long before the left parties took an interest in rural &amp; aacute;reas. In order to do that, we present a broad conceptualization of politicization, which emphasizes its informal and less organized dynamics. These conflicts, mostly of a labor nature, were shaping an awareness of the conflict and, therefore, a political subjectivity that allowed them to distance themselves from the prevailing hegemonic consensus in the Curico's countryside. Starting from a detailed reading of the judicial files of the Labor Court of Curico, we will elucidate the two main routes of rural politicization: the judicialization of the labor conflict, understood in terms of a new political opportunity opened by the promulgation of the Labor Code; and the culture of indiscipline, unproductiveness and daily rebellion that characterized the socio-productive relations between bosses and peasants.</t>
  </si>
  <si>
    <t>WOS:000937012300001</t>
  </si>
  <si>
    <t>Reyes, A; Gatica, E; Henríquez-Vargas, L; Pailahueque, N</t>
  </si>
  <si>
    <t>Reyes, A.; Gatica, E.; Henriquez-Vargas, L.; Pailahueque, N.</t>
  </si>
  <si>
    <t>Sawdust drying in a series of rectangular base spouted beds using solar energy</t>
  </si>
  <si>
    <t>JOURNAL OF ENERGY STORAGE</t>
  </si>
  <si>
    <t>The present work reports experimental results and a statistical analysis of sawdust drying in a direct contact dynamic dryer using solar energy and phase change materials. The equipment consists of a solar energy accumulator using paraffin wax as storage material, and three rectangular base spouted beds connected in series. Solar energy was captured by the energy accumulator in its charging stage and then released as thermal energy to the circulating air, which subsequently entered the rectangular base spouted beds removing moisture from sawdust particles in a continuous operation. Temperature profiles of the paraffin wax and of the air were registered in different positions of the solar energy accumulator. A total of 89 kg of paraffin wax distributed in 450 beverage cans within the accumulator were used. With a confidence level of 95%, it was found that the significant effects in steady state operation were the sawdust feed flow, the solid initial moisture content and the drying air temperature. Using the optimal operating conditions of the dryer found, it was possible to remove 27.6% of the moisture from the solid. Additionally, it was projected that the operation may be feasible for at least 4 h with the amount of accumulated solar energy and with high thermal drying efficiencies.</t>
  </si>
  <si>
    <t>Pailahueque, Nicolas/GYA-3286-2022; Henríquez-Vargas, Luis/Q-3617-2019</t>
  </si>
  <si>
    <t>Pailahueque Barahona, Nicolas/0009-0006-3051-3888; Gatica Candia, Erick Hernan/0000-0002-8713-6749; Henriquez-Vargas, Luis/0000-0002-6825-8505</t>
  </si>
  <si>
    <t>2352-152X</t>
  </si>
  <si>
    <t>2352-1538</t>
  </si>
  <si>
    <t>10.1016/j.est.2021.103881</t>
  </si>
  <si>
    <t>JAN 2022</t>
  </si>
  <si>
    <t>WOS:000780388500005</t>
  </si>
  <si>
    <t>Quiroz, J; Fuentes, C; Chavez, H</t>
  </si>
  <si>
    <t>Nordstrom, L; Holjevac, N; Kuzle, I; Ivankovic, I; Kezunovic, M; Paulone, M; Mohsenian-Rad, H; Muscas, C; Basakarad, T</t>
  </si>
  <si>
    <t>Quiroz, Juan; Fuentes, Carlos; Chavez, Hector</t>
  </si>
  <si>
    <t>Load Frequency Response in The Chilean Power System</t>
  </si>
  <si>
    <t>2022 INTERNATIONAL CONFERENCE ON SMART GRID SYNCHRONIZED MEASUREMENTS AND ANALYTICS - SGSMA 2022</t>
  </si>
  <si>
    <t>International Conference on Smart Grid Synchronized Measurements and Analytics (SGSMA)</t>
  </si>
  <si>
    <t>MAY 24-26, 2022</t>
  </si>
  <si>
    <t>Split, CROATIA</t>
  </si>
  <si>
    <t>IEEE Power &amp; Energy Soc,IEEE Instrumentat &amp; Measurement Soc,Univ Zagreb, Fac Elect Engn &amp; Comp</t>
  </si>
  <si>
    <t>The current transition from synchronous to power electronics-based generation has led to important concerns in power systems operation, particularly on the reduction of natural frequency response from synchronous machines. These concerns have increased the interest in monitoring and estimating the overall frequency response of power systems, which has been centered in the response of generators that comprises most of system response. However, the load frequency response has been overlooked as its contribution is not as significant as that of generators, and also because of the large amount of individual loads within a power system that are challenging to monitor. This paper reports the load frequency response in the case of Chile, considering SCADA and Syncrophasor data. A set of representative loads is considered to evaluate the frequency response and extrapolate this behavior to assess the overall load frequency response.</t>
  </si>
  <si>
    <t>Lago-Fuentes, Carlos/J-4361-2019</t>
  </si>
  <si>
    <t>978-1-6654-9823-4</t>
  </si>
  <si>
    <t>10.1109/SGSMA51733.2022.9806015</t>
  </si>
  <si>
    <t>WOS:000865648500031</t>
  </si>
  <si>
    <t>Sandoval, EA</t>
  </si>
  <si>
    <t>Sandoval, Esteban Arratia</t>
  </si>
  <si>
    <t>Silent rifles? Criminal agendas and paramilitary demobilization in Colombia under the Peace Triangle</t>
  </si>
  <si>
    <t>REVISTA DE PAZ Y CONFLICTOS</t>
  </si>
  <si>
    <t>How do criminal agendas affect a peace process with violent non-state actors? This article attempts to resolve this question by presenting a qualitative analysis of the demobilization process of the United Self-Defense Forces of Colombia (AUC) during the government of Alvaro Uribe using the Peace Triangle as an analytical framework, based on three study variables: issues , behavior and attitudes . The review from this model aims to make a double contribution to peace studies. On the one hand, it fills a gap in academic knowledge about the sustainability of peace processes. And, on the other, to examine the relationship between criminal agendas and conflict resolution. The research reveals that the former Colombian President's inadequate management of criminal agendas transformed the peace negotiation into a damage control strategy since it did not intend to modify the scale of predatory crimes committed by the AUC, but rather to shape its behavior.</t>
  </si>
  <si>
    <t>1988-7221</t>
  </si>
  <si>
    <t>10.30827/revpaz.15.18138</t>
  </si>
  <si>
    <t>WOS:001279176000001</t>
  </si>
  <si>
    <t>Murillo, HA; Díaz-Robles, LA; Santander, RE; Cubillos, FA</t>
  </si>
  <si>
    <t>Murillo, Herman A.; Diaz-Robles, Luis A.; Santander, Roberto E.; Cubillos, Francisco A.</t>
  </si>
  <si>
    <t>Conversion of residual oat husk and pine sawdust by co-hydrothermal carbonization towards biofuel production for pellet stoves</t>
  </si>
  <si>
    <t>INDUSTRIAL CROPS AND PRODUCTS</t>
  </si>
  <si>
    <t>Due to the impact of household wood-burning on air quality and the controversy related to its carbon neutrality, the development of cleaner technologies is highly required. Valorization of agro-waste emerges as a potential strategy to cover the demand for wood-based fuels partially. Oat husk (OH) is a widely available waste, and its combination with pine sawdust (PS) can be a suitable alternative towards biofuel production. In this work, the conversion of OH-PS mixtures via hydrothermal carbonization (HTC) was investigated. Optimization of HTC process parameters in terms of mixing ratio (21.7-78.3% of OH loading) and reaction temperature (164.6-235.4 degrees C) was performed using the response surface methodology to maximize hydrochar yield (HY) and higher heating value (HHV) and to minimize ash content (AC). The optimal hydrochar was obtained at 21.7% OH and 228.3 degrees C after the responses were simultaneously optimized. Remarkably, the application of the optimized hydrochar was evaluated by combustion tests using a domestic pellet stove. Results revealed decreased emissions from incomplete combustion such as CO and particulate matter, far lower than local and global requirements. Besides, hydrochar pellets also exhibited decreased moisture uptake and enhanced durability, facilitating transportation and storage, especially when facing adverse conditions. These findings demonstrate the valorization of residual biomass via HTC is a viable approach to tackle the air pollution control associated with residential heating.</t>
  </si>
  <si>
    <t>Diaz-Robles, Luis/D-3450-2013</t>
  </si>
  <si>
    <t>Murillo, Herman/0000-0001-9422-1952</t>
  </si>
  <si>
    <t>0926-6690</t>
  </si>
  <si>
    <t>1872-633X</t>
  </si>
  <si>
    <t>10.1016/j.indcrop.2021.114219</t>
  </si>
  <si>
    <t>NOV 2021</t>
  </si>
  <si>
    <t>WOS:000717966800006</t>
  </si>
  <si>
    <t>Conversion of residual biomass into valuable biofuels by co-hydrothermal carbonization for utilization in household pellet stoves</t>
  </si>
  <si>
    <t>BIOMASS &amp; BIOENERGY</t>
  </si>
  <si>
    <t>The co-hydrothermal carbonization of rapeseed meal (RM) and pine sawdust (PS) was optimized to obtain biofuels to be used in household pellet stoves. The methodology of optimization of multiple responses was applied on two sets of responses: mass yield-higher heating value-ash content (MY-HHV-AC) and energy yieldash content (EY-AC) as a function of the RM fraction (%RM) and the reaction temperature (RT). The optimal conditions were 34.5% of RM and 209.3 degrees C of the MY-HHV-AC set, whereas 30.0% of RM and 193.4 degrees C were the EY-AC set's optimal parameters. After validation of the optimal responses, the resulting hydrochars were then pelletized before burning. Gaseous and particulate emissions were measured from the combustion of optimal hydrochars and their corresponding untreated biomasses in a commercial pellet stove. The most outstanding findings from hydrochar pellets were associated with decreased emissions of incomplete combustion such as CO and particulate matter, especially by the EY-AC hydrochar, which showed a significantly lower particulate emission than the local emission limit. Based on these results, this work reflects a promising application of hydrothermal carbonization on power generation and the prospective introduction of hydrochar pellets in the global market.</t>
  </si>
  <si>
    <t>0961-9534</t>
  </si>
  <si>
    <t>1873-2909</t>
  </si>
  <si>
    <t>10.1016/j.biombioe.2021.106153</t>
  </si>
  <si>
    <t>JUN 2021</t>
  </si>
  <si>
    <t>WOS:000677477700002</t>
  </si>
  <si>
    <t>Vidal, CP; de Dicastillo, CL; Rodríguez-Mercado, F; Guarda, A; Galotto, MJ; Muñoz-Shugulí, C</t>
  </si>
  <si>
    <t>Patino Vidal, Cristian; Lopez de Dicastillo, Carol; Rodriguez-Mercado, Francisco; Guarda, Abel; Galotto, Maria Jose; Munoz-Shuguli, Cristina</t>
  </si>
  <si>
    <t>Electrospinning and cyclodextrin inclusion complexes: An emerging technological combination for developing novel active food packaging materials</t>
  </si>
  <si>
    <t>CRITICAL REVIEWS IN FOOD SCIENCE AND NUTRITION</t>
  </si>
  <si>
    <t>This review was focused on describing the combination of electrospinning and cyclodextrin inclusion complexes as one of the newest alternatives for the development of food packaging materials with antimicrobial and/or antioxidant properties. The advantages of this technological combination, the routes to design the active materials, the characterization and application of such materials were reviewed. Electrospinning has allowed developing active packaging materials composed by fibrillary structures with a high ratio surface-to-volume. On the other hand, cyclodextrin inclusion complexes have maintained the properties of active compounds when they have been incorporated in packaging materials. Both methods have been recently combined and novel active food packaging materials have been obtained through three different routes. Polymeric solutions containing preformed (route 1) or in-situ formed (route 2) cyclodextrin inclusion complexes have been electrospun to obtain packaging materials. Furthermore, cyclodextrin inclusion complexes solutions have been directly electrospun (route 3) in order to produce those materials. The developed packaging materials have exhibited a high active compound loading with a long lasting release. Therefore, the protection of different foodstuff against microbial growth, oxidation and quality decay as well as the maintenance of their physical and sensory properties have been achieved when those materials were applied as active packaging.</t>
  </si>
  <si>
    <t>Rodríguez, Francisco/I-5283-2018; Muñoz-Shugulí, Cristina/AAO-4231-2020; Patiño Vidal, Cristian Javier/JDM-7961-2023; Lopez-de-Dicastillo, Carol/C-6347-2019</t>
  </si>
  <si>
    <t>Rodriguez-Mercado, Francisco/0000-0002-0530-6653; Lopez-de-Dicastillo, Carol/0000-0003-0067-9765; Munoz Shuguli, Cristina Alejandra/0000-0003-0052-7411; Patino Vidal, Cristian Javier/0000-0002-5633-6908</t>
  </si>
  <si>
    <t>1040-8398</t>
  </si>
  <si>
    <t>1549-7852</t>
  </si>
  <si>
    <t>NOV 13</t>
  </si>
  <si>
    <t>10.1080/10408398.2021.1886038</t>
  </si>
  <si>
    <t>FEB 2021</t>
  </si>
  <si>
    <t>WOS:000619742000001</t>
  </si>
  <si>
    <t>Child, T; Acuña, G</t>
  </si>
  <si>
    <t>Child, Tomas; Acuna, Gonzalo</t>
  </si>
  <si>
    <t>Healthy and Anomalous Beehives Classification Model using Convolutional Neural Networks</t>
  </si>
  <si>
    <t>2020 XLVI LATIN AMERICAN COMPUTING CONFERENCE (CLEI 2020)</t>
  </si>
  <si>
    <t>46th Latin American Computing Conference (CLEI)</t>
  </si>
  <si>
    <t>OCT 19-23, 2020</t>
  </si>
  <si>
    <t>One of the main problems in chilean beekeeping is the late diseases diagnosis that affects beehives. In this work, convolutional neuronal networks are used to create a system that detect beehives health by classifying the sound they emit represented by spectrograms. A dataset is made from audio registers recorded in Chile. From this data, two models for beehives classification are elaborated with different architectures. The model implemented through Transfer Learning obtains a high percentage of accuracy (0.9303 in validation) at classifying recordings according to their health condition, which is comparable to other related publications about Machine Learning applied in beekeeping</t>
  </si>
  <si>
    <t>978-0-7381-3064-4</t>
  </si>
  <si>
    <t>10.1109/CLEI52000.2020.00008</t>
  </si>
  <si>
    <t>WOS:000923740800003</t>
  </si>
  <si>
    <t>Valenzuela, CJ</t>
  </si>
  <si>
    <t>Jeria Valenzuela, Claudia</t>
  </si>
  <si>
    <t>Thinking about possible historical trajectories of unrest in Chile</t>
  </si>
  <si>
    <t>WOS:000651158400008</t>
  </si>
  <si>
    <t>Leal, IM</t>
  </si>
  <si>
    <t>Merino Leal, Isabel</t>
  </si>
  <si>
    <t>The demands of online education in a context of pandemic and conflict: how is face-to-face presence affected in the pedagogical process of teaching/learning by the obligatory use of the mask?</t>
  </si>
  <si>
    <t>WOS:000651158400015</t>
  </si>
  <si>
    <t>Urrea, C; Venegas, D</t>
  </si>
  <si>
    <t>Urrea, Claudio; Venegas, Daniel</t>
  </si>
  <si>
    <t>Automatized follow-up and alert system for patients with chronic hypertension</t>
  </si>
  <si>
    <t>HEALTH INFORMATICS JOURNAL</t>
  </si>
  <si>
    <t>This article presents the development and implementation of a monitoring system for patients with chronic hypertension. Technological advances in wireless communication are increasingly used today to send and receive information through smartphones. This also applies to devices for measuring blood pressure, which can be efficiently integrated with smartphones. Telemedicine is used in a variety of health fields, and in the past 5 years, it has extended its reach to the online monitoring of patients. The objective of this study is to create an integrated system capable of conducting the follow-up, through mobile communication (smartphones), of patients with chronic diseases such as hypertension. An iHealth equipment certified by the Food and Drug Administration is used. The blood pressure values from users are uploaded via Internet and stored in an integral system for processing. The monitoring system developed not only informs users about their disease status but also sends them alerts generated during monitoring. This work uses the telecommunication technology existing through smartphones. The integrated system developed ensures the follow-up of the blood pressure of a large number of users. In addition, this system can be further applied to diseases such as diabetes and metabolic syndrome. The system developed was easy to use and efficient to monitor patients with chronic diseases such as high blood pressure.</t>
  </si>
  <si>
    <t>Claudio, URREA/KWU-1600-2024; Suarez, Daniel/HTS-9621-2023</t>
  </si>
  <si>
    <t>1460-4582</t>
  </si>
  <si>
    <t>1741-2811</t>
  </si>
  <si>
    <t>10.1177/1460458219900446</t>
  </si>
  <si>
    <t>APR 2020</t>
  </si>
  <si>
    <t>WOS:000532780800001</t>
  </si>
  <si>
    <t>Rovira, LA; Retamal, PA; de Oca, DRM; Insunza, MJS; Cabrera, CC; Cáceres, FS</t>
  </si>
  <si>
    <t>Aliaga Rovira, Leonardo; Aviles Retamal, Patricia; Montes de Oca, Domingo Roman; Serrano Insunza, Maria Jose; Colicheo Cabrera, Camila; Soto Caceres, Francisco</t>
  </si>
  <si>
    <t>'Nicanor y la Violeta': A critical analysis of the use of the definite article before male and female proper nouns</t>
  </si>
  <si>
    <t>This article studies the structure definite article + proper noun anthroponym and its distribution of use in cases of female and male anthroponyms. It is assumed that this structure is more frequent when the anthroponym is female (la Violeta and not el Nicanor). Since the presence of the article is expletive before proper nouns and, on the contrary, the use of this determinant or another is required, in specific syntactic positions, before common nouns, the appearance of the definite article preceding the feminine anthroponym could be a mark of social prejudice towards woman. To corroborate this hypothesis, the phenomenon studied was tracked in chilean written press texts, in order to analysing its appearance and frequency of use in cases of feminine and masculine anthroponyms.</t>
  </si>
  <si>
    <t>10.15443/RL3018</t>
  </si>
  <si>
    <t>WOS:000599863100003</t>
  </si>
  <si>
    <t>Reyes, AMA</t>
  </si>
  <si>
    <t>Armijo Reyes, Andrea Margarita</t>
  </si>
  <si>
    <t>Between Clientelism and Strengthening Family Ties: Compadrazgo in the Indigenous Families of the Melipilla Valley(Chile, 1780-1810)</t>
  </si>
  <si>
    <t>FRONTERAS DE LA HISTORIA</t>
  </si>
  <si>
    <t>This paper analyzes the relations by compadrazgo of the indigenous population of the indigenous people, with the purpose of promoting family strategies aimed at forming clientelism, social mobility and reciprocity alliances between parents and godparents from consanguineal, collateral and family ties, community as well as with the local elite of the Melipilla Valley. The documentation analyzed comes from the parish registry of the San Jose de Melipilla church, notarial documentation and judicial records, using those through the methodology of social networks to analyze interpersonal links between different sectors and social groups. The results indicate that the links by indigenous compadrazgo between social peers and local elites lead to the search for economic favors as well as social reaffirmation.</t>
  </si>
  <si>
    <t>Armijo Reyes, Andrea/0000-0003-3470-4148</t>
  </si>
  <si>
    <t>2027-4688</t>
  </si>
  <si>
    <t>2539-4711</t>
  </si>
  <si>
    <t>10.22380/20274688.844</t>
  </si>
  <si>
    <t>WOS:000553252900005</t>
  </si>
  <si>
    <t>Riquelme, E; Fuentes, C; Chavez, H</t>
  </si>
  <si>
    <t>Riquelme, Esteban; Fuentes, Carlos; Chavez, Hector</t>
  </si>
  <si>
    <t>A Review of Limitations of Wind Synthetic Inertia Methods</t>
  </si>
  <si>
    <t>2020 IEEE PES TRANSMISSION &amp; DISTRIBUTION CONFERENCE AND EXHIBITION - LATIN AMERICA (T&amp;D LA)</t>
  </si>
  <si>
    <t>Proceedings of the IEEE-PES Transmission &amp; Distribution Conference and Exposition Latin America</t>
  </si>
  <si>
    <t>IEEE PES Transmission and Distribution Conference and Exhibition - Latin America (T and D LA)</t>
  </si>
  <si>
    <t>SEP 28-OCT 02, 2020</t>
  </si>
  <si>
    <t>Montevideo, URUGUAY</t>
  </si>
  <si>
    <t>The rise of wind power penetration ijn power system has led to a deterioration of frequency response and a reduction of inertia levels. The proposals of methodologies for wind turbines to alleviate the effect of wind integration by providing frequency response are numerous, but most of these proposals consider simplifying assumptions that prevent their efficient or optimal performance. In this work, various synthetic inertia techniques are reviewed, establishing their limitations in terms of modeling to achieve optimality and representativeness of the model.The analysis establishes that the treatment of non-linearities and the lack of an objective function are the main limitations.</t>
  </si>
  <si>
    <t>2381-3571</t>
  </si>
  <si>
    <t>978-1-7281-4155-8</t>
  </si>
  <si>
    <t>10.1109/TDLA47668.2020.9326180</t>
  </si>
  <si>
    <t>WOS:000666965600125</t>
  </si>
  <si>
    <t>Vásquez, J; Reyes, A; Pailahueque, N</t>
  </si>
  <si>
    <t>Vasquez, Jose; Reyes, Alejandro; Pailahueque, Nicolas</t>
  </si>
  <si>
    <t>Modeling, simulation and experimental validation of a solar dryer for agro-products with thermal energy storage system</t>
  </si>
  <si>
    <t>This paper presents a dynamic model of a solar dryer for agro-products with thermal energy storage system, using paraffin wax as phase change material. The mathematical model of the dryer was separated in three stages: a solar panel, a solar accumulator and a drying chamber. The system of equations was solved using numerical integration. The models were validated with experimental data reported in previous studies on the drying of kiwifruit and mushrooms. Temperatures was measured at the outlet of the solar panel and solar accumulator, solid moisture content and air humidity were measured at the inlet and outlet of the drying chamber. Based on fit evaluations R-2 and RMSE, the model accurately predicts temperature and humidity of the drying air, temperature and moisture of the product, behavior of the heat transfer and drying parameters and time variable climatic conditions ambient temperature, air humidity, and solar radiation. (C) 2019 Elsevier Ltd. All rights reserved.</t>
  </si>
  <si>
    <t>Pailahueque, Nicolas/GYA-3286-2022</t>
  </si>
  <si>
    <t>Pailahueque Barahona, Nicolas/0009-0006-3051-3888</t>
  </si>
  <si>
    <t>1879-0682</t>
  </si>
  <si>
    <t>10.1016/j.renene.2019.02.085</t>
  </si>
  <si>
    <t>WOS:000466249700117</t>
  </si>
  <si>
    <t>Wong, V; Maisey, K; Montero, R; Imarai, M</t>
  </si>
  <si>
    <t>Wong, V.; Maisey, K.; Montero, R.; Imarai, M.</t>
  </si>
  <si>
    <t>Effects of recombinant IL-4/13A on the phagocytic capacity of salmonid leukocytes</t>
  </si>
  <si>
    <t>P-073</t>
  </si>
  <si>
    <t>10.1016/j.fsi.2019.04.142</t>
  </si>
  <si>
    <t>WOS:000474676700115</t>
  </si>
  <si>
    <t>Rubio, M</t>
  </si>
  <si>
    <t>Rubio, Manuel</t>
  </si>
  <si>
    <t>Experiential processes in narratives about daily situations written by primary schools students</t>
  </si>
  <si>
    <t>REVISTA SIGNOS</t>
  </si>
  <si>
    <t>The purpose of this article is to describe the processes represented in finite clauses which are part of written narratives produced by elementary school students. In order to achieve this objective, verbs and verb phrases are analyzed as central elements in the configuration of experience, which is expanded by inherent participants in the represented process and circumstantial-type adjuncts. Clauses are considered the central process unit, as they convey the speakers' choice in terms of the different systemic networks that are syntagmatically structured. The methodological approach corresponds to a quantitative description. The corpus presents a collection of 180 texts written by students in Grades 3, 5 and 7 attending one of two types of schools: a state school or a state-subsidized private school. The material processes that construct the experience as an external event, are significantly predominant in the corpus. However, such trend steadily decreases as students are promoted to the next grade, as evidenced by an increase of clauses with attributive and mental relational processes. It can be concluded that students describe concrete events from a perceptively external point of view, which tend to localize time and space.</t>
  </si>
  <si>
    <t>Rubio, Manuel/0000-0003-2314-1781</t>
  </si>
  <si>
    <t>0718-0934</t>
  </si>
  <si>
    <t>10.4067/S0718-09342019000100158</t>
  </si>
  <si>
    <t>WOS:000457687300007</t>
  </si>
  <si>
    <t>Conceptual Writing and Catastrophe</t>
  </si>
  <si>
    <t>Faced with tragic historic events, many poets have opted for formal strategies that allow to move the reader the most direct way possible, using the voice of the witness or even the victims themselves. Other authors, however, perhaps with similar intentions, have chosen detachment and suppression of emotion as their techniques. Within the contemporary trend of conceptualism or conceptual writing, there are several poets, such as Rob Fitterman y Carlos Soto Roman, whose main tool is the appropriation and manipulation of records and digital archives. This kind of works provides a provocative way of thinking the relationship between poetry and politics.</t>
  </si>
  <si>
    <t>WOS:000497139300004</t>
  </si>
  <si>
    <t>Barría, SN</t>
  </si>
  <si>
    <t>Navarrete Barria, Sandra</t>
  </si>
  <si>
    <t>Memories of the after: towards a hermeneutics of testimony in political prison</t>
  </si>
  <si>
    <t>The aim of this article is to explore the boundaries of the testimony in its textual dimensions based on a hermeneutic framework. Particularly, the article reviews how important is the narrative style of the testimony in its meaning if we consider the aesthetic level as a valid piece to this kind of texts. Research questions include the possibility of the interpretation of testimonies of political prison; how relevant is the narrative style of the testimony in its meaning and what is the role of an hermeneutic approach in this field. The work analyze two testimonies from Argentina- Nora Strejilevich's Una sola noche numerosa (1997) and Susana Jorgelina Ramus's Suerios sobrevivientes de una montonera (2000). The analysis results reveals that there are narratives styles from the literary tradition that operates in these testimonies not only as an aesthetic frame from the traumatic experience but also as a bracket for the meaning of what is remembered.</t>
  </si>
  <si>
    <t>WOS:000480433800006</t>
  </si>
  <si>
    <t>Droller, F</t>
  </si>
  <si>
    <t>Droller, Federico</t>
  </si>
  <si>
    <t>Migration, Population Composition and Long Run Economic Development: Evidence from Settlements in the Pampas</t>
  </si>
  <si>
    <t>ECONOMIC JOURNAL</t>
  </si>
  <si>
    <t>This article analyses the impact of population composition on long run economic development, by studying European migration to Argentina during the Age of Mass Migration (1850-1914). I use an instrumental variables (IV) approach that assigns immigrants to counties by interacting two sources of variation: the availability of land for settlement and the arrival of Europeans over time. Counties with historically higher shares of European population in 1914 have higher per capita GDP 80years later. I show that this long run effect is linked to the higher level of human capital that immigrants brought to Argentina. I show that Europeans raised literacy rates in the receiving counties, and that high-skilled Europeans played an important role in the onset of industrialisation, owned most of the industrial establishments, and provided the majority of the industrial labour force.</t>
  </si>
  <si>
    <t>Droller, Federico/S-7630-2019</t>
  </si>
  <si>
    <t>0013-0133</t>
  </si>
  <si>
    <t>1468-0297</t>
  </si>
  <si>
    <t>10.1111/ecoj.12505</t>
  </si>
  <si>
    <t>WOS:000443948700006</t>
  </si>
  <si>
    <t>Zamorano, Sebastian</t>
  </si>
  <si>
    <t>Turnpike Property for Two-Dimensional Navier-Stokes Equations</t>
  </si>
  <si>
    <t>JOURNAL OF MATHEMATICAL FLUID MECHANICS</t>
  </si>
  <si>
    <t>In this paper we study the turnpike phenomenon arising in the optimal distributed control tracking-type problem for the Navier-Stokes equations. We obtain a positive answer to this property in the case when the control is time-dependent function and also when it is independent of time. In both cases we prove an exponential turnpike property assuming that the stationary optimal state satisfies certain properties of smallness.</t>
  </si>
  <si>
    <t>1422-6928</t>
  </si>
  <si>
    <t>1422-6952</t>
  </si>
  <si>
    <t>10.1007/s00021-018-0382-5</t>
  </si>
  <si>
    <t>WOS:000441287600001</t>
  </si>
  <si>
    <t>Roman, J; Castillo, A; Cottet, L; Mahn, A</t>
  </si>
  <si>
    <t>Roman, Juan; Castillo, Antonio; Cottet, Luis; Mahn, Andrea</t>
  </si>
  <si>
    <t>Kinetic and structural study of broccoli myrosinase and its interaction with different glucosinolates</t>
  </si>
  <si>
    <t>Myrosinase is a glycosylated enzyme present in the Brassicaceae family that catalyzes the hydrolysis of glucoraphanin to yield sulforaphane, recognized as a health-promoting compound found in cruciferous foods. Broccoli myrosinase has been poorly characterized. In this work, the enzyme was purified from broccoli florets and its kinetic behaviour was analyzed. The cDNA of broccoli myrosinase was isolated and sequenced to obtain the amino acids sequence of the enzyme. A three-dimensional structural model of a broccoli myrosinase subunit was built and used to perform molecular docking simulations with glucoraphanin and other glucosinolates. Kinetic data were adjusted to the Two-Binding Sites Model that describes substrate inhibition, obtaining R-2 higher than 97%. The docking simulations confirmed the existence of two substrate-binding sites in the monomer, and allowed identifying the residues that interact with the substrate in each site. Our findings will help to design strategies to better exploit the health-promoting properties of broccoli.</t>
  </si>
  <si>
    <t>Roman, Juan/AAA-1689-2019; Castillo, Antonio/AAE-6832-2020</t>
  </si>
  <si>
    <t>Castillo, Antonio/0000-0003-0639-6045; Mahn, Andrea/0000-0001-6082-0279; Roman Aliste, Juan Ismael/0000-0002-9505-0953</t>
  </si>
  <si>
    <t>10.1016/j.foodchem.2018.01.179</t>
  </si>
  <si>
    <t>WOS:000428396500013</t>
  </si>
  <si>
    <t>Sepúlveda, JM; Arriagada, IA; Derpich, I</t>
  </si>
  <si>
    <t>Dzitac, I; Filip, FG; Manolescu, MJ; Dzitac, S; Oros, H; Dzitac, D</t>
  </si>
  <si>
    <t>Sepulveda, Juan M.; Arriagada, Ivan A.; Derpich, Ivan</t>
  </si>
  <si>
    <t>A Decision Support System For Distribution Of Supplies In Natural Disaster Situations</t>
  </si>
  <si>
    <t>2018 7TH INTERNATIONAL CONFERENCE ON COMPUTERS COMMUNICATIONS AND CONTROL (ICCCC 2018)</t>
  </si>
  <si>
    <t>7th International Conference on Computers Communications and Control (ICCCC)</t>
  </si>
  <si>
    <t>MAY 08-12, 2018</t>
  </si>
  <si>
    <t>IEEE,IEEE Reg 08,Agora Univ Oradea,R &amp; D Agora, Cercetare Dezvoltare Agora</t>
  </si>
  <si>
    <t>In this work, the development of a decision support system is presented in the context of a natural disaster situation. Natural disasters are characterized by their unpredictability, which is why the work is oriented to the decisions that must be made at the moment of supplying aid to the victims. An important stage in supplying aid is the transportation of food and / or medicines. In order to deal with this situation, this work proposes a new formulation of the classic vehicle routing problem, which is incorporated into a decision support system.</t>
  </si>
  <si>
    <t>978-1-5386-1934-6</t>
  </si>
  <si>
    <t>WOS:000437157500045</t>
  </si>
  <si>
    <t>Classification, community and sovereignty: Beyond the individualistic foundation of animals' rights</t>
  </si>
  <si>
    <t>The debate about how to keep juridical relations with the barbarians in the political philosophy of Plato and Aristotle and, later, the post scholastic debate about Native Americans during the 16th century might become an inspiration for understanding that the main relation with animals is both an epistemological and a political option. Human beings classify the other living beings in order to keep a relation with them. It is possible to classify animals as members of social groups, even similar to states. An ius animalium which classifies animals as members of organized political societies might open the doors to a better relation with animals, even in case of conflict, surpassing the individualistic foundation of animal rights.</t>
  </si>
  <si>
    <t>10.4013/fsu.2016.173.03</t>
  </si>
  <si>
    <t>WOS:000403795300003</t>
  </si>
  <si>
    <t>Riquelme, N; Miranda, M; Matiacevich, S</t>
  </si>
  <si>
    <t>Riquelme, Natalia; Miranda, Margarita; Matiacevich, Silvia</t>
  </si>
  <si>
    <t>Effect of processing conditions on the optical properties of films based on alginate, caseinate and lemongrass oil</t>
  </si>
  <si>
    <t>Las peliculas activas comestibles permiten aumentar la vida util de alimentos. El objetivo fue evaluar la estabilidad de suspensiones formadoras de peliculas (FFS) sobre las propiedades fisicas de peliculas basadas en alginato y aceite de hierba de limon. Se modifico la concentracion de NaCas (0,15-0,75%p/p), pH (4-8) y velocidad de homogenizacion (5000-10,000 rpm), midiendo estabilidad y tamano de gota, mientras que se determinaron caracteristicas fisicas (color, solubilidad) a peliculas. La estabilidad aumento al aumentar la concentracion de NaCas, disminuyendo el tamano de gota, pero la inestabilidad por cremado fue observada principalmente a pH basico. Las condiciones optimas fueron 0,15%p/p NaCas, pH 8,0 y homogenizacion a 7500rpm, donde el tamano de gota, opacidad, color y solubilidad fue de 7,08 mu m, 15,64%, 12,25 y 86,23%, respectivamente. En conclusion, la estabilidad fue afectada por el pH y concentracion de NaCas pero sin afectar caracteristicas fisicas de la pelicula, excepto por el color amarillo obtenido. Edible films incorporating active agents allow for increases in the shelf life of food products. The aim was to evaluate the film forming suspensions (FFSs) stability on the physical properties of films based on alginate and lemongrass oil. Sodium caseinate (NaCas) concentration (0.15-0.75% w/w) was modified at pH (4-8) and stirring rate (5000-10,000 rpm), measuring stability and droplet size, while physical characterizations (color, solubility) were determined for films. Stability increased with the increase of NaCas concentration and a decrease in droplet size. The instability by creaming was mainly observed in basic pH. Addition of NaCas and lemongrass oil affected the color (Delta E-00 &gt; 12) and opacity (&gt; 12%), obtaining yellow films. Optimal conditions were NaCas concentration 0.15%w/w, pH 8.0, stirring speed of 7500 rpm, where droplet size, opacity, Delta E-00 and solubility factor were 7.08 mu m, 15.64%, 12.25 and 86.23%, respectively. In conclusion, pH and NaCas concentration altered FFS stability, but physical characteristics were not affected, except for the resultant yellow color.</t>
  </si>
  <si>
    <t>Riquelme Hinojosa, Natalia Andrea/0000-0003-3490-1045</t>
  </si>
  <si>
    <t>APR 2</t>
  </si>
  <si>
    <t>10.1080/19476337.2015.1086440</t>
  </si>
  <si>
    <t>WOS:000372132500009</t>
  </si>
  <si>
    <t>OPTIMAL EMBEDDING OF MEYER SETS INTO MODEL SETS</t>
  </si>
  <si>
    <t>We give a constructive proof that a repetitive Meyer multiple set of R-d admits a smallest model multiple set containing it colorwise.</t>
  </si>
  <si>
    <t>10.1090/proc/12790</t>
  </si>
  <si>
    <t>WOS:000369093700034</t>
  </si>
  <si>
    <t>Arancibia, A; Plyushchay, MS</t>
  </si>
  <si>
    <t>Arancibia, Adrian; Plyushchay, Mikhail S.</t>
  </si>
  <si>
    <t>Chiral asymmetry in propagation of soliton defects in crystalline backgrounds</t>
  </si>
  <si>
    <t>By applying Darboux-Crum transformations to a Lax pair formulation of the Korteweg-de Vries (KdV) equation, we construct new sets of multisoliton solutions to it as well as to the modified Korteweg-de Vries (mKdV) equation. The obtained solutions exhibit a chiral asymmetry in the propagation of different types of defects in crystalline backgrounds. We show that the KdV solitons of pulse and compression modulation types-which support bound states in, respectively, semi-infinite and finite forbidden bands in the spectrum of the perturbed quantum one-gap Lame system-propagate in opposite directions with respect to the asymptotically periodic background. A similar but more complicated picture also appears for multi-kink-antikink mKdV solitons that propagate with a privileged direction over the topologically trivial or topologically nontrivial crystalline background depending on the position of the energy levels of the trapped bound states in the spectral gaps of the associated Dirac system. An exotic N = 4 nonlinear supersymmetric structure incorporating Lax-Novikov integrals of a pair of perturbed Lame systems is shown to underlie the Miura-Darboux-Crum construction. It unifies the KdV and mKdV solutions, detects the defects and distinguishes their types, and identifies the types of crystalline backgrounds.</t>
  </si>
  <si>
    <t>Arancibia, Adrian/W-1889-2018</t>
  </si>
  <si>
    <t>Arancibia, Adrian/0000-0002-9170-0891</t>
  </si>
  <si>
    <t>NOV 5</t>
  </si>
  <si>
    <t>10.1103/PhysRevD.92.105009</t>
  </si>
  <si>
    <t>WOS:000364161600005</t>
  </si>
  <si>
    <t>Rojas, A; Cerro, D; Torres, A; Galotto, MJ; Guarda, A; Romero, J</t>
  </si>
  <si>
    <t>Rojas, Adrian; Cerro, Daniela; Torres, Alejandra; Jose Galotto, Maria; Guarda, Abel; Romero, Julio</t>
  </si>
  <si>
    <t>Supercritical impregnation and kinetic release of 2-nonanone in LLDPE films used for active food packaging</t>
  </si>
  <si>
    <t>The impregnation of active compounds in polymeric matrices using supercritical carbon dioxide (scCO(2)) is a well-known technique, which is currently used to formulate controlled drug release materials. In this study, supercritical impregnation of 2-nonanone in linear low-density polyethylene (LLDPE) was done in order to prepare active polymer films to be used in food packaging. Impregnation tests were carried out in a high-pressure cell, at 313 K with pressures ranging from 12 to 22 MPa and at two different depressurization rates: 1.0 and 10.0 MPa min(-1). This procedure allowed the preparation of films containing 2-nonanone at concentrations varying from 0.21 to 0.34 w/w%. Higher concentrations of 2-nonanone in LLDPE were obtained for impregnations done at lower pressures and the lowest depressurization rate. Release experiments showed that the depressurization rate of the impregnation process is a key parameter, which significantly affects the initial content of the active compound in the polymer. Simultaneously, a phenomenological mass transfer model has been used to describe the release of 2-nonanone from the polymer to a food simulant. This model was used to correlate the experimental release kinetic data, obtaining the values of diffusion coefficient of 2-nonanone in LLDPE, which were quantified between 3.0 x 10(-12) and 3.6 x 10(-12) m(2) s(-1) when depressurization rate was 10.0 MPa min(-1) and 6.8 x 10(-12) m(2) s(-1) when its value was 1.0 MPa min(-1). (C) 2015 Elsevier B.V. All rights reserved.</t>
  </si>
  <si>
    <t>Romero, Julio/I-6705-2013; Rojas, Adrián/AAR-9441-2021; Torres, Alejandra/LPQ-5664-2024</t>
  </si>
  <si>
    <t>Rojas, Adrian/0000-0001-9253-1295; Romero, Julio/0000-0002-1229-1592</t>
  </si>
  <si>
    <t>10.1016/j.supflu.2015.04.031</t>
  </si>
  <si>
    <t>WOS:000361776000010</t>
  </si>
  <si>
    <t>Moreira, P; Molina, P; Berrios, C</t>
  </si>
  <si>
    <t>Moreira, Patricia; Molina, Paulo; Berrios, Cristhian</t>
  </si>
  <si>
    <t>Electrochemical and photoelectrochemical degradation of tetracyclines and quinolones on Ti/TiO2 electrode</t>
  </si>
  <si>
    <t>WOS:000432475505078</t>
  </si>
  <si>
    <t>Rezende, MC; Domínguez, M</t>
  </si>
  <si>
    <t>Caroli Rezende, Marcos; Dominguez, Moises</t>
  </si>
  <si>
    <t>The solvatochromism of phenolate betaines: comparing different cavities of a polarized continuum model</t>
  </si>
  <si>
    <t>Two variations of the polarized continuum model employing default (PCM model) and SMD radii (SMD model) were compared for the reproduction of the solvatochromic behavior of Reichardt's betaine dye, and of eight other phenolate betaines that exhibit a negative, positive or an inverted solvatochromic behavior. Molecules were optimized at the CAM B3LYP/6-31+G(d,p) level of theory, and transition energies were calculated with the TD-DFT method. The PCM model failed to reproduce the negative and the inverted solvachromism of these dyes in protic solvents. The SMD model, though not entirely accounting for hydrogen-bond effects in small, polar hydroxylic solvents, should be recommended as a better alternative for the theoretical simulation of the solvatochromism of phenolate betaines in medium to highly polar solvents.</t>
  </si>
  <si>
    <t>Domínguez, Moisés/P-2227-2019; Caroli, Marcos/H-3570-2019</t>
  </si>
  <si>
    <t>Dominguez, Moises/0000-0002-8444-3065; Rezende, Marcos/0000-0003-2040-9009</t>
  </si>
  <si>
    <t>10.1007/s00894-015-2769-z</t>
  </si>
  <si>
    <t>WOS:000359539700001</t>
  </si>
  <si>
    <t>Rodríguez, FJ; Cortés, LA; Guarda, A; Galotto, MJ; Bruna, J</t>
  </si>
  <si>
    <t>Rodriguez, F. J.; Cortes, L. A.; Guarda, A.; Galotto, M. J.; Bruna, J. E.</t>
  </si>
  <si>
    <t>Characterization of cetylpyridinium bromide-modified montmorillonite incorporated cellulose acetate nanocomposite films</t>
  </si>
  <si>
    <t>JOURNAL OF MATERIALS SCIENCE</t>
  </si>
  <si>
    <t>An organoclay (MMT-CPB) based on montmorillonite (MMT) and cetylpyridinium bromide (CPB) was synthesized by a cationic interchange process. The presence of CPB into the clay structure was evidenced by X-ray diffraction (XRD), Fourier transform infrared (FTIR) spectroscopy, and thermogravimetric analysis (TGA). This organoclay was then used to prepare cellulose acetate (CA) nanocomposite films with different content of this nanofiller (2.5-7.5 wt%) through a casting technique. All nanocomposites were characterized by XRD, FTIR, differential scanning calorimetry, TGA, optical and mechanical analyses. So, nanocomposites were characterized by the intercalation of CA into the clay structure. Organoclay content did not affect the glass transition (T (g)) and melting temperature (T (m)) of CA; however, thermal stability of CA was slightly improved with the presence of the organoclay. Therefore, optical and mechanical properties were significantly affected with the increase of the organoclay content into the CA. On the other hand, electrical conductivity (EC) measurement was performed to evaluate the release of cetylpyridinium from the CA nanocomposites to an aqueous medium. An important increase of the EC over time was observed. Therefore, the EC values were dependent on the content of MMT-CPB in the CA nanocomposites. However, a likely degradation of cellulose acetate in the aqueous medium affected the surfactant quantification.</t>
  </si>
  <si>
    <t>Rodríguez, Francisco/I-5283-2018; bruna, julio/AAM-6867-2021</t>
  </si>
  <si>
    <t>Rodriguez-Mercado, Francisco/0000-0002-0530-6653; Bruna, Julio E./0000-0001-9656-6022</t>
  </si>
  <si>
    <t>0022-2461</t>
  </si>
  <si>
    <t>1573-4803</t>
  </si>
  <si>
    <t>10.1007/s10853-015-8942-z</t>
  </si>
  <si>
    <t>WOS:000351293700024</t>
  </si>
  <si>
    <t>Córdova, FM; Díaz, H; Cifuentes, F; Cañete, L; Palominos, F</t>
  </si>
  <si>
    <t>Cordova, Felisa M.; Diaz M, Hernan; Cifuentes, Fernando; Canete, Lucio; Palominos, Fredi</t>
  </si>
  <si>
    <t>Identifying problem solving strategies for learning styles in engineering students subjected to intelligence test and EEG monitoring</t>
  </si>
  <si>
    <t>The cognitive approach of learning agrees in that behavior of the individual correlates with certain complex and dynamic mental processing operations modulated by certain internal mechanisms learned or improved during life. Applied to university learning, the demand towards students no longer focuses only in the results of the process but, ideally, in the development of individual styles based on cognitive preferences and learning strategies. Several tests such as Kolb and VAK or Hermann dominances allow distinguishing some learning styles such as: Divergent, Assimilator, Convergent and Accommodator; Visual; Kinesthetic; and Auditory. Meanwhile, by using electrophysiological tools like an electroencephalographic (EEG) recording it is now possible to measure individual differences in the varying electrical activity present in the cerebral cortex while a student face a cognitive problem or performs a test of intelligence. In this study, we tested 20 students from their early years of engineering to be classified in three systems of learning styles. The students were then subjected to a test of intelligence (Raven test, abbreviated version of 15 questions) with increasing levels of complexity. The time length to solve the test taken for students previously classified in four main styles yielded by the Kolb test, were analyzed. Then we grouped them by correspondences with the visual, auditory and kinesthetic predominance yielded by the VAK test. The response time was measured and the absolute frequency of response time for each question was calculated. During the Raven test execution an electroencephalogram with Emotiv Epoc Brain-Computer Interface of 14 channels was recorded. After subtracting baseline and eliminating common artifacts with the help of EEGLAB toolbox under Matlab, we obtained clean signals for theta, alpha, beta and gamma bands. Using the set of learning styles classificatory tools and the electrophysiological analysis we started to look for variability and consistencies that support or rise new questions about adequate usefulness of common used psycho-cognitive and behavioral learning styles tests. In our sample we found relatively low discriminative resolution from all learning styles test applied, but a promising research field to study electrical brain activity phenomenology associated with learning and solving problem strategies of the brain. (C) 2015 Published by Elsevier B.V.</t>
  </si>
  <si>
    <t>CORDOVA, FELISA/S-1093-2019; Arratia, Lucio/AAV-6112-2020; Palominos, Fredi/U-4690-2019</t>
  </si>
  <si>
    <t>Palominos, Fredi/0000-0002-6119-4991; Canete Arratia, Lucio/0000-0002-1191-8728; CORDOVA, FELISA/0000-0002-5557-8569</t>
  </si>
  <si>
    <t>10.1016/j.procs.2015.07.003</t>
  </si>
  <si>
    <t>WOS:000360101400002</t>
  </si>
  <si>
    <t>Oyarzún, JE</t>
  </si>
  <si>
    <t>DeLaPoza, E; Domenech, J; Lloret, J; Vela, MCV; Agusti, EZ</t>
  </si>
  <si>
    <t>Espinoza Oyarzun, Jaime</t>
  </si>
  <si>
    <t>Some aspects of the Formation in Engineering: the Curriculum by Competitions and the Curriculum Socio-Critic</t>
  </si>
  <si>
    <t>1ST INTERNATIONAL CONFERENCE ON HIGHER EDUCATION ADVANCES (HEAD'15)</t>
  </si>
  <si>
    <t>1st International Conference on Higher Education Advances (HEAd)</t>
  </si>
  <si>
    <t>JUN 24-26, 2015</t>
  </si>
  <si>
    <t>Univ Politecnica Valencia, Fac Business Adm &amp; Management, Valencia, SPAIN</t>
  </si>
  <si>
    <t>Univ Politecnica Valencia, Fac Administrac Direcc Empresas, Departamento Economia Ciencias Sociales,Nievina,Renfe,Iberia,IGIC,Univ Singidunum,Campus ADIF FFE</t>
  </si>
  <si>
    <t>Univ Politecnica Valencia, Fac Business Adm &amp; Management</t>
  </si>
  <si>
    <t>This paper discusses some aspects of the training of engineers, showing two different approaches, the skills approach and socio-critical approach and how they are possible to be integrated in such a way to bring their potential to the formation of this professional, considering the challenges the future.</t>
  </si>
  <si>
    <t>978-84-9048-340-4</t>
  </si>
  <si>
    <t>10.4995/HEAd15.2015.438</t>
  </si>
  <si>
    <t>WOS:000436232300009</t>
  </si>
  <si>
    <t>García, C; Fuenzalida, F; Ruiz, D; Aguirre, MJ</t>
  </si>
  <si>
    <t>Garcia, Camilo; Fuenzalida, Francesca; Ruiz, Domingo; Jesus Aguirre, Maria</t>
  </si>
  <si>
    <t>Electrochemical, spectroscopic and morphological characterization of electrostatic self-assembled hybrids of tetracationic phosphonium porphyrins and CdTe quantum dots</t>
  </si>
  <si>
    <t>JOURNAL OF APPLIED ELECTROCHEMISTRY</t>
  </si>
  <si>
    <t>21st meeting of the Iberoamerican-Electrochemical-Society</t>
  </si>
  <si>
    <t>APR 06-11, 2014</t>
  </si>
  <si>
    <t>La Serena, CHILE</t>
  </si>
  <si>
    <t>Cationic porphyrins (i.e., [Ttolyl(P-(C6H5)(3))(4)](4+), where Ttolyl = 5,10,15,20-tetrakis tolylporphyrin and CdTe capped with glutathione) were electrostatically self-assembled via a layer-by-layer methodology onto ITO electrodes and characterized by UV-Vis spectroscopy, cyclic voltammetry, electrochemical impedance spectroscopy (EIS) and SEM-EDX microscopy. Cyclic voltammetry studies of the cationic porphyrin [Ttolyl(P-(C6H5)(3))(4)](4+) demonstrated its ability to absorb both glassy carbon and ITO electrodes. The electrochemical properties of the hybrid porphyrin/quantum dot films (i.e., ITO/{[Ttolyl(P-(C6H5)(3))(4)](4+)/CdTe}(n), where n = 1-5 is the immersion step) were explored in buffer solutions in the presence or absence of the Fe(CN) (6) (3-) /Fe(CN) (6) (4-) redox couple at pH 7.0. The resistance to electron transfer determined by cyclic voltammetry and EIS is in agreement with the increase in the UV-Vis absorption of the material adsorbed onto the ITO surface for each newly assembled bilayer. The prepared bilayers exhibited an interesting homogeneous morphological distribution of CdTe quantum dots on the surface, which indicated the ability of [Ttolyl(P-(C6H5)(3))(4)](4+) to organize CdTe nanoparticles on the ITO surface. EDX analysis of the bilayers confirmed the presence of Cd, Te, and S from the quantum dot. Linear sweep voltammetry indicated that ITO/{[Ttolyl(P-(C6H5)(3))(4)](4+)/CdTe}(5) has oxygen reduction electrocatalytic properties and demonstrated a synergetic effect between the cationic porphyrin and the CdTe quantum dot.</t>
  </si>
  <si>
    <t>Aguirre, Maria/A-3935-2013; León, Domingo/AAE-7630-2019; Garcia, Camilo/H-5646-2013</t>
  </si>
  <si>
    <t>Garcia, Camilo/0000-0001-5997-1280; Ruiz Leon, Domingo/0000-0002-0950-6919; Aguirre, Maria/0000-0003-1134-4469</t>
  </si>
  <si>
    <t>0021-891X</t>
  </si>
  <si>
    <t>1572-8838</t>
  </si>
  <si>
    <t>10.1007/s10800-014-0741-8</t>
  </si>
  <si>
    <t>WOS:000344778900012</t>
  </si>
  <si>
    <t>Torres, H; Jamett, M; Urrea, C; Kern, J</t>
  </si>
  <si>
    <t>Torres, H.; Jamett, M.; Urrea, C.; Kern, J.</t>
  </si>
  <si>
    <t>Design of a Fault Tolerant Digital Communication System, by means of RBF Networks. Comparison Simulations with the Encoding and Decoding Algorithms BCH (7,4,1)</t>
  </si>
  <si>
    <t>This paper presents the design of a BCH encoder (7,4,1) and BCH decoder (7,4,1) with Radial Basis Neural Network as error correction technique for fault tolerant systems, applied in digital communications. The neural network model is exported to Matlab Simulink to test different scenarios, to achieve results equivalent to those described by the BCH algorithm, in an empirical and scalar way.</t>
  </si>
  <si>
    <t>Jamett, Marcela/HLH-3427-2023; Claudio, URREA/KWU-1600-2024; Torres, Hugo/AAC-2017-2020</t>
  </si>
  <si>
    <t>Torres Salamea, Hugo Marcelo/0000-0001-7814-6251; Urrea, Claudio/0000-0001-7197-8928</t>
  </si>
  <si>
    <t>10.1109/TLA.2014.7014502</t>
  </si>
  <si>
    <t>WOS:000348457900005</t>
  </si>
  <si>
    <t>Arrau, GP; Medina, FM</t>
  </si>
  <si>
    <t>Perez Arrau, Gregorio; Munoz Medina, Felipe</t>
  </si>
  <si>
    <t>Human resource management in small and medium-sized vineyards in Chile</t>
  </si>
  <si>
    <t>The focus of this paper is the identification of human resource management practices in small and medium-sized vineyards in Chile, identifying agents and relevant groups that allow a better understanding of how these companies manage their human resources. The research is based on 22 interviews held with personnel managers and key informants from a total of 16 wine-producing vineyards between 2009 and 2012. The research involved collecting studies and analyzing the specialized literature on human resource management in small and medium-sized enterprises (SMEs). The research highlights the features, relevant problems and challenges of human resources management with the aim of improving production, innovation and long-term sustainability. Although the wine industry is an emblematic economic area of Chile, how it manages its human resources is unknown, so this research focuses on this little-known area that is so important to productivity.</t>
  </si>
  <si>
    <t>Medina, Felipe/AAN-4304-2021</t>
  </si>
  <si>
    <t>Munoz Medina, Felipe/0000-0002-0425-2067</t>
  </si>
  <si>
    <t>10.4067/S0718-16202014000200001</t>
  </si>
  <si>
    <t>WOS:000342883500001</t>
  </si>
  <si>
    <t>Castro, SA; Ovalle, R</t>
  </si>
  <si>
    <t>Castro, Sergio A.; Ovalle, Roberto</t>
  </si>
  <si>
    <t>Cryptic invasion by Capsella rubella in Chile detected by ARMS-PCR</t>
  </si>
  <si>
    <t>AUSTRALIAN JOURNAL OF BOTANY</t>
  </si>
  <si>
    <t>Cryptic species are morphologically similar species that tend to be recognised as a single taxon. The genus Capsella contains two cryptic species, C. bursa-pastoris and C. rubella, which are sympatrically distributed on the Iberian Peninsula, but only one of them (C. bursa-pastoris) has been recognised as an introduced species in South America. In continental Chile, two specimens of C. rubella were collected from two distant sites, but it is unclear whether this indicates only local presence or a wider distribution. After extensive sampling throughout continental Chile, we analysed the diversity of collected Capsella specimens using molecular markers. Our aim was to establish the presence of C. bursa-pastoris and/or C. rubella in continental Chile. To this end, we used an amplification refractory mutation system (ARMS) to detect the trnD-trnY fragment of cpDNA, which allowed the differential amplification of polymorphic sites for both species. A subsample of these amplification products (n = 8 fragments) was sequenced and compared with previously documented sequences for C. bursa-pastoris and C. rubella. Of 188 plants, 96.8% were identified as C. bursa-pastoris and 3.2% as C. rubella. C. bursa-pastoris was collected at all localities (28 degrees 34'S-53 degrees 09'S), whereas C. rubella was collected only in central-south Chile (34 degrees 59'S-41 degrees 28'S). This confirms that both C. bursa-pastoris and C. rubella are present in continental Chile, although they apparently exhibit different abundances and ranges. Our results suggest efforts to elucidate distribution of both Capsella species in South America.</t>
  </si>
  <si>
    <t>0067-1924</t>
  </si>
  <si>
    <t>1444-9862</t>
  </si>
  <si>
    <t>10.1071/BT14135</t>
  </si>
  <si>
    <t>WOS:000351999900001</t>
  </si>
  <si>
    <t>Rodríguez, A; Cavieres, E; Negrete, C</t>
  </si>
  <si>
    <t>Rodriguez, Arturo; Cavieres, Elena; Negrete, Catalina</t>
  </si>
  <si>
    <t>DYNAMICS IN CLASS: AN INTERVENTION WITH PARTICIPATORY METHODOLOGIES</t>
  </si>
  <si>
    <t>One of the major concerns of the Technological Faculty, Universidad de Santiago de Chile is the transformation that occurs in education worldwide, where there is a very powerful intervention of technology in everyday life of students, which set a new student. This contrasts with the low level of transformation of our educators, finding ourselves in class with a clash of two different generations in their perception of what to learn and what to teach. Certainly, this creates duality untying teaching learning, a generation that is able to find much information through technology, reviewing large databases with information formatted and often even discussed, while another generation keeps their perception to be the center of information. This phenomenon has the appearance as an important element in the kind of longer and more frequent than before silences. Consequently, interactions of the class dropped dramatically, the latter is called dynamic class, however it is more descriptive to define the class as metabolism. While the dynamics just described the existence of interaction, metabolism describes the existence of these actions for achieving a goal. This phenomenon was the subject of reflection within the academic community of faculty, leading to the implementation of a pilot project to establish methodologies that trigger this metabolism, diminished today. The subject intervened of Food Engineering II were operated to period 2010-2012, in three formative semesters and was used as a comparative means six semesters since 2009. Using indicators allowing metabolism observed in class and changes over time. The results were particularly novel finding an increased metabolism of the class in the period 2009-2012, which will implement these methodologies to other subjects to achieve reconnection duality of teaching learning.</t>
  </si>
  <si>
    <t>Rodriguez, Arturo/I-7205-2016</t>
  </si>
  <si>
    <t>WOS:000366837204080</t>
  </si>
  <si>
    <t>Valenzuela, B; Imarai, M; Torres, R; Modak, B</t>
  </si>
  <si>
    <t>Valenzuela, Beatriz; Imarai, Monica; Torres, Rene; Modak, Brenda</t>
  </si>
  <si>
    <t>Immunomodulatory effects of the aromatic geranyl derivative filifolinone tested by the induction of cytokine expression</t>
  </si>
  <si>
    <t>Fish farming crops are constantly exposed to infectious diseases due to intensive production conditions under which microorganisms develop and spread easily, resulting in severe economic losses. The massive use of antibiotics to control these diseases has lead to the accumulation of residues and the development of drug resistance. Consequently, it is urgent to develop new pharmacological tools to stimulate protective immune responses in salmonids to combat infectious diseases. We evaluated the immunostimulant activity of terpenoid derivatives isolated from species of the Heliotropium genus, which had previously shown antiviral activity in salmon. The immunomodulatory effects of the 3 H-spiro [1-benzofuran-2,1'-ciclohexane] derivative called filifolinone, were studied in vitro using the SHK-1 cell line derived from leucocytes of salmon head kidney and in vivo in Atlantic salmon. For the evaluation, we studied the effect of this compound in the expression of various cytokines. The results showed that Filifolinone increases the levels of expression of pro-inflammatory and anti-inflammatory cytokines. This suggests that Filifolinone is a potential alternative immunomodulator for veterinary purposes. (C) 2013 Elsevier Ltd. All rights reserved.</t>
  </si>
  <si>
    <t>Modak Canobra, Brenda/0000-0001-5292-0480; Imarai, Monica/0000-0001-8767-9180</t>
  </si>
  <si>
    <t>10.1016/j.dci.2013.08.001</t>
  </si>
  <si>
    <t>WOS:000326258500024</t>
  </si>
  <si>
    <t>Montenegro, RE</t>
  </si>
  <si>
    <t>Ernst Montenegro, Ricardo</t>
  </si>
  <si>
    <t>FROM THE DOMESTICATED THINKING TO EMANCIPATED THINKING. ON THE TRANSFORMATION OF THE INTELLECTUAL WORK IN LATIN AMERICA</t>
  </si>
  <si>
    <t>ANDAMIOS</t>
  </si>
  <si>
    <t>1870-0063</t>
  </si>
  <si>
    <t>WOS:000209213000013</t>
  </si>
  <si>
    <t>Espinoza, V</t>
  </si>
  <si>
    <t>Moulaert, F; MacCallum, D; Mehmood, A; Hamdouch, A</t>
  </si>
  <si>
    <t>Espinoza, Vicente</t>
  </si>
  <si>
    <t>Local associations in Chile: social innovation in a mature neoliberal society</t>
  </si>
  <si>
    <t>INTERNATIONAL HANDBOOK ON SOCIAL INNOVATION: COLLECTIVE ACTION, SOCIAL LEARNING AND TRANSDISCIPLINARY RESEARCH</t>
  </si>
  <si>
    <t>Espinoza, Vicente/EAY-3744-2022</t>
  </si>
  <si>
    <t>Espinoza, Vicente/0000-0002-2943-4430</t>
  </si>
  <si>
    <t>978-1-84980-999-3; 978-1-84980-998-6</t>
  </si>
  <si>
    <t>10.4337/9781849809993</t>
  </si>
  <si>
    <t>WOS:000325756600036</t>
  </si>
  <si>
    <t>Mahn, A; Reyes, A</t>
  </si>
  <si>
    <t>Mahn, Andrea; Reyes, Alejandro</t>
  </si>
  <si>
    <t>An overview of health-promoting compounds of broccoli (Brassica oleracea var. italica) and the effect of processing</t>
  </si>
  <si>
    <t>FOOD SCIENCE AND TECHNOLOGY INTERNATIONAL</t>
  </si>
  <si>
    <t>Broccoli offers many heath-promoting properties owing to its content of antioxidant and anticarcinogenic compounds. The concentration and bioavailability of polyphenols, glucosinolates, sulforaphane and selenium depend on plant biochemistry, cultivation strategy and type of processing. In this article, the main biochemical properties of broccoli are reviewed regarding their health-promoting effects. Additionally, the way these properties are affected by processing is discussed. Steaming and drying result in an apparent increment of sulforaphane content as well as antioxidant activity, most likely due to an increase of the extractability of antioxidants and sulforaphane. Freezing and boiling diminish polyphenols concentration, mainly due to volatilization and leaching into the cooking water. In view of these results, the optimization of broccoli processing in order to maximize the content of bioactive compounds should be possible. The effect of processing on selenium compounds has been poorly studied so far, and therefore this topic should be investigated in the future. Finally, the effect of operating conditions in different drying processes on the content of bioactive compounds in broccoli should be investigated in a greater depth.</t>
  </si>
  <si>
    <t>1082-0132</t>
  </si>
  <si>
    <t>1532-1738</t>
  </si>
  <si>
    <t>10.1177/1082013211433073</t>
  </si>
  <si>
    <t>WOS:000311392200001</t>
  </si>
  <si>
    <t>Perez, Patricio</t>
  </si>
  <si>
    <t>Combined model for PM10 forecasting in a large city</t>
  </si>
  <si>
    <t>We present the results of a PM10 forecasting model that has been applied for air quality management in Santiago, Chile during recent years. The daily operation of this model has served to inform in advance to the population about the air quality they will find in different areas of the city and to help environmental authorities in the decision to take actions on days when concentrations are in ranges considered significantly harmful and to impose restrictions to the activity of the city in advance, when extreme episodes are foreseen. At present, national PM10 standard for 24 h average is 150 mu g m(-3). According to the range where the concentrations fall, five levels or classes of air quality are defined: good (A), regular (B), bad (C), Critical (D) and Emergency (E). Forecasting is based on the combination of artificial neural networks and a nearest neighbor method. Inputs to the models are concentrations measured at several monitoring stations distributed throughout the city and meteorological information in the region. Outputs are the expected maxima concentrations for the following day at the site of the same monitoring stations. Results for last three years (2009, 2010, 2011) indicate that the model may be considered as an important tool for air pollution control. (c) 2012 Elsevier Ltd. All rights reserved.</t>
  </si>
  <si>
    <t>10.1016/j.atmosenv.2012.06.024</t>
  </si>
  <si>
    <t>WOS:000309789800031</t>
  </si>
  <si>
    <t>Mellado, C; Barría, S</t>
  </si>
  <si>
    <t>Mellado, Claudia; Barria, Sergio</t>
  </si>
  <si>
    <t>Development of professional roles in the practice of public relations in Chile</t>
  </si>
  <si>
    <t>PUBLIC RELATIONS REVIEW</t>
  </si>
  <si>
    <t>2nd International History of Public Relations Conference (IHPRC)</t>
  </si>
  <si>
    <t>JUL 06-07, 2011</t>
  </si>
  <si>
    <t>Bournemouth Univ, Bournemouth, ENGLAND</t>
  </si>
  <si>
    <t>Bournemouth Univ</t>
  </si>
  <si>
    <t>Using survey responses of 577 public relation practitioners, this article examines role conceptions in Chilean public relations, as well as the effects that different individual and organizational factors have on their professional worldviews. The results show that how Chilean practitioners perceive their roles can be grouped into four different types: the long-term strategic, the short-term technical, the passive-complaisant, and the active-vigilant. In general terms, Chilean public relations practitioners distance themselves from the passive-complaisant role, giving greater importance to the other three. The findings also reveal that gender, education level, job commitment, perceived autonomy, organization type, and geographical location are the factors that better predict Chilean PR professional roles, while hierarchy level and organization's reach do not directly affect their perceptions. (C) 2012 Elsevier Inc. All rights reserved.</t>
  </si>
  <si>
    <t>Mellado, Claudia/0000-0002-9281-1526</t>
  </si>
  <si>
    <t>0363-8111</t>
  </si>
  <si>
    <t>10.1016/j.pubrev.2012.04.001</t>
  </si>
  <si>
    <t>WOS:000306029200015</t>
  </si>
  <si>
    <t>Ponce, I; Silva, JF; Oñate, R; Rezende, MC; Paez, M; Pavez, J; Zagal, JH</t>
  </si>
  <si>
    <t>Ponce, Ingrid; Francisco Silva, J.; Onate, Ruben; Caroli Rezende, Marcos; Paez, Maritza; Pavez, Jorge; Zagal, Jose H.</t>
  </si>
  <si>
    <t>Enhanced catalytic activity of Fe phthalocyanines linked to Au(111) via conjugated self-assembled monolayers of aromatic thiols for O2 reduction (vol 13, pg 1182, 2011)</t>
  </si>
  <si>
    <t>ELECTROCHEMISTRY COMMUNICATIONS</t>
  </si>
  <si>
    <t>Caroli, Marcos/H-3570-2019; Paez, Maritza/M-2010-2014; zagal, jose/L-9648-2014; Ponce, Ingrid/L-9679-2014; PAVEZ, JORGE/K-6904-2014</t>
  </si>
  <si>
    <t>Ponce Hormazabal, Ingrid/0000-0002-3896-9576; paez, maritza/0000-0001-5881-884X; PAVEZ, JORGE/0000-0002-5100-6707; Rezende, Marcos/0000-0003-2040-9009</t>
  </si>
  <si>
    <t>1388-2481</t>
  </si>
  <si>
    <t>10.1016/j.elecom.2011.12.001</t>
  </si>
  <si>
    <t>WOS:000303227000027</t>
  </si>
  <si>
    <t>de la Fuente, F; Torres, F; Rannou, FR</t>
  </si>
  <si>
    <t>Yu, B</t>
  </si>
  <si>
    <t>de la Fuente, Francisco; Torres, Felipe; Rannou, Fernando R.</t>
  </si>
  <si>
    <t>Distributed-Shared Memory Computed Tomography</t>
  </si>
  <si>
    <t>2012 IEEE NUCLEAR SCIENCE SYMPOSIUM AND MEDICAL IMAGING CONFERENCE RECORD (NSS/MIC)</t>
  </si>
  <si>
    <t>IEEE Nuclear Science Symposium / Medical Imaging Conference Record (NSS/MIC) / 19th Room-Temperature Semiconductor X-ray and Gamma-ray Detector Workshop</t>
  </si>
  <si>
    <t>OCT 29-NOV 03, 2012</t>
  </si>
  <si>
    <t>Anaheim, CA</t>
  </si>
  <si>
    <t>IEEE,IEEE Nucl &amp; Plasma Sci Soc</t>
  </si>
  <si>
    <t>Large-scale statistical reconstruction algorithms are known to be memory and processor intensive applications. For instance, the system matrix for a small animal scanner requires several gigabytes of memory storage and the algorithm usually needs many iterations to produce acceptable images. In this abstract we design distributed-shared memory (DSM) statistical reconstruction algorithms to exploit all available computational resources as a unified infrastructure and thereby improving the cost-efficiency of the investment and scalability of the system. We use and compare two distinct approaches. The first one uses the Unified Parallel C (UPC) compiler which transparently provides a global shared virtual address space across all computers. Data is physically stored in different computers, but threads can access any shared item as it if were in its local memory. The second approach combines OpenMP and Pthreads shared-memory libraries with the message-passing library MPI. In this case threads only have access to the node's local memory and access to remote data is carried out explicitly through message-passing. Early UPC experiments showed that keeping all data shared heavily affects reconstruction performance. Therefore, we devised a distribution method where some data is kept shared and other is kept private, mimicking somehow the library-based approach. However, even with data privatization, the compiler solution cannot compete with the library solutions. We explore three workload distribution strategies: LOR-based, Nonzero-based and Cores-based. The best performance is obtained with OpenMP+MPI and the Core-based balance algorithm, which reaches a speedup of 36 with 112 cores. However, both OpenMP+MPI and Pthreads+MPI outperform UPC by large. The low system efficiency of 0.32 is mainly due to the slow internode communication network.</t>
  </si>
  <si>
    <t>delaFuente, Francisco/KWT-6900-2024; Rannou, Fernando/G-5749-2019</t>
  </si>
  <si>
    <t>Rannou, Fernando/0000-0002-3244-1893</t>
  </si>
  <si>
    <t>978-1-4673-2030-6; 978-1-4673-2028-3</t>
  </si>
  <si>
    <t>WOS:000326814202118</t>
  </si>
  <si>
    <t>Moraga, N; Torres, A; Guarda, A; Galotto, MJ</t>
  </si>
  <si>
    <t>Moraga, Nelson; Torres, Alejandra; Guarda, Abel; Jose Galotto, Maria</t>
  </si>
  <si>
    <t>NON-NEWTONIAN CANNED LIQUID FOOD, UNSTEADY FLUID MECHANICS AND HEAT TRANSFER PREDICTION FOR PASTEURIZATION AND STERILIZATION</t>
  </si>
  <si>
    <t>JOURNAL OF FOOD PROCESS ENGINEERING</t>
  </si>
  <si>
    <t>Unsteady fluid mechanics and natural convective heat transfer during pasteurization and sterilization for aqueous (CMC solution) and fatty (soybean oil) liquid foods were numerically predicted by means of noncommercial computational program developed in this work. This software is based on the finite volume method and the food simulants are assumed to be non-Newtonian fluids with a temperature-dependent power-law viscosity model. Different cylindrical container materials were analyzed (LDPE, PA, PP, galvanized steel), with h/d equal to 0.53, 1.56 and 3.12. Results obtained show that the time required for sterilization is strongly dependent on the liquid food rheological behavior. A recirculating flow pattern was found inside the cylindrical container for the aqueous food stimulant. The Tshz variation with the dimensionless time was faster heating when the h/d decreases. The fastest heating pasteurization and sterilization processes were obtained for CMC solutions inside cylindrical packages with a pseudoplastic behavior.</t>
  </si>
  <si>
    <t>Torres, Alejandra/LPQ-5664-2024</t>
  </si>
  <si>
    <t>0145-8876</t>
  </si>
  <si>
    <t>10.1111/j.1745-4530.2009.00542.x</t>
  </si>
  <si>
    <t>WOS:000297947600012</t>
  </si>
  <si>
    <t>Goodbye volume 10, 2011. Welcome to volume 11, 2012</t>
  </si>
  <si>
    <t>Martinez, Jose/ABA-2535-2021</t>
  </si>
  <si>
    <t>WOS:000297724500001</t>
  </si>
  <si>
    <t>Reyes, EG</t>
  </si>
  <si>
    <t>Reyes, Enrique G.</t>
  </si>
  <si>
    <t>Equations of Pseudo-Spherical Type (After SS Chern and K. Tenenblat)</t>
  </si>
  <si>
    <t>RESULTS IN MATHEMATICS</t>
  </si>
  <si>
    <t>This paper surveys some recent developments around the notion of a scalar partial differential equation describing pseudo-spherical surfaces due to Chern and Tenenblat. It is shown how conservation laws, pseudo-potentials, and linear problems arise naturally from geometric considerations, and it is also explained how Darboux and Backlund transformations can be constructed starting from geometric data. Classification results for equations in this class are stated, and hierarchies of equations of pseudo-spherical type are introduced, providing a connection between differential geometry and the study of hierarchies of equations which are the integrability condition of sl(2, R)-valued linear problems. Furthermore, the existence of correspondences between any two solutions to equations of pseudo-spherical type is reviewed, and a correspondence theorem for hierarchies is also mentioned. As applications, an elementary immersion result for pseudo-spherical metrics arising from the Chern-Tenenblat construction is proven, and non-local symmetries of the Kaup-Kupershmidt, Sawada-Kotera, fifth order Korteweg-de Vries and Camassa-Holm (CH) equation with non-zero critical wave speed are considered. It is shown that the existence of a non-local symmetry of a particular type is enough to single the first three equations out from a whole family of equations describing pseudo-spherical surfaces while, in the CH case, it is shown that it admits an infinite-dimensional Lie algebra of non-local symmetries which includes the Virasoro algebra.</t>
  </si>
  <si>
    <t>1422-6383</t>
  </si>
  <si>
    <t>1420-9012</t>
  </si>
  <si>
    <t>10.1007/s00025-011-0167-0</t>
  </si>
  <si>
    <t>WOS:000294960100005</t>
  </si>
  <si>
    <t>Vargas, VB</t>
  </si>
  <si>
    <t>Bulo Vargas, Valentina</t>
  </si>
  <si>
    <t>The Bodies Against Heidegger</t>
  </si>
  <si>
    <t>This article intends to touch the absence of body in the Heideggerian ontology through the analysis of what Heidegger calls the fundamental experience of thinking. Starting from this point, some thought lines will be shown - that have been passed through by other currents of thought of the 20th century onwards - which have indeed integrated bodies in their ontological constructions. In order to do that, three aspects of the Heideggerian fundamental experience of thinking will be analyzed so as to point out the concrete way in which these are rebuilt from some philosophies of the body. The article will firstly deal with the fundamental experience as the so called in between; secondly with the fundamental experience of thinking as displacement and the making-world bodies; and, finally, with the opening of the difference in the fundamental experience.</t>
  </si>
  <si>
    <t>WOS:000309984600005</t>
  </si>
  <si>
    <t>10 years is nothing ...</t>
  </si>
  <si>
    <t>WOS:000291641700001</t>
  </si>
  <si>
    <t>Loubat, M; Fernández, AM; Morales, M</t>
  </si>
  <si>
    <t>Loubat, Margarita; Maria Fernandez, Ana; Morales, Mario</t>
  </si>
  <si>
    <t>The Experience in Peralillo: A Psychological Intervention for Emergency Situations</t>
  </si>
  <si>
    <t>This work presents a mental health intervention aiming at providing emotional support of the population of Peralillo and its surroundings, due to the earthquake that occurred in Chile on February, 2010. The goals were to implement prevention and emotional contention based on the contact with the local community network. The design included 24 volunteers affiliated to the School of Psychology (Usach), which participated in 14 visits to the area. The realm of the experience was radial and with a domino effect. 201 people were attended individually, 21 groups of emotional support were implemented (reaching 332 persons), in addition to other activities with health workers, prevention and education through the local radio, public spaces, waiting rooms, and door to door interventions in 36 homes. After concluding the intervention, the experience is regarded successful in terms of the radial coordination with the Public Health networks to face the emergency. Nevertheless, it is also necessary to consider the continuity of the disaster since strong aftershocks are still affecting the area. A new challenge to the clinical discipline will be to attend formative needs in the curricula to face future natural disasters based on this experience.</t>
  </si>
  <si>
    <t>Fernandez, Ana Maria/E-6429-2011</t>
  </si>
  <si>
    <t>Fernandez, Ana Maria/0000-0003-4132-5891; loubat, Margarita/0000-0003-0454-3857</t>
  </si>
  <si>
    <t>WOS:000293210700009</t>
  </si>
  <si>
    <t>Ramirez, Beatriz U.</t>
  </si>
  <si>
    <t>Effect of self-assessment on test scores: student perceptions</t>
  </si>
  <si>
    <t>ADVANCES IN PHYSIOLOGY EDUCATION</t>
  </si>
  <si>
    <t>Ramirez BU. Effect of self-assessment on test scores: student perceptions. Adv Physiol Educ 34: 134-136, 2010; doi:10.1152/advan.00021.2010.-After a sudden increase in most of the individual grades in a multiple-choice test, students were asked to rank the three most relevant factors responsible for this outcome. Among eight others, the availability of a test for self-assessment before the final test was by far the most frequently mentioned (82.4% of the students). Questions applied during different course activities did not have the same effect on student scores as the online self-assessment test.</t>
  </si>
  <si>
    <t>1043-4046</t>
  </si>
  <si>
    <t>10.1152/advan.00021.2010</t>
  </si>
  <si>
    <t>WOS:000282286400003</t>
  </si>
  <si>
    <t>EXILE AND INSILE: SPLIT SUBJECT POLICIES AND REPRESENTATIONS IN CHILEAN POETRY OF THE SEVENTIES</t>
  </si>
  <si>
    <t>WOS:000277893400006</t>
  </si>
  <si>
    <t>Gabriela, S; Alvarez, G</t>
  </si>
  <si>
    <t>Gabriela, S.; Alvarez, G.</t>
  </si>
  <si>
    <t>THE CONNECTIONS BETWEEN THE THOUGHT OF ALEJANDRO MALASPINA AND VISUAL REPRESENTATION OF THE EXPEDITION IN PATAGONIA (1789-1794)</t>
  </si>
  <si>
    <t>The aim of this work is to study the expedition led by Alejandro Malaspina (1789-1794) and specifically its passage through Patagonia. See how his professional training coincides with the imaginary predominant in Spain during the XVIIIth century, and adventure an explanation for the visual work of Jose del Pozo on the indigenous people of the south. Check which neoclassical art elements are present in their visual records, in addition to the links with the thought of Malaspina, regarding the evaluation of the colonial situation in America.</t>
  </si>
  <si>
    <t>Alvarez Gamboa, Gabriela Soledad/0000-0002-7251-9819</t>
  </si>
  <si>
    <t>0718-0209</t>
  </si>
  <si>
    <t>WOS:000279875100001</t>
  </si>
  <si>
    <t>Urzúa, A; Santander, R; Sotes, G</t>
  </si>
  <si>
    <t>Urzua, Alejandro; Santander, Rocio; Sotes, Gaston</t>
  </si>
  <si>
    <t>ARISTOLOCHIC ACIDS FROM ARISTOLOCHIA BRIDGESII, A HOST-PLANT OF BATTUS POLYDAMAS ARCHIDAMAS</t>
  </si>
  <si>
    <t>The present study confirms the hypothesis that aristolochic acids are present in Aristolochia bridgesii. The chemical composition of aristolochic acids in this species is qualitatively similar to that of Aristolochia chilensis, with the two species differing only in the total amount of aristolochic acids present, and in the relative proportions of each aristolochic acid. These results are consistent with the fact that the two Aristolochia species in Chile both serve as host plants to Battus polydamas archidamas (Lepidoptera, Papilionidae, Troidinii).</t>
  </si>
  <si>
    <t>Santander, Rocio/K-7645-2013</t>
  </si>
  <si>
    <t>WOS:000273751200025</t>
  </si>
  <si>
    <t>Troncoso, E; Pedreschi, F</t>
  </si>
  <si>
    <t>Troncoso, Elizabeth; Pedreschi, Franco</t>
  </si>
  <si>
    <t>Modeling water loss and oil uptake during vacuum frying of pre-treated potato slices</t>
  </si>
  <si>
    <t>The objective of this research was to determine the kinetics of water loss and oil uptake during frying of pre-treated potato slices under vacuum and atmospheric pressure. Potato slices (diameter: 30 mm; width: 3 mm) were pre-treated in the following ways: (i) raw potato slices control; (ii) control slices were blanched in hot water at 85 degrees C for 3.5 min; (iii) blanched slices were dried in hot air until reaching a moisture content of similar to 0.6 g water/g dry basis. The slices were fried under vacuum (5.37 kPa. absolute pressure, at 120,130 and 140 degrees C) and atmospheric conditions (at 180 degrees C). Two models based on the Fick's law were used to describe water loss: (i) with a constant effective diffusive coefficient; and (ii) with a variable effective diffusive coefficient. Oil uptake data were fitted to an empirical model, with a linear behavior for short times whereas the model was time independent for long times. The variable diffusivity model better fitted experimental water loss, giving values of effective diffusivity between 4.73 x 10(-9) and 1.80 x 10(-8) m(2)/s. The proposed model for the study of the kinetics of oil uptake fitted the experimental data properly. Control and blanched vacuum fried potato chips increased their final oil contents to 57.1% and 75.4% respectively, when compared with those fried at atmospheric pressure. However, the oil absorption of dried vacuum fried potato chips diminished by similar to 30%. (C) 2009 Elsevier Ltd. All rights reserved.</t>
  </si>
  <si>
    <t>Troncoso, Elizabeth/0000-0002-6749-774X</t>
  </si>
  <si>
    <t>10.1016/j.lwt.2009.01.008</t>
  </si>
  <si>
    <t>WOS:000265771200020</t>
  </si>
  <si>
    <t>Letelier, MF; Stockle, JS; Siginer, DA</t>
  </si>
  <si>
    <t>Letelier, Mario F.; Stockle, Juan S.; Siginer, Dennis A.</t>
  </si>
  <si>
    <t>AN INVERSE APPROACH TO MAGNETORHEOLOGICAL DAMPER DESIGN: HERSHEL-BULKLEY MODEL</t>
  </si>
  <si>
    <t>Magnetorheological fluids (MRF) are increasingly used for the design of dampers in many cases when a given response is critical for desired performance. Some recent examples are self-powered magnetorheological dampers, cable vibration control and wheeled vehicle dampers. Loads of this type can be very big, especially in the case of seismic-dampers as well as in heavy vehicles and aircraft landing gear. This problem can be more effciently dealt with by using an inverse-problem strategy, where the required performance is specified a priori, and the fluid parameters are changed accordingly by means of a variable magnetic field. The effect on the flow of the time-variation of the parameters of the Herschel-Bulkley constitutive model is analyzed in this paper. In this way, the influence of a varying magnetic field on the unsteady flow of a magnetic fluid is explored. Yield stress, viscosity and power index arc assumed time-dependent. In particular, linear variations in time of these parameters are considered, and the case where the yield stress and viscosity oscillate in time is explored in detail. The characteristics of the velocity field are analyzed for different values of the constants that determine the time structure of the constitutive parameters.</t>
  </si>
  <si>
    <t>WOS:000265788300022</t>
  </si>
  <si>
    <t>Wine and women:: Grape growers and pulperas in Mendoza, 1561-1852</t>
  </si>
  <si>
    <t>Lacoste, Pablo/0000-0003-1876-8141</t>
  </si>
  <si>
    <t>10.1215/00182168-2008-329</t>
  </si>
  <si>
    <t>WOS:000257746800001</t>
  </si>
  <si>
    <t>Urzua, Alejandro; Mendoza, Leonora</t>
  </si>
  <si>
    <t>Epicuticular components from Pseudognaphalium robustum (Asteraceae):: Chemosystematic considerations</t>
  </si>
  <si>
    <t>Surface compounds were obtained by a methylene chloride extraction of fresh aerial parts of Pseudognaphalium robustum. The methylene chloride extract was fractionated by CC and the fractions were analyzed by GC-MS. Since flavonoids and terpenes are present only in small amounts in the epicuticular exudate of P. robustum, 80% of the surface compounds actually correspond to a complex mixture of saturated fatty acid esters, unsaturated fatty acid esters, alcohols, aldehydes, fatty acids, alkenes, triglycerides and monoglycerides. A minor hydrocarbon fraction of n-alkanes from C23 to C37 was also identified. On the contrary, in P. vira vira, P. cheiranthifolium, and P. heterotrichium, the epicuticular extracts contain from 70% to 80% of a mixture of diterpenoids and n-alkanes. These results show a remarkable distance between P. robustum and other species of the genus, which share the same ecosystem, when the whole pool of epicuticular compounds is taken into account. Also, these considerable differences in chemical composition are in agreement with authors that consider Pseudognaphalium as a heterogeneous taxonomic group.</t>
  </si>
  <si>
    <t>WOS:000254056500018</t>
  </si>
  <si>
    <t>Pizarro, J; Rubio, MA; Henríquez, J; González, M</t>
  </si>
  <si>
    <t>Pizarro, Jaime; Rubio, Maria A.; Henriquez, Julio; Gonzalez, Mauricio</t>
  </si>
  <si>
    <t>Metals in sediments of an urban shallow lake in Santiago (Chile)</t>
  </si>
  <si>
    <t>FRESENIUS ENVIRONMENTAL BULLETIN</t>
  </si>
  <si>
    <t>Fe, Mn, Cu, Zn, Mo and Cr were determined in May 2002 at 25 locations in the sediments of Laguna Caren. Cu, Fe. Mn and Zn showed high concentrations at some stations, on dry weight basis varying from 45000-68000 mu g/g for Fe, 850-1600 mu g/g, for Mn, 100-3900 mu g/g for Cu, and 100170 mu g/g for Zn. Cr and Mo showed homogeneous concentrations at all stations, with average levels of 153 and 160 mu g/g dry weight, respectively. Co and Ni were found to be below the detection limit of the method. High Cu/Fe and Mo/Fe ratios indicate the accumulation of these metals in sediments. A sequential extraction procedure was applied to samples from five stations, to determine metal distribution. Cu and Mo were found to be mainly associated to the organic matter-sulfides fraction.</t>
  </si>
  <si>
    <t>1018-4619</t>
  </si>
  <si>
    <t>1610-2304</t>
  </si>
  <si>
    <t>WOS:000239177700010</t>
  </si>
  <si>
    <t>Jamett, M; Acuña, G</t>
  </si>
  <si>
    <t>Wang, J; Liao, X; Wang, J</t>
  </si>
  <si>
    <t>Comparative assessment of interval and affine arithmetic in neural network state prediction</t>
  </si>
  <si>
    <t>ADVANCES IN NEURAL NETWORKS - ISNN 2005, PT 2, PROCEEDINGS</t>
  </si>
  <si>
    <t>2nd International Symposium on Neural Networks</t>
  </si>
  <si>
    <t>MAY 30-JUN 01, 2005</t>
  </si>
  <si>
    <t>Chongqing, PEOPLES R CHINA</t>
  </si>
  <si>
    <t>Chongqing Univ,SW Normal Univ,Chongqing Univ, Posts &amp; Telecommun,SW Agr Univ,Chongqing Educ Coll,Chinese Univ Hong Kong,Asia Pacific Neural Network Assembly,European Neural Network Soc,IEEE Circuits &amp; Syst Soc,IEEE Computat Intelligence Soc,Natl Nat Sci Fdn China,K C Wong Educ Fdn Hong Kong</t>
  </si>
  <si>
    <t>Two set theory methods, Interval and Affine Arithmetic, are used together with feedforward neural networks (FNN) in order to study their ability to perform state prediction in non-linear systems. Some fundamental theory showing the basic interval and affine arithmetic operations necessary to forward propagate through a FNN is presented and an application to a generic biotechnological process is performed confirming that due to the way the perturbations of the input data are considered, affine FNN perform better than interval ones.</t>
  </si>
  <si>
    <t>3-540-25913-9</t>
  </si>
  <si>
    <t>WOS:000230167200073</t>
  </si>
  <si>
    <t>Navarro, P; Vargas, C; Alonso, M; Alguacil, FJ</t>
  </si>
  <si>
    <t>Lekkas, TD</t>
  </si>
  <si>
    <t>Navarro, P.; Vargas, C.; Alonso, M.; Alguacil, F. J.</t>
  </si>
  <si>
    <t>Towards a more environmentally friendly process for gold: Models on gold adsorption onto activated carbon from ammoniacal thiosulfate solutions</t>
  </si>
  <si>
    <t>Proceedings of the 9th International Conference on Environmental Science and Technology, Vol A - Oral Presentations, Pts A and B</t>
  </si>
  <si>
    <t>Proceedings of the International Conference on Environmental Science and Technology</t>
  </si>
  <si>
    <t>9th International Conference on Environmental Science and Technology</t>
  </si>
  <si>
    <t>SEP 01-03, 2005</t>
  </si>
  <si>
    <t>Rhodes Isl, GREECE</t>
  </si>
  <si>
    <t>Global Network Environm Sci &amp; Technol,Univ Aegean, Dept Environm Studies</t>
  </si>
  <si>
    <t>In the context of gold extraction, leaching is the dissolution of the metal or even a mineral in a liquid phase. Thus, it is of a primary concern the dissolution of gold in an aqueous solution, operation which requires both a complexant and an oxidant to achieve acceptable leaching rates and yields. A limited number of ligands form complexes of sufficient stability and at a suitable rate for their use in gold leaching operations. Cyanide is mostly used because of its relatively low cost and great efficiency for gold dissolution. The main disadvantage associated with its use is the extremely toxic character of the reagent. Thus, several other ligands had been considered for gold extraction from ores, regarding to environmental pressures and even restrictions to the use of cyanide, potential of having faster gold leaching kinetics than cyanide, possibility of their use in acidic media, which is suitable in the treatment of refractory ores, and a greater degree of selectivity than cyanide for gold over other metals. Nevertheless, some of them presented some disadvantages which limited their practical use. Ammoniacal thiosulfate leaching has a considerable potential as an effective and less hazardous procedure (than cyanide) for gold extraction from auriferous ores. Once gold is dissolved, separation of the precious metal from the solution can be achieved using different procedures (i.e. adsorption onto activated carbon). In the present investigation, up to fivel models were used to correlate the adsorption of gold onto the carbon, being the Fleming's model the one which best fit the experimental results on gold adsorption.</t>
  </si>
  <si>
    <t>1106-5516</t>
  </si>
  <si>
    <t>960-7475-33-X</t>
  </si>
  <si>
    <t>A1084</t>
  </si>
  <si>
    <t>A1089</t>
  </si>
  <si>
    <t>WOS:000237753600167</t>
  </si>
  <si>
    <t>Pizarro, C; Escudey, M; Moya, SA; Fabris, JD</t>
  </si>
  <si>
    <t>Gracia, M; Marco, JF; Plazaola, F</t>
  </si>
  <si>
    <t>Iron oxides from volcanic soils as potential catalysts in the water gas shift reaction</t>
  </si>
  <si>
    <t>INDUSTRIAL APPLICATIONS OF THE MOSSBAUER EFFECT</t>
  </si>
  <si>
    <t>International Symposium on the Industrial Applications of the Mossbauer Effect</t>
  </si>
  <si>
    <t>OCT 04-08, 2004</t>
  </si>
  <si>
    <t>Spansh Sci Council</t>
  </si>
  <si>
    <t>This study was focused on changes of the iron oxide mineralogy with temperature of two Chilean soils (Andisol and Ultisol) derived from volcanic materials and their use as iron-based catalysts in the water gas shift reaction (WGSR). Ultisol materials produced about twice as much hydrogen than did those from Andisol upon WGSR, but in both cases hydrogen yielding increased as the heating temperature of the soil materials increased from 124 degrees C to 500 degrees C. The room temperature Mossbauer spectra showed an increase of the relative proportion of the magnetically ordered components as temperature increased. Higher heating temperature produced a negative effect on the catalytic activity, whereas the organic matter destruction led to a positive effect, due to an increasing exposition of the iron oxide surfaces, heating the soil sample at 600 degrees C induced changes on the iron oxide mineralogy with a significant decrease of the catalytic activity.</t>
  </si>
  <si>
    <t>Fabris, José/H-4121-2012</t>
  </si>
  <si>
    <t>Pizarro, Carmen/0000-0003-4927-5681</t>
  </si>
  <si>
    <t>0-7354-0250-7</t>
  </si>
  <si>
    <t>WOS:000229434000009</t>
  </si>
  <si>
    <t>Ríos-Escudero, A; Costamagna, J; Cárdenas-Jirón, GI</t>
  </si>
  <si>
    <t>Fukui indexes applied to the reduced and nonreduced species of the nickel(II) tetraazadinaphtho[14]annuiene complex and its protonated derivative</t>
  </si>
  <si>
    <t>JOURNAL OF PHYSICAL CHEMISTRY A</t>
  </si>
  <si>
    <t>A first ab initio density functional B3LYP/LACVP theoretical rationalization concerning the determination of the active sites of nickel(II) tetraazadinaphtho[14]annulene (NiN4CH3) and its protonated derivative (NiN(4)CH(3)H(2)trans,trans(2+)), when they are submitted to a reduction or an oxidation process, is presented. Condensed Fukui functions (f(k)(+) and f(k)(+)) using the approximations given by frozen core (fc) and finite difference (fd) are applied to determine the reductor and oxidant sites. The obtained results of f(k)(+) and f(k)(-) for the nonreduced NiN4CH3 and reduced NiN4CH3- species, respectively, predict the nickel atom and the four azomethynic carbon atoms as the most probable active sites, in agreement with experimental results using the pulse radiolysis technique. However, in the protonated structure a different result is found. The nickel atom appears as the unique active site, a reductor site in NiN(4)CH(3)H(2)trans,trans(2+) and an oxidant site in NiN(4)CH(3)H(2)trans, trans(+). We also found that both fc and fd predict the same trend, demonstrating that they are completely valid to be used in the subject of metal complexes and verifying the validity of the partitioning scheme of natural bond orbital used.</t>
  </si>
  <si>
    <t>cardenas-jiron, gloria/H-9508-2012</t>
  </si>
  <si>
    <t>1089-5639</t>
  </si>
  <si>
    <t>1520-5215</t>
  </si>
  <si>
    <t>SEP 2</t>
  </si>
  <si>
    <t>10.1021/jp049250i</t>
  </si>
  <si>
    <t>WOS:000223600700017</t>
  </si>
  <si>
    <t>Moraga, NO; López, SE</t>
  </si>
  <si>
    <t>Numerical simulation of three-dimensional mixed convection in an air-cooled cavity</t>
  </si>
  <si>
    <t>The numerical solution of the fluid mechanics and heat transfer for three-dimensional mixed convection in an air-cooled cavity is presented. The mathematical model includes the system of five partial differential equations of continuity, linear momentum and energy, solved by the finite volume method. Calculations were performed for air with Pr = 0.71, flowing with a Reynolds numbers in the range 1 less than or equal to Re less than or equal to 500, for Richardson numbers: 0 less than or equal to Ri less than or equal to 18. The comparison between 3-D and 2-D simulations shows that a 3-D model is needed to capture the fluid mechanics for Ri = 10 when 10 less than or equal to Re less than or equal to 250 and to calculate the global Nusselt number when Re = 500 for Ri &lt; 1.</t>
  </si>
  <si>
    <t>10.1080/10407780490250409</t>
  </si>
  <si>
    <t>WOS:000221054000005</t>
  </si>
  <si>
    <t>Aspée, A; Lissi, EA</t>
  </si>
  <si>
    <t>Kinetics of the chemiluminescence associated to the reaction between peroxyl radicals and proteins</t>
  </si>
  <si>
    <t>Protein oxidation, mediated by peroxyl radicals derived from 2,2'-azobis(2-amidinopropane) dihydrochloride is sided by a significant visible chemiluminescence (CL). The Light emission shows a complex dependence with the protein concentration and with the incubation time that cannot be interpreted in terms of peroxyl radicals recombination (Russell's mechanism). In all the systems studied, the chemiluminescent behavior requires to consider the participation of several oxidation products as precursors of the excited states. These compounds lead to the formation of excited states by competing radical and nonradical mediated pathways. These intermediates (most probably hydroperoxide-like compounds) would arise from the oxidation of Trp and Tyr residues. This conclusion is based on the similarity of the time profile of the chemiluminescence observed in the oxidation of the free amino acids and the proteins, both in the presence of and absence of free-radical scavengers.</t>
  </si>
  <si>
    <t>10.1023/A:1012554429450</t>
  </si>
  <si>
    <t>WOS:000172269800005</t>
  </si>
  <si>
    <t>Cubillos, MA; Lissi, EA; Abuin, EB</t>
  </si>
  <si>
    <t>Post irradiation temporal profiles as a tool to investigate the mechanism of lipid peroxidation in compartmentalized systems</t>
  </si>
  <si>
    <t>PROGRESS IN REACTION KINETICS AND MECHANISM</t>
  </si>
  <si>
    <t>VIth Latin-American Meeting on Photochemistry and Photobiology</t>
  </si>
  <si>
    <t>SEP 12-16, 1999</t>
  </si>
  <si>
    <t>TERESPOLIS, BRAZIL</t>
  </si>
  <si>
    <t>A methodology is proposed to investigate the origin of the autoacceleration frequently observed when the oxidation of lipids takes place in compartmentalized systems. The method is based on the evaluation of post-irradiation effects and time profiles of oxygen consumption when the irradiation is re-initiated after a dark period. The proposal is experimentally tested in the oxidation of egg-yolk phosphatidylcholine (PC) vesicles initiated by decomposition of a water soluble free radical source. Three sceneries and the expected time profiles of oxygen consumption are proposed to explain the origin of the autoacceleration effect: (i) initial inhibiton by remainig low levels of (unknown) antioxidants; (ii) autoacceleration due to contribution of peroxidized products to the initiation rate; and (iii) a lag time due to the long reactions times required to reach the steady-state condition when the oxidation takes place in compartmentalized systems. The results obtained are consistent with case (i). The conclusion reached is considered to be relevant in the context that it allows differentiation between spurious effects [case (i)] and intrinsic effects [cases (ii) and (iii)]. This can contribute to a better understanding of the factors involved in the interpretation of the kinetic and mechanistic aspects of lipid peroxidation in compartmentalized systems.</t>
  </si>
  <si>
    <t>1468-6783</t>
  </si>
  <si>
    <t>1471-406X</t>
  </si>
  <si>
    <t>10.3184/007967401103165299</t>
  </si>
  <si>
    <t>WOS:000170095900009</t>
  </si>
  <si>
    <t>Escudey, M; Díaz, P; Förster, JE; Pizarro, C; Galindo, G</t>
  </si>
  <si>
    <t>Gaines-Thomas and Rothmund-Kornfeld descriptions of potassium-calcium exchange on variable surface charge soils</t>
  </si>
  <si>
    <t>COMMUNICATIONS IN SOIL SCIENCE AND PLANT ANALYSIS</t>
  </si>
  <si>
    <t>The empirical Rothmund-Kornfeld power function approach (in terms of equivalent fractions) was applied to potassium-calcium (K-Ca) exchange equilibrium carried out at 25 degreesC and 0.05 M ionic strength on 4 soils derived from volcanic materials in southern Chile. Results were compared with those obtained by the Gaines-Thomas approach, where a K preference was observed in all samples, with equilibrium constant values ranging from 0.097 to 0.492. The equivalent fraction form of Rothmund-Kornfeld fit the exchange isotherm curves obtained by the Gaines-Thomas convention and provides a good description of experimental exchange data. The exchange equilibrium constants and adsorbed ion activity coefficients calculated with Rothmund-Kornfeld parameters are comparable with those obtained by the Gaines-Thomas approach.</t>
  </si>
  <si>
    <t>0010-3624</t>
  </si>
  <si>
    <t>1532-2416</t>
  </si>
  <si>
    <t>19-20</t>
  </si>
  <si>
    <t>10.1081/CSS-120001109</t>
  </si>
  <si>
    <t>WOS:000172821800008</t>
  </si>
  <si>
    <t>Pino, E; Lissi, EA</t>
  </si>
  <si>
    <t>Quantitative treatment of the kinetics of free-radical-mediated damage. Protection by free-radical scavengers</t>
  </si>
  <si>
    <t>HELVETICA CHIMICA ACTA</t>
  </si>
  <si>
    <t>Equations are derived to quantitatively describe the effect of a free-radical scavenger upon the rate of a radical-mediated process that senses the steady-state free-radical concentration. The dependence of the ratio (RIR)-I-2 (where R-2 is the rate of the process in the absence of additive) upon the additive concentration depends upon the type of reaction that determines the free-radical lifetime. Normal Stern-Volmer-like behavior is expected only when the lifetime of the radical in the absence of free-radical scavengers is determined by the concentration of the substance employed as the reporter of the free-radical concentration. These predictions are tested in a system comprised of 2,2'-azobis(2-methylpropanimidamide dihydrochloride) as the free-radical source, c-phycocyanin as the reporter molecule, and Trolox (= 3,4-dihydro-6-hydroxy-2,5,7,8-tetramethyl-2H-1-benzopyran-2-carboxylic acid) tryptophan and 4-methoxyphenol as peroxyl-radical scavengers. The data obtained with Trolox show that it behaves as a nearly ideal free-radical scavenger. On the other hand, the data obtained with tryptophan and 4-methoxyphenol as scavengers show, when plotted according to the Stern-Volmer equation, a strong downward curvature. These results are explained in terms of c-phycocyanin bleaching by scavenger-derived free radicals.</t>
  </si>
  <si>
    <t>0018-019X</t>
  </si>
  <si>
    <t>10.1002/1522-2675(20011219)84:12&lt;3677::AID-HLCA3677&gt;3.0.CO;2-X</t>
  </si>
  <si>
    <t>WOS:000173438100018</t>
  </si>
  <si>
    <t>Briceño, M; Escudey, M; Galindo, G</t>
  </si>
  <si>
    <t>Adsorption of chloride, phosphate and phthalate on fractions obtained from a Chilean andisol.</t>
  </si>
  <si>
    <t>The adsorption of chloride, phthalate, and phosphate on an unfertilized sample of Osorno soil is studied. The clay fraction (&lt; 2 mu m, FF) and the clay fraction without organic matter (S/MO) were obtained from this Andisol. The experimental adsorption isotherms on both fractions were described through Langmuir's models (uniform and two-surface models). No temperature effects were observed on adsorption isotherms, in the range 4 degrees C to 25 degrees C, for the three anions. Adsorption of phosphate increases as equilibrium time increases, due to its strong interaction with the surface. The same effect was observed for FF sample at high phthalate concentration. No time effect on chloride adsorption was observed. Adsorption of the three anions is higher on FF sample, showing the high capacity of soil organic matter to bind them, which is not suitably described by the surface charge parameter here presented. It is possible to describe the chloride adsorption through the uniform surface Langmuir model, but obtained parameters do not have physical meanings. Phthalate and phosphate adsorption are described by the uniform surface and two-surface models respectively. Under similar experimental conditions the Langmuir maximum adsorption capacity has the sequence phosphate &gt; phthalate &gt; chloride.</t>
  </si>
  <si>
    <t>WOS:000079614900003</t>
  </si>
  <si>
    <t>Caballero, JV; Avila, RE; Fuenzalida, VM; Eisele, I</t>
  </si>
  <si>
    <t>Warren, WL; Devine, RAB; Matsumura, M; Cristoloveanu, S; Homma, Y; Kanicki, J</t>
  </si>
  <si>
    <t>Electrical properties of BaTiO3 thin films flash-evaporated on Si and SiO2/Si</t>
  </si>
  <si>
    <t>AMORPHOUS AND CRYSTALLINE INSULATING THIN FILMS - 1996</t>
  </si>
  <si>
    <t>MATERIALS RESEARCH SOCIETY SYMPOSIUM PROCEEDINGS</t>
  </si>
  <si>
    <t>Symposium on Amorphous and Crystalline Insulating Thin Films, at the 1996 MRS Fall Meeting</t>
  </si>
  <si>
    <t>DEC 02-04, 1996</t>
  </si>
  <si>
    <t>BOSTON, MA</t>
  </si>
  <si>
    <t>Mat Res Soc,Nippon Elect Co,SOITEC, US,Hitachi Ltd</t>
  </si>
  <si>
    <t>BaTiO3 (BT) thin films were prepared by flash evaporation onto p-Si and SiO2/p-Si. The films are amorphous and remain so after a thickness reduction by 20% by annealing at 500 degrees C for 3 min. in O-2 atmosphere, The electrical characteristics were measured at room temperature. Electron injection at the Al to BT interface of Al/BT/Si capacitors is enhanced by the Schottky effect, yielding a value of 11.2 for the dielectric constant of BT. Modeling current-time measurements yields a trap density of 10(24) m(-3), 0.82 eV below the conduction band. Capacitance-voltage curve shifts due to bias stress on Al/BT/SiO2/Si capacitors are interpreted as caused by electron injection and trapping in the BT films. Starting deposition at 170 degrees C or post-deposition annealing reduces the trap density and increases the C-V curve shifts by bias stress, from 0.3 to over 14 V at bias stress of -10 V.</t>
  </si>
  <si>
    <t>Fuenzalida, Victor/A-5244-2013</t>
  </si>
  <si>
    <t>Fuenzalida, Victor/0000-0002-5481-4646</t>
  </si>
  <si>
    <t>0272-9172</t>
  </si>
  <si>
    <t>1-55899-350-9</t>
  </si>
  <si>
    <t>WOS:A1997BH92V00053</t>
  </si>
  <si>
    <t>Pereda, J; Correr, S; Franchitto, G; Motta, PM</t>
  </si>
  <si>
    <t>Motta, PM</t>
  </si>
  <si>
    <t>The functional structure of the human yolk sac: A scanning and transmission electron microscopic analysis</t>
  </si>
  <si>
    <t>MICROSCOPY OF REPRODUCTION AND DEVELOPMENT : A DYNAMIC APPROACH: A DYNAMIC APPROACH</t>
  </si>
  <si>
    <t>2nd International Malpighi Symposium</t>
  </si>
  <si>
    <t>SEP 14-16, 1995</t>
  </si>
  <si>
    <t>UNIV ROME LA SAPIENZA, ROME, ITALY</t>
  </si>
  <si>
    <t>UNIV ROME LA SAPIENZA</t>
  </si>
  <si>
    <t>During early pregnancy, the absence of fully developed internal organs means that the embryo is dependent on highly differentiated adnexal structures such as the yolk sac. In this tooth, we describe and illustrate the ultrastructure of the yolk sac during the second month of development. Samples of yolk sac-intestinal tract junction were obtained from ten normal human embryos at Carnegie stages ranging from 12 to 20 (26-49 days old) and studied by light, transmission and scanning electron microscopy. In order to determine transport activities the cytochemical detection of adenosine triphosphatase (Mg-ATPase) activity teas also done. The series of events which occur at the level of vitelline duct-intestinal tract is described. The morphological features clearly show that the communication between the vitelline sac and the intestinal tract, via vitelline duct, is interrupted at the end of stage 14, corresponding to the week 5 of embryonic development. The ultrastructural characteristics of the yolk sac wall during its period of maximum functional activity were also recorded. Features indicating intense biosynthetic activity were found in the endodermal epithelium of the different yolk sacs analysed. After 50 days old, the yolk sac showed a marked degeneration of surface cells, accompanied by increased fibrosis of the mesenchyme. At the ultrastructural level, Mg-ATPase activity was characteristically present in the endodermal cell of yolk sac wall of embryos between 32 and 40 days old. The reaction product was related to the membranous systems of the microvilli forming a continuous line which closely associates to the outer leaflet of the plasma membrane. No activity was observed in microvilli associated to the mesothelial cells surface in anyof the embryos analysed. These findings are discussed with reference to the biological function of the yolk sac in the development of the growing embryo, and their possible role is assessed in the physiology of exchange during the second month of development.</t>
  </si>
  <si>
    <t>88-7287-155-7</t>
  </si>
  <si>
    <t>WOS:000072975000033</t>
  </si>
  <si>
    <t>Alvarez, PI; Reyes, A; Blasco, R</t>
  </si>
  <si>
    <t>Heat transfer coefficient in constant rate drying of fish meals with superheated steam</t>
  </si>
  <si>
    <t>DRYING '96, VOL B</t>
  </si>
  <si>
    <t>83-86903-07-4</t>
  </si>
  <si>
    <t>WOS:A1996BG33X00001</t>
  </si>
  <si>
    <t>Blasco, R; Reyes, A; Alvarez, PI</t>
  </si>
  <si>
    <t>Pneumatic drying of fish meals with direct superheated steam</t>
  </si>
  <si>
    <t>WOS:A1996BG33X00003</t>
  </si>
  <si>
    <t>Mannheim, RL; Garin, JL</t>
  </si>
  <si>
    <t>Bryskin, BD</t>
  </si>
  <si>
    <t>Microstructure characterization of Mo-Re alloys sintered at medium temperatures</t>
  </si>
  <si>
    <t>RHENIUM AND RHENIUM ALLOYS</t>
  </si>
  <si>
    <t>International Symposium on Rhenium and Rhenium Alloys devoted to the 70th Anniversary of the Discovery of Rhenium, at the 1997 TMS Annual Meeting</t>
  </si>
  <si>
    <t>FEB 10-13, 1997</t>
  </si>
  <si>
    <t>ORLANDO, FL</t>
  </si>
  <si>
    <t>Minerals Met &amp; Mat Soc, SMD Refractory Met Comm,Minerals Met &amp; Mat Soc, MDMD Powder Mat Comm</t>
  </si>
  <si>
    <t>Mo-25Re and Mo-50Re refractory alloys were fabricated by means of powder metallurgy techniques, using compaction presures of 300 to 600 MPa and sintering temperatures in the range of 1400 to 1700 degrees C. At all sintering temperatures Re was completely disolved in the Mo matrix of the Mo-25Re alloy, while small amounts of an intermediate phase were detected in the case of the Mo-50Re. Densification increased with temperature and presure up to values close to 90%. The sintering was achieved at lower temperatures than those normally utilized in the refractory metals industry.</t>
  </si>
  <si>
    <t>0-87339-365-1</t>
  </si>
  <si>
    <t>WOS:000071918000050</t>
  </si>
  <si>
    <t>LIZAMA, C</t>
  </si>
  <si>
    <t>UNIFORM CONTINUITY AND COMPACTNESS FOR RESOLVENT FAMILIES OF OPERATORS</t>
  </si>
  <si>
    <t>ACTA APPLICANDAE MATHEMATICAE</t>
  </si>
  <si>
    <t>We characterize the uniform continuity and the compactness of a resolvent family of operators {R(t)}(t greater than or equal to 0) for a Volterra equation of convolution type defined in a Banach space X. In particular, we extend similar results to those for semigroups of operators and cosine families of operators studied in other works.</t>
  </si>
  <si>
    <t>0167-8019</t>
  </si>
  <si>
    <t>10.1007/BF00992842</t>
  </si>
  <si>
    <t>WOS:A1995QU51500001</t>
  </si>
  <si>
    <t>MATSUHIRO, B; URZUA, CC</t>
  </si>
  <si>
    <t>HETEROGENEITY OF CARRAGEENANS FROM CHONDRUS-CRISPUS</t>
  </si>
  <si>
    <t>PHYTOCHEMISTRY</t>
  </si>
  <si>
    <t>Carrageenans extracted from gametophytic and sporophytic Chondrus crispus were analysed by hydrolysis, KCl fractionation and H-1 NMR spectroscopy. The carrageenan from gametophytic plants is composed predominantly of two KCl insoluble fractions which contain kappa-carrageenan as time major component with 1-carrageenan and sulphated galactans as minor components. The precursor mu- and v-carrageenans were not found in the soluble fraction. The extract from sporophytic plants is composed mainly of a KCl soluble fraction which could be separated into 10 fractions by ion-exchange chromatography. The major component did not show a lambda-type structure but one of a zeta-carrageenan.</t>
  </si>
  <si>
    <t>0031-9422</t>
  </si>
  <si>
    <t>10.1016/0031-9422(92)90032-L</t>
  </si>
  <si>
    <t>WOS:A1992HC57100030</t>
  </si>
  <si>
    <t>VILLARROEL, L; URZUA, A</t>
  </si>
  <si>
    <t>SECONDARY METABOLITES FROM THE RESINOUS EXUDATE OF HELIOTROPIUM-STENOPHYLLUM</t>
  </si>
  <si>
    <t>WOS:A1990DZ69900010</t>
  </si>
  <si>
    <t>CACERES, T; GUAIQUIL, S; LISSI, EA</t>
  </si>
  <si>
    <t>FREE-RADICAL MEDIATED OXIDATION OF POLYCYCLIC AROMATIC HYDROCARBONS</t>
  </si>
  <si>
    <t>WOS:A1988R501200003</t>
  </si>
  <si>
    <t>RIVERA, A; URZUA, A; TORRES, R</t>
  </si>
  <si>
    <t>1,2-DIMETHOXY-11-HYDROXYAPORPHINE FROM DISCARIA-SERRATIFOLIA VAR MONTANA</t>
  </si>
  <si>
    <t>JOURNAL OF NATURAL PRODUCTS</t>
  </si>
  <si>
    <t>0163-3864</t>
  </si>
  <si>
    <t>10.1021/np50036a027</t>
  </si>
  <si>
    <t>WOS:A1984ABE1000027</t>
  </si>
  <si>
    <t>LISSI, EA; ABUIN, EB</t>
  </si>
  <si>
    <t>BROMIDE ION QUENCHING OF MICELLIZED HYDROCARBON FLUORESCENCE - A SEARCH FOR EFFECTS OF EMITTER LIFETIME ON THE QUENCHING BEHAVIOR - COMMENT</t>
  </si>
  <si>
    <t>10.1016/0047-2670(80)85107-0</t>
  </si>
  <si>
    <t>WOS:A1980KW66300009</t>
  </si>
  <si>
    <t>RODRIGUEZ, M</t>
  </si>
  <si>
    <t>ART OF TEXTUAL VARIABILITY IN 'DESCONOCIDO DE SI MISMO' + DESTRUCTURALIZATION OF TEXT</t>
  </si>
  <si>
    <t>CUADERNOS HISPANOAMERICANOS</t>
  </si>
  <si>
    <t>1131-6438</t>
  </si>
  <si>
    <t>343-</t>
  </si>
  <si>
    <t>WOS:A1979GQ93400084</t>
  </si>
  <si>
    <t>Gamboa, J; Méndez, F</t>
  </si>
  <si>
    <t>Gamboa, Jorge; Mendez, Fernando</t>
  </si>
  <si>
    <t>Resonance of Gravitational Axion-like Particles</t>
  </si>
  <si>
    <t>The motion of gravitational axion-like particles (ALPs) around a Kerr black hole is analyzed, paying attention to the resonance and distribution of spectral radiation. We first discuss the computation of gR mu nu rho rho sigma R mu nu rho sigma and its implications with Pontryagin's theorem, and then a detailed analysis of Teukolsky's master equation is carried out. After carefully analyzing the Teukolsky master equation, we show that this system exhibits resonance when omega greater than or similar to mu, where mu is the mass of the ALP, while the homogeneous part of the solution exhibits the superradiance. A skew-normal distribution can approximate the energy distribution of the resonant modes, and we give explicit expressions for its lifetime.</t>
  </si>
  <si>
    <t>Mendez, Fernando/0000-0002-9257-9552; Gamboa, Jorge/0000-0001-7992-7199</t>
  </si>
  <si>
    <t>10.3390/universe10120463</t>
  </si>
  <si>
    <t>WOS:001384484300001</t>
  </si>
  <si>
    <t>Bello-Robles, FA; Villalobos-Cid, M; Chacón, M; Inostroza-Ponta, M</t>
  </si>
  <si>
    <t>Bello-Robles, Felipe-Andres; Villalobos-Cid, Manuel; Chacon, Max; Inostroza-Ponta, Mario</t>
  </si>
  <si>
    <t>A multi-objective optimisation approach for the linear modelling of cerebral autoregulation system</t>
  </si>
  <si>
    <t>BIOSYSTEMS</t>
  </si>
  <si>
    <t>Objective: Dynamic cerebral autoregulation (dCA) has been addressed through different approaches for discriminating between normal and impaired conditions based on spontaneous fluctuations in arterial blood pressure (ABP) and cerebral blood flow (CF). This work presents a novel multi-objective optimisation (MO) approach for finding good configurations of a cerebrovascular resistance-compliance model. Methods: Data from twenty-nine subjects under normo and hypercapnic (5% CO 2 in air) conditions was used. Cerebrovascular resistance and vessel compliance models with ABP as input and CF velocity as output were fitted using a MO approach, considering fitting Pearson's correlation and error. Results: MO approach finds better model configurations than the single-objective (SO) approach, especially for hypercapnic conditions. In addition, the Pareto-optimal front from the multi-objective approach enables new information on dCA, reflecting a higher contribution of myogenic mechanism for explaining dCA impairment.</t>
  </si>
  <si>
    <t>Bello Robles, Felipe-Andres/0000-0002-7516-2405; Villalobos-Cid, Manuel/0000-0002-1145-2016</t>
  </si>
  <si>
    <t>0303-2647</t>
  </si>
  <si>
    <t>1872-8324</t>
  </si>
  <si>
    <t>10.1016/j.biosystems.2024.105231</t>
  </si>
  <si>
    <t>WOS:001247629500001</t>
  </si>
  <si>
    <t>Miranda-Meza, E; Derpich, I; Sepúlveda, JM</t>
  </si>
  <si>
    <t>Miranda-Meza, Erick; Derpich, Ivan; Sepulveda, Juan M.</t>
  </si>
  <si>
    <t>An Icon-Based Methodology for the Design of a Prototype of a Multi-Process, Multi-Product, Aggregated Production Planning Software</t>
  </si>
  <si>
    <t>This paper proposes an icon-based methodology for the design of prototype aggregated production planning software that addresses the complexity of multi-process and multi-product production. Aggregate planning is a critical task in production management, which involves coordinating the production of multiple products in different processes to meet demand efficiently. The approach focuses on the use of visual icons to represent key elements of the production process, such as products, processes, resources, and constraints. These icons allow an intuitive representation of information and facilitate communication between production team members. In addition, this paper presents a conceptual structure that defines the relationships between the icons and how they are used to model and simulate aggregate production planning. The prototype software based on a conceptual foundation allows planners to easily create and adjust production plans in a visual environment. This method improves the ability to make informed and rapid decisions in response to changes in demand or production capacity. The prototype is based on icons and programmed in Excel spreadsheets to facilitate the planner's planning. At the end of the document, the application of a case study is shown.</t>
  </si>
  <si>
    <t>Derpich, Ivan/0000-0001-9759-7285; Miranda, Erick/0000-0003-1073-9346; Sepulveda, Juan M./0000-0003-3755-0981</t>
  </si>
  <si>
    <t>10.3390/math12020336</t>
  </si>
  <si>
    <t>WOS:001150898400001</t>
  </si>
  <si>
    <t>Rojas-Andrade, RM; Zurita, SAA; Morales, FJ; Bravo, GIP; Melendez, EN</t>
  </si>
  <si>
    <t>Rojas-Andrade, Rodrigo Miguel; Zurita, Samuel Alejandro Aranguren; Morales, Francisca Jaque; Bravo, Gabriel Ignacio Prosser; Melendez, Evelyn Norambuena</t>
  </si>
  <si>
    <t>Implementation's facilitators and barriers of the Chilean Skills for Life program according to the Consolidated Framework for Implementation Research</t>
  </si>
  <si>
    <t>LIMITE-REVISTA DE FILOSOFIA Y PSICOLOGIA</t>
  </si>
  <si>
    <t>Background: The HPV-Junaeb program is the most important school-based mental health program in Chile, aiming to improve students' essential life skills to face life adversity and promote successful academic trajectories. However, effective implementation faces various challenges and is influenced by multiple factors. Understanding these barriers and facilitators is essential for the program's success and sustainability. Aim: To identify the barriers and facilitators affecting the implementation of the HPV-Junaeb program from the perspectives of national, regional, and local institutional leaders and coordinators. Methods: Interviews with 16 program coordinators were conducted using the Consolidated Framework for Implementation Research model.This model groups implementation factors into five dimensions: characteristics of the innovation, external context of the implementing institution, internal context of the institution, characteristics of the individuals, and the implementation process. The interviews were followed by a deductive content analysis, classifying factors according to their contribution to implementation (facilitator [+] or barrier [-]) and their impact on it (2 = strong; 1 = weak; 0 = neutral). Results: Strong facilitators identified included the training of professionals responsible for program execution, active participation of students and the community, and the adaptation of the program to local needs and specificities. Strong barriers identified included cultural resistance to mental health care and the work of psychologists, low institutional resources and support, and weak coordination among various stakeholders. Conclusion: The study concludes that the program's characteristics and its execution process are strong facilitators. In contrast, external contextual factors act as significant barriers to implementation. Continuous program evaluation is crucial to ensure its effectiveness and adaptability to diverse contexts.</t>
  </si>
  <si>
    <t>0718-1361</t>
  </si>
  <si>
    <t>0718-5065</t>
  </si>
  <si>
    <t>10.4067/s0718-50652024000100222</t>
  </si>
  <si>
    <t>WOS:001461656700004</t>
  </si>
  <si>
    <t>Silva, J; Rubilar, F; Santander-Tapia, P; Cáceres-Coñomán, C; Gálvez-Manríquez, D; Delgado-Cadena, L</t>
  </si>
  <si>
    <t>Silva, Jose; Rubilar, Felipe; Santander-Tapia, Pavlo; Caceres-Conoman, Christopher; Galvez-Manriquez, Daniel; Delgado-Cadena, Lorena</t>
  </si>
  <si>
    <t>Proposal of Evaluation Protocol for Measuring Citizen Sensibilisation in Recycling Practices</t>
  </si>
  <si>
    <t>Recycling is one of several key activities proposed under a circular economy to keep raw materials in use. However, despite the importance of recycling, there are currently low recycling rates for some materials, such as plastic, glass and tyres. In this context, citizen education and awareness is essential, so new forms of awareness-raising, such as virtual or immersive experiences, are being explored in order to support the awareness-raising process. It is for this reason that this research proposes, based on a literature review, a conceptual evaluation protocol that allows evaluating the degree of learning/awareness of citizens in relation to recycling, thanks to their interaction with virtual experiences or other traditional learning techniques.</t>
  </si>
  <si>
    <t>10.1007/978-3-031-72486-2_29</t>
  </si>
  <si>
    <t>WOS:001445604600028</t>
  </si>
  <si>
    <t>Simonetti, TJ</t>
  </si>
  <si>
    <t>Simonetti, Tomas Jadresic</t>
  </si>
  <si>
    <t>Creation and ownership over intellectual property assets created autonomously by artificial intelligence</t>
  </si>
  <si>
    <t>REVISTA CHILENA DE DERECHO Y TECNOLOGIA</t>
  </si>
  <si>
    <t>The purpose of this paper is to analyze, from a legal point of view, the possibility that an artificial intelligence could, autonomously, give rise to the creation of objects susceptible to be protected by the intellectual property rights system. In addition, to analyze what would happen with the ownership of intellectual property rights that would fall on such objects. For this analysis, some experiences in comparative law are reviewed, in order to subsequently address the response that could be given to these questions in Chile in light of the current regulations on the matter.</t>
  </si>
  <si>
    <t>0719-2576</t>
  </si>
  <si>
    <t>0719-2584</t>
  </si>
  <si>
    <t>e71922</t>
  </si>
  <si>
    <t>10.5354/0719-2584.2024.71922</t>
  </si>
  <si>
    <t>WOS:001415848100001</t>
  </si>
  <si>
    <t>Reyes, A; Gatica, E; Henríquez-Vargas, L; Pailahueque, N; Vargas, A</t>
  </si>
  <si>
    <t>Reyes, A.; Gatica, E.; Henriquez-Vargas, L.; Pailahueque, N.; Vargas, A.</t>
  </si>
  <si>
    <t>Experimental and numerical study of desalination using solar energy and phase change materials</t>
  </si>
  <si>
    <t>The present work experimentally desalinate water and model a passive solar desalinator of 0.55 m2 that uses phase change materials (PCM), assessing the effects of storing energy in 4.5 kg of coconut oil or paraffin wax contained in copper tubes, and the mass of water in the container (5.55, 8.25 and 11.0 kg), on the unit per-formance. The experiments carried out in Santiago de Chile allowed to obtain condensate masses between 3.2 and 4.3 kg/m2 per batch with a temperatures between 23 and 83 circle C for the absorber plate and 21-77 circle C for the glass. Annual water production ranged from 1120 to 1313 liter/m2, with costs between 0.0165 and 0.0593 $/liter. PCM incorporation had no impact on production as the exposed area is shared between absorber plate and tubes. To better evaluate the effect of the parameters studied, results are presented as the ratio between the mass of condensate and the solar energy received, which gives independence from the solar irradiation vari-ability and allowed to identify a slight superiority in the productivity of condensate using coconut oil. The model developed and coded in MATLAB, including PCM and the effect of self-shading, adequately predicts the mass of condensate and phase temperatures (water, glass and PCM) with a mean root mean square error of 0.03 kg and 1.9 circle C respectively. The model is characterized by a low computation time and a high level of prediction for the condensate mass.</t>
  </si>
  <si>
    <t>Henríquez-Vargas, Luis/Q-3617-2019; Pailahueque, Nicolas/GYA-3286-2022</t>
  </si>
  <si>
    <t>Pailahueque Barahona, Nicolas/0009-0006-3051-3888; Gatica Candia, Erick Hernan/0000-0002-8713-6749</t>
  </si>
  <si>
    <t>10.1016/j.jece.2023.111193</t>
  </si>
  <si>
    <t>OCT 2023</t>
  </si>
  <si>
    <t>WOS:001114088800001</t>
  </si>
  <si>
    <t>Cavieres-Garrido, F; Martínez, VA; Nuñez-Aedo, J; Chen, DM; Vasco, DA</t>
  </si>
  <si>
    <t>Cavieres-Garrido, Felipe; Martinez, Victor A.; Nunez-Aedo, Jonathan; Chen, Daming; Vasco, Diego A.</t>
  </si>
  <si>
    <t>Experimental study of the heat transfer during the ice formation of TiO2 water-nanofluid around a helical coil CTES system</t>
  </si>
  <si>
    <t>Attending to the increasing energy consumption, the interest in Cooling Thermal Energy Storage (CTES) has grown since its application might enhance the performance of refrigeration systems by storing thermal energy at low temperatures via ice-making. CTES is essential in many applications, including central air conditioning in buildings, high-powered electronic cooling applications, waste heat recovery, and food processing, to correct the imbalance in electrical power between daytime demand and nighttime abundance. Regarding air conditioning, CTES releases cool energy through ice melting to support the primary chilling equipment throughout the day, regarded as the peak period. Following this path, this work contributes to the existing bench-scale results in the literature by performing a comparative analysis of the thermal performance of CTES systems operating with water and a 0.19 vol.% TiO2 water-based nanofluid as phase change material (PCM). The bench scale CTES system is an insulated rectangular-shaped tank filled with 36 liters of PCM flooding a helical coil. Since a water/alcohol mixture was the coolant, the temperature of the helical coil allowed ice to grow around itself. The CTES with 0.19 vol.% TiO2 nanofluid results in an 11.1% larger amount of ice and a faster charging process (10.6%). Moreover, the heat transfer process observed on the CTES system operating with the nanofluid has improved the system's maximum energy storage rate by 17.18%. Analyzing the heat transfer process by computing the involved thermal resistances has allowed explaining the observed improvements. Based on this thermal analysis, we have identified that TiO2 nanoparticles mainly affect the natural convection between the ice layer and the liquid phase of the PCM by increasing the convective heat transfer coefficient.</t>
  </si>
  <si>
    <t>Vasco, Diego/AAA-4480-2020; chen, daming/KIC-9013-2024</t>
  </si>
  <si>
    <t>Nunez, Jonathan/0000-0003-2008-5219; chen, daming/0000-0001-9008-5412; Vasco, Diego Andres/0000-0001-7456-4683; Martinez, Victor A./0000-0002-1750-8180</t>
  </si>
  <si>
    <t>1873-5606</t>
  </si>
  <si>
    <t>JUL 25</t>
  </si>
  <si>
    <t>10.1016/j.applthermaleng.2023.120829</t>
  </si>
  <si>
    <t>WOS:001057848700001</t>
  </si>
  <si>
    <t>Donoso, MV; Hernández, F; Barra, R; Huidobro-Toro, JP</t>
  </si>
  <si>
    <t>Donoso, M. Veronica; Hernandez, Felipe; Barra, Rafael; Huidobro-Toro, J. Pablo</t>
  </si>
  <si>
    <t>Nanomolar clodronate induces adenosine accumulation in the perfused rat mesenteric bed and mesentery-derived endothelial cells</t>
  </si>
  <si>
    <t>FRONTIERS IN PHARMACOLOGY</t>
  </si>
  <si>
    <t>The vesicular nucleotide transporter (VNUT) is critical for sympathetic co-transmission and purinergic transmission maintenance. To examine this proposal, we assessed whether the bisphosphonate clodronate, claimed as a potent in vitro VNUT blocker, modified spontaneous and/or the electrically evoked overflow of ATP/metabolites and NA from mesentery sympathetic perivascular nerve terminals. Additionally, in primary endothelial cell cultures derived from this tissue, we also evaluated whether clodronate interfered with ATP/metabolite cell outflow and metabolism of N6-etheno adenosine 5 '- triphosphate (eATP), N6-etheno adenosine (eADO), and adenosine deaminase enzyme activity. Rat mesenteries were perfused in the absence or presence of .01-1,000 nM clodronate, 1-1,000 nM Evans blue (EB), and 1-10 mu M DIDS; tissue perfusates were collected to determine ATP/metabolites and NA before, during, and after perivascular electrical nerve terminal depolarization. An amount of 1-1,000 nM clodronate did not modify the time course of ATP or NA overflow elicited by nerve terminal depolarization, and only 10 nM clodronate significantly augmented perfusate adenosine. Electrical nerve terminal stimulation increased tissue perfusion pressure that was significantly reduced only by 10 nM clodronate [90.0 +/- 18.6 (n = 8) to 35.0 +/- 10.4 (n = 7), p = .0277]. As controls, EB, DIDS, or reserpine treatment reduced the overflow of ATP/metabolites and NA in a concentration-dependent manner elicited by nerve terminal depolarization. Moreover, mechanical stimulation of primary endothelial cell cultures from the rat mesentery added with 10 or 100 nM clodronate increased adenosine in the cell media. eATP was metabolized by endothelial cells to the same extent with and without 1-1,000 nM clodronate, suggesting the bisphosphonate did not interfere with nucleotide ectoenzyme metabolism. In contrast, extracellular eADO remained intact, indicating that this nucleoside is neither metabolized nor transported intracellularly. Furthermore, only 10 nM clodronate inhibited (15.5%) adenosine metabolism to inosine in endothelial cells as well as in a commercial crude adenosine deaminase enzyme preparation (12.7%), and both effects proved the significance (p &lt; .05). Altogether, present data allow inferring that clodronate inhibits adenosine deaminase activity in isolated endothelial cells as in a crude extract preparation, a finding that may account for adenosine accumulation following clodronate mesentery perfusion.</t>
  </si>
  <si>
    <t>1663-9812</t>
  </si>
  <si>
    <t>10.3389/fphar.2022.1031223</t>
  </si>
  <si>
    <t>WOS:000925504400001</t>
  </si>
  <si>
    <t>Estenssoro, F; Carrasco, A</t>
  </si>
  <si>
    <t>Estenssoro, Fernando; Carrasco, Alejandro</t>
  </si>
  <si>
    <t>Lithium in the environmental geopolitics of the United States: the tension with China for the Chilean case</t>
  </si>
  <si>
    <t>This essay argues that access to lithium mineral sources is acquiring a strategic and national security nature for the United States, in the context of climate change and the urgent need to replace the global fossil energy grid. This situation, together with the rivalry that the United States has with China, would lead to renewed US interference in Latin American countries with large exploitations and reserves of this resource, as is the case of Chile. The American superpower has begun to exert pressure on the country's government, authorities and public opinion, aiming to expel or significantly reduce the growing importance of Chinese capital in the exploitation of this resource. A pressure that would increase as the rivalry with China continues to increase.</t>
  </si>
  <si>
    <t>Carrasco, Alejandro/F-6620-2015</t>
  </si>
  <si>
    <t>10.53689/ea.v15i2.210</t>
  </si>
  <si>
    <t>WOS:001136773600001</t>
  </si>
  <si>
    <t>Ferreira, CC</t>
  </si>
  <si>
    <t>Ferreira, Cleyton Cortes</t>
  </si>
  <si>
    <t>Appraisal of indigenous people in the historical account of heritage cities: the case of La Serena (Chile)</t>
  </si>
  <si>
    <t>The study of heritage as a sociocultural phenomenon requires paying attention to the representations that are elaborated and the way they circulate socially. In the case of this article, the problem identified is that the historical recounts used in the dissemination of historical and heritage cities could be negatively representing indigenous peoples, collaborating in the reproduction of this representations. Framed as a case study of the city of La Serena (Chile), this article aims to identify the appraisal about indigenous peoples in historical recounts. Patrimonial Studies and Critical Discourse Studies are used theoretically, opting for the theoretical architecture of Systemic-Functional Linguistics whose Appraisal system allows us to investigate the rhetorical effects that build ideological positions in the speeches. It is concluded that the historical recounts have a traditional ideological positioning of History, since the narration is presented as a story of Hispanic heroes who face great deeds against the indigenous people, whose participation is decontextualized and reduced to the destruction of the city and the opposition to the Spanish conquers.</t>
  </si>
  <si>
    <t>10.15443/RL3319</t>
  </si>
  <si>
    <t>WOS:001137454700012</t>
  </si>
  <si>
    <t>Montilla, FC</t>
  </si>
  <si>
    <t>Montilla, Franklim Colletti</t>
  </si>
  <si>
    <t>JUAN BAUTISTA ALBERDI AND HIS INFLUENCE ON LATIN AMERICAN INTERNATIONAL RELATIONS IN THE 20TH CENTURY</t>
  </si>
  <si>
    <t>REVISTA NOTAS HISTORICAS Y GEOGRAFICAS</t>
  </si>
  <si>
    <t>Juan Bautista Alberdi was an Argentine intellectual who, through his works, influenced part of the Latin American thought of the moment and of the first half of the 20th century. His work The Crime of War enjoyed great international prestige among pacifist circles and among Western European intellectuals during the first decades of the 20th century. Although his figure as a renowned intellectual was eclipsing over the years, his legacy was reflected in the founding documents of international organizations, as well as in treaties and doctrines of America. With the arrival of the new century, his work is once again the object of study among American academic circles, forcing a rereading and a new assessment of his legacy.</t>
  </si>
  <si>
    <t>0717-036X</t>
  </si>
  <si>
    <t>0719-4404</t>
  </si>
  <si>
    <t>WOS:001000745800004</t>
  </si>
  <si>
    <t>Sepúlveda, EG</t>
  </si>
  <si>
    <t>Sepulveda, Eduardo Godoy</t>
  </si>
  <si>
    <t>Depictions of Masculinity, Paternity/Maternity, and Upbringing in the Anarchist Newspaper Vida Nueva (Chile, 1934-1942)</t>
  </si>
  <si>
    <t>AMERICANIA-REVISTA DE ESTUDIOS LATINOAMERICANOS</t>
  </si>
  <si>
    <t>In this investigation, preliminary antecedents are provided for reflecting on the discursive construction and projections of anarchists in the Chilean south with respect to their conception of masculinity, relating it also to their views on paternity, maternity, and upbringing. The study reviews and analyzes the content of the anarcho-syndicalist newspaper Vida Nueva, published in the southern city of Osorno between 1934 and 1942. It is argued that the anarchists of southern Chile, though they sought to question and stress gender roles by discussing the detrimental situation of women in local society, failed to break with the socio-cultural order and, on the contrary, reproduced a conservative logic through their conceptions of paternity, maternity, and upbrining. In this way, they reinforced the role of father-man-provider and attributed to women (unchangeable) mandates from a biological and traditional/conservative perspective.</t>
  </si>
  <si>
    <t>2174-0178</t>
  </si>
  <si>
    <t>WOS:001027579800006</t>
  </si>
  <si>
    <t>Valenzuela, B; Benavides, A; Leyton, F; Moreno, F; Cortés, M; Ibacache, JA</t>
  </si>
  <si>
    <t>Valenzuela, Beatriz; Benavides, Almendra; Leyton, Francisco; Moreno, Franco; Cortes, Marcos; Ibacache, Juana A.</t>
  </si>
  <si>
    <t>Evaluation of bactericidal activity of 7-arylaminoisoquinolin-5,8-quinones against Piscirickettsia salmonis</t>
  </si>
  <si>
    <t>Moreno, Franco/LLL-7501-2024</t>
  </si>
  <si>
    <t>10.1111/jfd.13720</t>
  </si>
  <si>
    <t>SEP 2022</t>
  </si>
  <si>
    <t>WOS:000862029400001</t>
  </si>
  <si>
    <t>Urrea, C; Kern, J; Alvarez, E</t>
  </si>
  <si>
    <t>Urrea, Claudio; Kern, John; alvarez, Exequiel</t>
  </si>
  <si>
    <t>Design of a generalized dynamic model and a trajectory control and position strategy for n-link underactuated revolute planar robots</t>
  </si>
  <si>
    <t>CONTROL ENGINEERING PRACTICE</t>
  </si>
  <si>
    <t>Nowadays, underactuated systems are present in diverse fields of application. However, their mathematical modeling of underactuated revolute planar robots and the design of their control systems have not been thoroughly researched. Consequently, this paper presents both the generalized dynamic model and the design of a new control strategy for n-link underactuated revolute planar robots. The dynamic model includes both the friction torques present in the joint of this robot type and the mathematical formulations that represent the no-actuation of some robot joints. The requirements for the initial angular conditions of the links and for the design parameters of this type of robots are established and then optimized through a metaheuristic technique that uses GA.(1) Applying LaSalle's theorem and a Lyapunov function, the asymptotic stability of the behavior of these robots is calculated. The new control strategy allows the non-actuated joint to be indirectly controlled through the torques of the adjacent actuated joints (iota(n-1),iota(n+1)), thanks to the design and online tracking of a complementary composed trajectory. In this way, the non-actuated joint performs a tracking trajectory similar to that of joint q(1), despite the addition of an external pulse-type perturbation torque applied to this type of robot some seconds after the start of trajectory tracking. The validation of this control strategy is conducted using a 3-DoF(2) underactuated revolute planar robot with an APA(3) configuration. First, simulations are conducted and then a real robot is used. In addition, to analyze, compare, and evaluate the performance of the control strategy in the real robot, the performance indicators IA,(4) RMS(5 )and RSD6 are used.</t>
  </si>
  <si>
    <t>0967-0661</t>
  </si>
  <si>
    <t>1873-6939</t>
  </si>
  <si>
    <t>10.1016/j.conengprac.2022.105316</t>
  </si>
  <si>
    <t>AUG 2022</t>
  </si>
  <si>
    <t>WOS:000864942400006</t>
  </si>
  <si>
    <t>Urrea, C; Agramonte, R</t>
  </si>
  <si>
    <t>Urrea, Claudio; Agramonte, Rayko</t>
  </si>
  <si>
    <t>Evaluation of Parameter Identification of a Real Manipulator Robot</t>
  </si>
  <si>
    <t>SYMMETRY-BASEL</t>
  </si>
  <si>
    <t>Given the widespread use of the Kalman filter in robotics, an increasing number of researchers devote themselves to its study and application. This work underscores the importance of this filter while analyzing the modifications made to the same to improve its performance and reduce its deficiencies in some fields and presenting some of its applications in robotics. The following methods are presented in this study: least squares (LS), Hopfield Neural Networks (HNN), Extended Kalman filter (EKF), and Unscented Kalman filter (UKF). These methods are used in the parameter identification of a Selective Compliant Assembly Robot Arm (SCARA) robot with 3-Degrees of Freedom (3-DoF) and a clamp at its end. The dynamic model of this robot is obtained and employed to identify its parameters; then, the identification results are compared considering the difference between the obtained parameters and the real values of the robot parameters; in this comparison, the good results yielded by the LS and UKF method stand out. Subsequently, the obtained parameters through each method are validated by measuring different performance indexes-during trajectory tracking-such as: Residual Mean Square Error (RMSE), Integral of the Absolute Error (IAE), and the Integral of the Square Error (ISE). In this way, a comparison of the robot's performance is possible.</t>
  </si>
  <si>
    <t>Agramonte, Rayko/HTM-8716-2023; Claudio, URREA/KWU-1600-2024</t>
  </si>
  <si>
    <t>Urrea, Claudio/0000-0001-7197-8928; Agramonte Alburquerque, Rayko Enrique/0000-0002-7395-5874</t>
  </si>
  <si>
    <t>2073-8994</t>
  </si>
  <si>
    <t>10.3390/sym14071446</t>
  </si>
  <si>
    <t>WOS:000831477400001</t>
  </si>
  <si>
    <t>Kessi-Pérez, EI; González, A; Palacios, JL; Martínez, C</t>
  </si>
  <si>
    <t>Kessi-Perez, Eduardo I.; Gonzalez, Adens; Palacios, Jose L.; Martinez, Claudio</t>
  </si>
  <si>
    <t>Yeast as a biological platform for vitamin D production: A promising alternative to help reduce vitamin D deficiency in humans</t>
  </si>
  <si>
    <t>Vitamin D is an important human hormone, known primarily to be involved in the intestinal absorption of calcium and phosphate, but it is also involved in various nonskeletal processes (molecular, cellular, immune, and neuronal). One of the main health problems nowadays is the vitamin D deficiency of the human population due to lack of sun exposure, with estimates of one billion people worldwide with vitamin D deficiency, and the consequent need for clinical intervention (i.e., prescription of pharmacological vitamin D supplements). An alternative to reduce vitamin D deficiency is to produce good dietary sources of it, a scenario in which the yeast Saccharomyces cerevisiae seems to be a promising alternative. This review focuses on the potential use of yeast as a biological platform to produce vitamin D, summarizing both the biological aspects of vitamin D (synthesis, ecology and evolution, metabolism, and bioequivalence) and the work done to produce it in yeast (both for vitamin D-2 and for vitamin D-3), highlighting existing challenges and potential solutions.</t>
  </si>
  <si>
    <t>Martinez, Claudio/MGS-9961-2025; Kessi, Eduardo/AAI-2566-2019</t>
  </si>
  <si>
    <t>Kessi, Eduardo/0000-0003-4225-9486</t>
  </si>
  <si>
    <t>10.1002/yea.3708</t>
  </si>
  <si>
    <t>JUN 2022</t>
  </si>
  <si>
    <t>WOS:000804806800001</t>
  </si>
  <si>
    <t>Hernandez, CR</t>
  </si>
  <si>
    <t>Hernandez, Christian Retamal</t>
  </si>
  <si>
    <t>Do androids dream of enlightenment? Reflections on the evolution of animism in eventual conscious entities</t>
  </si>
  <si>
    <t>ARTNODES</t>
  </si>
  <si>
    <t>The folowing pages analyse the millenary persistence of the animistic imaginary as a way of explaining reality. Its development from the notion of mana to the notion of soul in Western thought and its evolution in the idea of the monstrous in science fiction are discussed. It also analyses the animistic imaginary in Eastern traditions, especialy the concept of illumination of objects and artifacts as animated entities under the influence of Buddhism and Shintoism. Finaly, it reflects on how animism has nowadays derived into a technoanimism  to explain the agency of artificial intelligences and androids.</t>
  </si>
  <si>
    <t>Retamal, Christian/AEU-1883-2022</t>
  </si>
  <si>
    <t>Retamal, Christian/0000-0003-3445-4433</t>
  </si>
  <si>
    <t>1695-5951</t>
  </si>
  <si>
    <t>10.7238/d.v0i30.402843</t>
  </si>
  <si>
    <t>WOS:000891052500001</t>
  </si>
  <si>
    <t>Donoso, IG; Reyes, AA</t>
  </si>
  <si>
    <t>Donoso, Igor Goicovic; Reyes, Andrea Armijo</t>
  </si>
  <si>
    <t>POWER DISPUTES. TENSIONS AND CONFLICTS IN THE CONSTRUCTION OF LOCAL POLITICAL POWER. THE CASE OF SUBDELEGATE MARTIN DE LA VEGA QUIROGA. SAN JOSE DE LOGRONO, MELIPILLA, CHILE, 1790-1810</t>
  </si>
  <si>
    <t>This article analyzes the political conflict that arose in a colonial village in central Chile towards the end of the 18th century as a result of the application of the Royal Order of Intendants of 1786. Indeed, the designation of Martin de la Vega Quiroga as subdelegate of the town of San Jose de Logrono de Melipilla (1794-1798), caused strong questioning among the local elite, which increased throughout his administration. For the village's Procurador General, Vicente Vargas, who represented the opinions of the neighbors, he was a subject alien to the community, who abused the power that had been conferred upon him and who used the position for his personal enrichment and that of his close friends. These tensions and conflicts show that the application of the Bourbon reforms was resisted by the local elites, who saw them as an interference in matters that they considered to be within their competence, while at the same time introducing subjects into the community that altered the traditional structures of power.</t>
  </si>
  <si>
    <t>WOS:000744274700001</t>
  </si>
  <si>
    <t>Devés, E</t>
  </si>
  <si>
    <t>Deves, Eduardo</t>
  </si>
  <si>
    <t>Cotidianies in Latin America: Concepts, Genres, Contrasts</t>
  </si>
  <si>
    <t>This work deals with the emergence and consolidation of new eidetic expressions in contemporary reality. Thus, a set of  isms that can be grouped into the cotidiany notion are studied. Cotidiany is an eidetic genre (or species) that distinguishes itself from ideologies, philosophical systems, scientific paradigms, and ideoglobies, among many others. To account for cotidianies, three cases of purification of personal-daily life present at the beginning of the 21st century are shown, describing their fundamental notions, and looking for similarities and differences. The hypothesis developed is that cotidianies are eidetic expressions whose meaning is achieved in the possibility of improving existence in its daily dimension, assuming that this is possible in the context of the individual, making few or no references to the socio-economic-political reality, but without ruling out collective or community dimensions. It should be added that the notion improving existence has in cotidianies an eminently psychic-bodily sense, non-economic, non- social rise, nor of hegemony-although all those matters are not excluded in principle-. It also argues about the need to open up studies of ideas into expressions of the eidetic, since these expressions are very little considered by the community of those who study these topics.</t>
  </si>
  <si>
    <t>10.35588/estudav.v0i34.4824</t>
  </si>
  <si>
    <t>WOS:000668091500001</t>
  </si>
  <si>
    <t>Cavieres, R; Landerretche, J; Jara, JL; Chacón, M</t>
  </si>
  <si>
    <t>Cavieres, Ruben; Landerretche, Jean; Jara, Jose Luis; Chacon, Max</t>
  </si>
  <si>
    <t>Analysis of cerebral blood flow entropy while listening to music with emotional content</t>
  </si>
  <si>
    <t>PHYSIOLOGICAL MEASUREMENT</t>
  </si>
  <si>
    <t>Objective. Music is one of the most sublime stimuli that human beings can experience. Despite being just an acoustic wave that exerts little physical influence on a subject, it triggers profound changes in emotions and physiological states. This study explores the possibility of detecting subtle changes in cerebral blood flow velocity in response to emotional reactions produced by different musical stimuli using multiscale entropy analysis. Approach. Cerebral blood flow signals were successfully recorded for 16 subjects while performing five different musical tasks. The entropy of each signal was estimated using multiscale sample entropy. Main results. This method has been shown to be capable of revealing the complexity of the internal dynamics of different physiological systems, which cannot be appreciated with classic approaches based on entropy on a single scale. Significance. Significant differences in entropy were found between two of the tasks, which suggests that intense cognitive activities with emotional content cause a decrease in the entropy of cerebral haemodynamics.</t>
  </si>
  <si>
    <t>Jara, JL/J-7254-2015</t>
  </si>
  <si>
    <t>Jara, JL/0000-0002-3348-7017</t>
  </si>
  <si>
    <t>0967-3334</t>
  </si>
  <si>
    <t>1361-6579</t>
  </si>
  <si>
    <t>10.1088/1361-6579/abf885</t>
  </si>
  <si>
    <t>WOS:000663112500001</t>
  </si>
  <si>
    <t>Mahn, A; Castillo, A</t>
  </si>
  <si>
    <t>Mahn, Andrea; Castillo, Antonio</t>
  </si>
  <si>
    <t>Potential of Sulforaphane as a Natural Immune System Enhancer: A Review</t>
  </si>
  <si>
    <t>Brassicaceae are an outstanding source of bioactive compounds such as ascorbic acid, polyphenols, essential minerals, isothiocyanates and their precursors, glucosinolates (GSL). Recently, GSL gained great attention because of the health promoting properties of their hydrolysis products: isothiocyanates. Among them, sulforaphane (SFN) became the most attractive one owing to its remarkable health-promoting properties. SFN may prevent different types of cancer and has the ability to improve hypertensive states, to prevent type 2 diabetes-induced cardiomyopathy, and to protect against gastric ulcer. SFN may also help in schizophrenia treatment, and recently it was proposed that SFN has potential to help those who struggle with obesity. The mechanism underlying the health-promoting effect of SFN relates to its indirect action at cellular level by inducing antioxidant and Phase II detoxifying enzymes through the activation of transcription nuclear factor (erythroid-derived 2)-like (Nrf2). The effect of SFN on immune response is generating scientific interest, because of its bioavailability, which is much higher than other phytochemicals, and its capacity to induce Nrf2 target genes. Clinical trials suggest that sulforaphane produces favorable results in cases where pharmaceutical products fail. This article provides a revision about the relationship between sulforaphane and immune response in different diseases. Special attention is given to clinical trials related with immune system disorders.</t>
  </si>
  <si>
    <t>Mahn, Andrea/0000-0001-6082-0279; Castillo, Antonio/0000-0003-0639-6045</t>
  </si>
  <si>
    <t>10.3390/molecules26030752</t>
  </si>
  <si>
    <t>WOS:000615438200001</t>
  </si>
  <si>
    <t>Elgueta, E; Mena, J; Orihuela, PA</t>
  </si>
  <si>
    <t>Elgueta, Estefania; Mena, Javier; Orihuela, Pedro A.</t>
  </si>
  <si>
    <t>Hydroethanolic Extracts of Haplopappus baylahuen Remy and Aloysia citriodora Palau Have Bactericide Activity and Inhibit the Ability of Salmonella Enteritidis to Form Biofilm and Adhere to Human Intestinal Cells</t>
  </si>
  <si>
    <t>BIOMED RESEARCH INTERNATIONAL</t>
  </si>
  <si>
    <t>We analysed whether the hydroethanolic extracts from leaves of Haplopappus baylahuen Remy (bailahuen) and Aloysia citriodora Palau (cedron) inhibit the growth and ability of Salmonella Enteritidis to form biofilms and to adhere to human intestinal epithelial cells. Herein, we first determined the total phenolic content and antioxidant and antibacterial activities of the extracts. Then, Salmonella Enteritidis was treated with the extracts to analyse biofilm formation by scanning electronic microscopy and the violet crystal test. We also measured the efflux pump activity of Salmonella Enteritidis since biofilm formation is associated with this phenomenon. Furthermore, the human intestinal cell line Caco-2 was infected with Salmonella Enteritidis pretreated with the extracts, and 30 min later, the number of bacteria that adhered to the cell surface was quantified. Finally, we determined by qPCR the expression of genes associated with biofilm formation, namely, the diguanilate cyclase AdrA protein gene (adrA) and the BapA protein gene (bapA), and genes associated with adhesion, namely, the transcriptional regulator HilA (hilA). The phenolic content and antioxidant and bactericide activities were higher in bailahuen than in the cedron extract. Biofilm formation was inhibited by the extracts in a dose-dependent manner, while the activity of efflux pumps was decreased only with the cedron extract. Adhesion to Caco-2 cells was also inhibited without differences between doses and extracts. The extracts decreased the expression of adrA; with the cedron extract being the most efficient. The expression of hilA is affected only with the cedron extract. We concluded that hydroethanolic extracts of bailahuen and cedron differentially inhibit the growth of Salmonella Enteritidis and affect its the ability to form biofilms and to adhere to human intestinal epithelial cells. These results highlight the presence of molecules in bailahuen and cedron with a high potential for the control of the Salmonella Enteritidis pathogenesis.</t>
  </si>
  <si>
    <t>Mena, Javier/0000-0001-5758-0470; Orihuela, Pedro/0000-0002-4238-0932</t>
  </si>
  <si>
    <t>2314-6133</t>
  </si>
  <si>
    <t>2314-6141</t>
  </si>
  <si>
    <t>JAN 27</t>
  </si>
  <si>
    <t>10.1155/2021/3491831</t>
  </si>
  <si>
    <t>WOS:000617613100008</t>
  </si>
  <si>
    <t>Gómez, DD</t>
  </si>
  <si>
    <t>Domingo Gomez, Daniel</t>
  </si>
  <si>
    <t>Resounding the map of the African Diaspora. Afro-Arican Tumbe Carnaval performance: the affective in social mobilization</t>
  </si>
  <si>
    <t>BOLETIN AMERICANISTA</t>
  </si>
  <si>
    <t>On April 16th, 2019, the Chilean State enacted its Law 21.151, which grants legal recognition to the Afro-descendant tribal people. This achievement was possible due to the social movement, led by its own organizations, which started in the 21st century. This work examines the connections between politics, memory and the Tumbe Carnaval, an Afro-Chilean musical-dance performance, which, due to the possibilities offered by multiculturalism, has raised awareness of the narrative that denied its presence in Republican Chile.</t>
  </si>
  <si>
    <t>Domingo, Daniel/KEI-4460-2024</t>
  </si>
  <si>
    <t>0520-4100</t>
  </si>
  <si>
    <t>2014-993X</t>
  </si>
  <si>
    <t>10.1344/BA2021.83.1018</t>
  </si>
  <si>
    <t>WOS:000739635400007</t>
  </si>
  <si>
    <t>Emotional disturbances and the circulation of the languages of madness</t>
  </si>
  <si>
    <t>WOS:000807304300007</t>
  </si>
  <si>
    <t>Oyarce, ML</t>
  </si>
  <si>
    <t>Loubat Oyarce, Margarita</t>
  </si>
  <si>
    <t>Catastrophes and psychopathology: a dialogical view from clinical psychology</t>
  </si>
  <si>
    <t>WOS:000651158400011</t>
  </si>
  <si>
    <t>Prado, H; Ramírez, J</t>
  </si>
  <si>
    <t>Prado, Humberto; Ramirez, Jose</t>
  </si>
  <si>
    <t>The time fractional Schrodinger equation with a nonlinearity of Hartree type</t>
  </si>
  <si>
    <t>JOURNAL OF EVOLUTION EQUATIONS</t>
  </si>
  <si>
    <t>The aim of this work is to show existence, uniqueness and regularity properties of local in time mild solutions for the nonlinear space-time fractional Schrodinger equation (1.1), with a fractional time derivative of order alpha is an element of (0, 1), and with a nonlinear term of Hartree type.</t>
  </si>
  <si>
    <t>Ramirez Aruquipa, Jose Eduardo/GQZ-4449-2022</t>
  </si>
  <si>
    <t>Prado, Humberto/0000-0003-0049-9115</t>
  </si>
  <si>
    <t>1424-3199</t>
  </si>
  <si>
    <t>1424-3202</t>
  </si>
  <si>
    <t>10.1007/s00028-020-00658-y</t>
  </si>
  <si>
    <t>JAN 2021</t>
  </si>
  <si>
    <t>WOS:000604065900002</t>
  </si>
  <si>
    <t>González, RS; Montealegre, IJ</t>
  </si>
  <si>
    <t>Sergio Gonzalez, R.; Jorge Montealegre, I.</t>
  </si>
  <si>
    <t>Collective resilience and organisational reflexivity: coping at crossroads</t>
  </si>
  <si>
    <t>WOS:000651158400019</t>
  </si>
  <si>
    <t>Urrea, C; Saa, D</t>
  </si>
  <si>
    <t>Urrea, Claudio; Saa, Daniel</t>
  </si>
  <si>
    <t>Design and Implementation of a Graphic Simulator for Calculating the Inverse Kinematics of a Redundant Planar Manipulator Robot</t>
  </si>
  <si>
    <t>In this paper, a graphics simulator that allows for characterizing the kinematic and dynamic behavior of redundant planar manipulator robots is presented. This graphics simulator is implemented using the Solidworks software and the SimMechanics Toolbox of MATLAB/Simulink. To calculate the inverse kinematics of this type of robot, an algorithm based on the probabilistic method called Simulated Annealing is proposed. By means of this method, it is possible to obtain, among many possibilities, the best solution for inverse kinematics. Without losing generality, the performance of metaheuristic algorithm is tested in a 6-DoF (Degrees of Freedom) virtual robot. The Cartesian coordinates (x,y) of the end effector of the robot under study can be accessed through a graphic interface, thereby automatically calculating its inverse kinematics, and yielding the solution set with the position adopted by each joint for each coordinate entered. Dynamic equations are obtained from the Lagrange-Euler formulation. To generate the joint trajectories, an interpolation method with a third order polynomial is used. The effectiveness of the developed methodologies is verified through computational simulations of a virtual robot.</t>
  </si>
  <si>
    <t>Urrea, Claudio/0000-0001-7197-8928; Saa Arancibia, Daniel/0000-0003-3807-4710</t>
  </si>
  <si>
    <t>10.3390/app10196770</t>
  </si>
  <si>
    <t>WOS:000586433000001</t>
  </si>
  <si>
    <t>Muñoz-Ramírez, A; Torrent-Farías, C; Mascayano-Collado, C; Urzúa-Moll, A</t>
  </si>
  <si>
    <t>Munoz-Ramirez, Alejandra; Torrent-Farias, Claudia; Mascayano-Collado, Carolina; Urzua-Moll, Alejandro</t>
  </si>
  <si>
    <t>Study of two isoforms of lipoxygenase by kinetic assays, docking and molecular dynamics of a specialised metabolite isolated from the aerial portion of Lithrea caustica (Anacardiaceae) and its synthetic analogs</t>
  </si>
  <si>
    <t>Our investigation focused on the characterization and study of epicuticular leaf extracts (dichloromethane extract) and certain derivatives of Lithrea caustica (Molina) Hook and Arn. (Anacardiaceae) as inhibitors of 15 soybean and 5 human lipoxygenases (15-sLOX and 5-hLOX). From the epicuticular extract of leaves, the compound (Z)-3-(pentadec-10'-enyl)-catechol (Litreol) was isolated, and three hemisynthetic derivatives were prepared, as they are 3-pentadecylcatechol, (Z)-1,2-diacetyl-3-(pentadec-10'-enyl)-benzene and 1,2-diacetyl-3-pentadecylbenzene. The inhibitory activities for the four compounds against 15-5LOX and 5-hLOX were determined, being (Z)-3-(pentadec-10'-enyl)-catechol (IC50, 54.77 mu M and 2.09 mu M, respectively) and 3-pentadecylcatechol (IC50, 55.28 mu M and 2.74 mu M, respectively), the most interesting compounds assayed. The kinetic studies for (Z)-3-(pentadec-10'-enyl)-catechol and 3-pentadecylcatechol showed a mixed inhibition mechanism to 5-LOX. Finally, docking and molecular dynamics studies were performed to characterize and describe how the chemical structures could be correlated to the decreased 5-hLOX activity observed in the in vitro studies.</t>
  </si>
  <si>
    <t>1873-3700</t>
  </si>
  <si>
    <t>10.1016/j.phytochem.2020.112359</t>
  </si>
  <si>
    <t>WOS:000529798600024</t>
  </si>
  <si>
    <t>de Dicastillo, CL; Velasquez, E; Rojas, A; Guarda, A; Galotto, MJ</t>
  </si>
  <si>
    <t>Lopez de Dicastillo, Carol; Velasquez, Eliezer; Rojas, Adrian; Guarda, Abel; Galotto, Maria Jose</t>
  </si>
  <si>
    <t>The use of nanoadditives within recycled polymers for food packaging: Properties, recyclability, and safety</t>
  </si>
  <si>
    <t>COMPREHENSIVE REVIEWS IN FOOD SCIENCE AND FOOD SAFETY</t>
  </si>
  <si>
    <t>Nanotechnology is considered a highly valued technology to reduce the current environmental problem that is derived from plastic accumulation. The need to recycle and reuse packaging materials is essential to create a sustainable society towards a circular economy. However, the reprocessing of polymers leads to the deterioration of their characteristic mechanical, optical, thermal, and barrier properties due to the degradation of their polymeric chains. When recycled polymers are reinforced with nanoadditives, aforementioned properties improve and their use in the circular economy is more viable. In this review, different types of nanoadditives and recent advances in the development of recycled polymer nanocomposites reinforced with nanoadditives will be presented. In addition, there is a description of two research topics of current interest, recyclability of nanocomposites and safety for food packaging applications. Recyclability of nanocomposites requires a study that includes the nature of the polymer matrix, the type of polymer and the concentration of nanofiller, the morphology, the presence of additives, and the conditions of the thermal-mechanical cycles. Finally, safety section is dedicated to clarify the migration process in nanoreinforced-recycled polymers in order to assess their safety for food contact applications.</t>
  </si>
  <si>
    <t>Rojas, Adrián/AAR-9441-2021; Lopez-de-Dicastillo, Carol/C-6347-2019</t>
  </si>
  <si>
    <t>VELASQUEZ, ELIEZER/0000-0001-8858-8926; Lopez-de-Dicastillo, Carol/0000-0003-0067-9765; Rojas, Adrian/0000-0001-9253-1295</t>
  </si>
  <si>
    <t>1541-4337</t>
  </si>
  <si>
    <t>10.1111/1541-4337.12575</t>
  </si>
  <si>
    <t>MAY 2020</t>
  </si>
  <si>
    <t>WOS:000536485400001</t>
  </si>
  <si>
    <t>Contreras, S; Berendensen, H; Madina, C; Villegas, S</t>
  </si>
  <si>
    <t>Contreras, Saul; Berendensen, Hans; Madina, Claudio; Villegas, Sebastian</t>
  </si>
  <si>
    <t>USE AND PERCEPTION OF ICT IN CONTEXTS OF ACTIVE METHODOLOGIES. A DESCRIPTIVE STUDY IN PROFESSIONAL TECHNICAL TRAINING</t>
  </si>
  <si>
    <t>This work collects information related to the design and implementation of a training experience in the context of active methodologies and use of ICT resources. The experience is developed in professional technical training areas (electricity, informatics, and health-therapist). We used two instruments: a Likert scale questionnaire for ICT perception and another multiple-choice to measure the degree of progress regarding understanding and development of skills, applied to a sample of 43 students. In addition, for the application of the instruments, three didactic units were designed, in which the aspects of content, methodology (activities) and evaluation were considered. In general terms, the results show a positive change in perception and an advance in the degree of understanding of the different concepts of the specialty and development of skills in the sessions, more specifically, an important advance to apply these concepts and use ICT.</t>
  </si>
  <si>
    <t>Moncada, Sebastian/A-7779-2015</t>
  </si>
  <si>
    <t>WOS:000608842500004</t>
  </si>
  <si>
    <t>CENTER-PERIPHERY</t>
  </si>
  <si>
    <t>WOS:000608865900019</t>
  </si>
  <si>
    <t>Diaz Munoz, Consuelo</t>
  </si>
  <si>
    <t>Gender, Memory and Resistance: Transversal Elements for an Analysis of the Testimony of Ines Etienne Romeu</t>
  </si>
  <si>
    <t>IBEROAMERICANA</t>
  </si>
  <si>
    <t>This article proposes an analysis of the account by the Brazilian Ines Etienne Romeu, the only survivor of the House of Death in Petropolis. It interprets her testimony of political imprisonment from a perspective of feminist theories, in order to establish new parameters for the conception and comprehending of women as political active subjects in history. Testimony is understood as a valid space of enunciation built from the exchange of subjective experiences reaffirming women as political subjects inserted in a context of prison, violence and transgression.</t>
  </si>
  <si>
    <t>1577-3388</t>
  </si>
  <si>
    <t>2255-520X</t>
  </si>
  <si>
    <t>10.18441/ibam.20.2020.75.161-179</t>
  </si>
  <si>
    <t>WOS:000593126200011</t>
  </si>
  <si>
    <t>Retamal, PF</t>
  </si>
  <si>
    <t>Fuentes Retamal, Pablo</t>
  </si>
  <si>
    <t>Los Tragicos Dias by Roberto Meza in Isla Mas Afuera. Political prisoner during the dictatorship of Carlos Ibanez</t>
  </si>
  <si>
    <t>This article studies Los tragicos dias in Mas afuera (1931). Written testimony in relation to the political imprisonment of its author in the context of Carlos Ibanez del Campo's dictatorship (1927-1931). The reading perspective is focused on the strategies of resistance deployed by the political prisoners in the penal colony Mas afuera in order to counteract the negative effects related to their captivity. We have analysed, the communication opportunities promoted by these prisoners in order to counteract the loneliness and the lack of information. Our critic reading is based on the postulates of sociologist Emilio de Ipola. This analysis perspective suggests that the political prisoners decode the signs of the penal environment in order to preserve the physical and moral integrity of those who are confined in a space of horror and deterioration.</t>
  </si>
  <si>
    <t>WOS:000451966900005</t>
  </si>
  <si>
    <t>Maddaleno, M</t>
  </si>
  <si>
    <t>Maddaleno, Matilde</t>
  </si>
  <si>
    <t>Reduction of Adolescent Pregnancy in Chile</t>
  </si>
  <si>
    <t>INTERNATIONAL JOURNAL OF SEXUAL HEALTH</t>
  </si>
  <si>
    <t>1931-7611</t>
  </si>
  <si>
    <t>1931-762X</t>
  </si>
  <si>
    <t>SEP 23</t>
  </si>
  <si>
    <t>A53</t>
  </si>
  <si>
    <t>WOS:000489340400084</t>
  </si>
  <si>
    <t>Bongain, S; Jamett, M</t>
  </si>
  <si>
    <t>Bongain, S.; Jamett, M.</t>
  </si>
  <si>
    <t>Electrohydraulic Active Suspension Fuzzy-Neural Based Control System</t>
  </si>
  <si>
    <t>A design of a new controller via a combination of fuzzy controller and artificial neural network (ANN) force tracking solution for a full vehicle suspension system with nonlinear electrohydraulic actuator dynamics is proposed. The comparison between the new Fuzzy-ANN force tracking controller designed with passive suspension system and PID-ANN controller previously developed is presented. Simulations and results obtained show that the Fuzzy-ANN combined controller can improve the stability problems caused by disturbances and road conditions, providing a superior passenger comfort.</t>
  </si>
  <si>
    <t>10.1109/TLA.2018.8789568</t>
  </si>
  <si>
    <t>WOS:000480361900020</t>
  </si>
  <si>
    <t>Román, J; Castillo, A; Mahn, A</t>
  </si>
  <si>
    <t>Roman, J.; Castillo, A.; Mahn, A.</t>
  </si>
  <si>
    <t>Molecular Docking of Potential Inhibitors of Broccoli Myrosinase</t>
  </si>
  <si>
    <t>Glucosinolates are secondary metabolites occurring in Brassicaceae plants whose hydrolysis may yield isothiocyanates, widely recognized as health-promoting compounds. Myrosinase catalyzes this conversion. The chemical mechanism involves an unstable intermediary (thiohydroxamate-O-sulfonate) that spontaneously decomposes into isothiocyanates or other non-bioactive compounds depending on pH and cofactors. At acidic pH, non-bioactive compounds such as nitriles and thiocyanates are formed, while at neutral pH isothiocyanates are obtained. Broccoli myrosinase has been poorly studied so far. Recently, its amino acidic sequence was elucidated, and a structural model was built. The aim of this work was to study the molecular interaction of broccoli myrosinase with different ligands at acidic pH to propose possible inhibitors that prevent formation of undesirable compounds at acidic pH, and that at neutral pH dissociate from the enzyme, allowing formation of isothiocyanates. The interaction between broccoli myrosinase and 40 ligands was studied by molecular docking simulations. Both the enzyme and each inhibitor were set at pH 3.0. Amygdaline and arbutin showed the highest affinity to broccoli myrosinase in this condition. The residues that stabilize the complexes agree with those that stabilize the substrate (Gln207, Glu429, Tyr352, and Ser433). Accordingly, amygdaline and arbutin would perform as competitive inhibitors of myrosinase at pH 3.0.</t>
  </si>
  <si>
    <t>Castillo, Antonio/0000-0003-0639-6045; Roman Aliste, Juan Ismael/0000-0002-9505-0953; Mahn, Andrea/0000-0001-6082-0279</t>
  </si>
  <si>
    <t>10.3390/molecules23061313</t>
  </si>
  <si>
    <t>WOS:000435875400075</t>
  </si>
  <si>
    <t>Epistemological convergences for the production of knowledge in the field of science: towards the delimitation of the multidisciplinary and dialogical value of the new epistemologies</t>
  </si>
  <si>
    <t>TECNOLOGIA Y SOCIETY: UNA MIRADA MULTIDISCIPLINARIA, VOL 1</t>
  </si>
  <si>
    <t>the theories of knowledge have had a vertiginous development from mid XX century, being generated disputes and disqualifications among them, who sometimes suspend or limit the progress of the knowledge. In this article we want to advance beyond these disputes to focus our interest in certain convergent epistemological values that they come from different epistemologist projects. It is as well as we synthetically reviewed the postulates of the critical rationalism represented by Feyerabend and the principles of the complex thought set out by Morin, soon to identify two values that converge in these positions harnessing of diverse significant way modus cognoscendi that they journey and are validated today in the vast field of science.</t>
  </si>
  <si>
    <t>978-956-303-399-1</t>
  </si>
  <si>
    <t>WOS:000483366800002</t>
  </si>
  <si>
    <t>Leiva, CB; García, AR</t>
  </si>
  <si>
    <t>Burgos Leiva, Camila; Rodriguez Garcia, Arturo</t>
  </si>
  <si>
    <t>Effective active methodologies for understanding</t>
  </si>
  <si>
    <t>The project will use electromagnetic technology to show the importance of the relative humidity (RH) in the wood and / or firewood. In Addition, a subject will be intervened during all semester with a project of technological application taking as a base the problem of wet firewood. This innovation shows that active methodologies help understanding and tune theory with practices in the process active teaching-learning (T-L). The project will use materials construction course of the construction technologist career, this subject is important to its professional formation. Inside of variety of contents, has the study of a construction materials diversity, characteristics and material resistance testing. The understanding is a challenge for the teacher and students. Using the wood as construction material and the firewood as fuel, we expect that students understanding the importance of this wet materials. Idea is through a relevant thematic obtain the understanding of students on construction whit wood. This will help a internalize the knowledge's and a anchorage significantly higher the reached currently. Using traditional methodology, the students reach observes the differences between the materials, however with the participatory technological application (Active Methodologies) will be achieve increase the student's understand over the material characteristics.</t>
  </si>
  <si>
    <t>Burgos, Camila/AAW-7598-2020</t>
  </si>
  <si>
    <t>WOS:000480327100008</t>
  </si>
  <si>
    <t>Clarke, D; Matta, B</t>
  </si>
  <si>
    <t>Clarke, Damian; Matta, Benjamin</t>
  </si>
  <si>
    <t>Practical considerations for questionable IVs</t>
  </si>
  <si>
    <t>STATA JOURNAL</t>
  </si>
  <si>
    <t>In this article, we examine several techniques that allow for the construction of bounds estimates based on instrumental variables, even when the instruments are not valid. We introduce the plausexog and imperfectiv commands, which implement methods described by Conley, Hansen, and Rossi (2012, Review of Economics and Statistics 94: 260-272) and Nevo and Rosen (2012b, Review of Economics and Statistics 94: 659-671). We examine the performance of these bounds under a range of circumstances, which leads to several practical results related to the informativeness of the bounds in different situations.</t>
  </si>
  <si>
    <t>1536-867X</t>
  </si>
  <si>
    <t>1536-8734</t>
  </si>
  <si>
    <t>10.1177/1536867X1801800308</t>
  </si>
  <si>
    <t>WOS:000445991000008</t>
  </si>
  <si>
    <t>Moreno, AM</t>
  </si>
  <si>
    <t>Munoz Moreno, Armando</t>
  </si>
  <si>
    <t>Advertising photography: photography, neo-photography or a new form of expression?</t>
  </si>
  <si>
    <t>This article is a reflection on the advertising photography as a form of communicative and informative expression today. It is a theoretical and analytical research that integrates the praxis of the author in the field of advertising photography, which has historically been one of the most important, recurrent and powerful form of visual expression of advertising communication and as modeler of the social behavior. Since the emergence of digital technology, advertising photography is acquiring a new ethical dimension, given especially by the manipulation of the image. But with that development and massification of digital technologies is when not only the specialists, but also the public in general feel disappointed to discover that behind the advertising photography is hidden or can be hidden manipulation that alters the essence of photography as form of visual expression.</t>
  </si>
  <si>
    <t>WOS:000483366800013</t>
  </si>
  <si>
    <t>Petrasic, VAR</t>
  </si>
  <si>
    <t>Roa Petrasic, Veronica Alejandra</t>
  </si>
  <si>
    <t>Crises as policy windows to policy learning and policy change processes: the case of the Chilean salmon farming industry</t>
  </si>
  <si>
    <t>this paper examines how the 2007 sanitary crisis in the Chilean salmon farming industry became the policy window and gave the opportunity for a radical policy change precipitating the industry policy learning and policy change. From policy learning and policy change literature, the paper discusses the role of crises as focusing events and policy windows which require non-routine responses or exceptional measures and decisive changes to deal with them. It highlights the participation of the policy subsystem in defining the crisis as policy problem and proposing solutions to it. In the context of the Chilean salmon farming industry, results show that the sanitary crisis abruptly opened a policy window and pushed sudden changes in the sectoral regulatory framework. This policy learning process was a conscious and intentional process which responded directly to the crisis and indirectly to past experience such as the social, sanitary and environmental conditions the industry had prior to the crisis.</t>
  </si>
  <si>
    <t>WOS:000483366800007</t>
  </si>
  <si>
    <t>QUALITY OR QUANTITY: THE BRAZILIAN CONCRETE POETRY AND THE CONCEPTUAL WRITING</t>
  </si>
  <si>
    <t>WOS:000416891800016</t>
  </si>
  <si>
    <t>Riquelme, E; Chávez, H</t>
  </si>
  <si>
    <t>Riquelme, Esteban, V; Chavez O, Hector</t>
  </si>
  <si>
    <t>Towards System-wise Synthetic Inertia Models to Study Power System Frequency Response</t>
  </si>
  <si>
    <t>Various models have been proposed to analyze the impact of synthetic inertia on frequency response. On one hand, the models that are detailed and realistic in terms power system impact normally overlook detailed representation of inertia emulation, which prevents the analysis of the impact of different control/optimization synthetic inertia policies on power systems. On the other hand, systematic detailed model formulation of the dynamics of turbine, drive and power conversion allowing the analysis of control/optimization synthetic inertia policies are focused on the functioning of the generating units, overlooking a realistic representation of the power system. This paper presents a state space model to represent the frequency dynamics of a realistic power system, including the synthetic inertia in wind turbines. Case studies are simulated to demonstrate that the model response is like the current systems.</t>
  </si>
  <si>
    <t>WOS:000425925000054</t>
  </si>
  <si>
    <t>Huth &amp; Co.'s Spanish and German connections during the 1820s-1840s</t>
  </si>
  <si>
    <t>WOS:000458913900004</t>
  </si>
  <si>
    <t>Contreras, S; Torres, J; Lippi, L</t>
  </si>
  <si>
    <t>Contreras, Saul; Torres, Jorge; Lippi, Luis</t>
  </si>
  <si>
    <t>LEARNING STYLES AND USE OF TECHNOLOGIES IN THE TECHNICAL TRAINING. TEACHING EXPERIENCE AND LEARNING ACHIEVEMENT</t>
  </si>
  <si>
    <t>We present our experience and part of a wider investigation. First, we analyze an important component of the dynamics of classroom, students' learning styles. We consider the factors to project changes and achieve better performances are in the classroom. We apply the questionnaire CHAEA different groups of students (1st and 2nd level of education) and in different periods (years 2011 and 2014) with the idea to detect changes in styles. We treat the information quantitatively with SPSSv. 15 program (60% average and variance = 0.98) and employ a scale of interpretation to categorize styles. The main results show significant differences in learning styles, while advancing in the training course. Was detected the strong presence of active style in the first instance, unlike the reflective style, with differences between training levels. Then in the second period we found significant differences between levels of education and technical specialties, also significant differences between periods. In this line, an aspect that we analyze to explain the results it relates to the use of information technology and communication (ICT) and new technologies (NNTT), both in the process of design and implementation processes teaching. Finally, we note that, from the first period, we achieved significant performance and show that in highly vulnerable institutions are necessary intervention process to promote inclusion, improve conditions, enhance performance and improve learning outcomes.</t>
  </si>
  <si>
    <t>WOS:000398586300008</t>
  </si>
  <si>
    <t>Dockendorff, C</t>
  </si>
  <si>
    <t>Dockendorff, Cecilia</t>
  </si>
  <si>
    <t>Normative Claims of Religion as a Problem. An Approach from the Secularization and Social Differentiation Theories of Habermas and Luhmann</t>
  </si>
  <si>
    <t>REVISTA DE ESTUDIOS SOCIALES</t>
  </si>
  <si>
    <t>This article discuses the challenges posed by the current modus operandi of today's society with respect to understanding emergent religious phenomena, associated to major changes in the structure of complex modern society affecting the social function of religion. The debate builds on Habermas and Luhmann's sociological theses regarding the current normative claims of religion and its corollary in the public sphere. Based on a case study of such emergent phenomena, it is argued that they are better understood by observing the consequences of the type of social differentiation that increasingly expands in today's society, as they question and redefine the viability of current normative claims of religion.</t>
  </si>
  <si>
    <t>0123-885X</t>
  </si>
  <si>
    <t>1900-5180</t>
  </si>
  <si>
    <t>10.7440/res51.2015.03</t>
  </si>
  <si>
    <t>WOS:000350514500004</t>
  </si>
  <si>
    <t>Gutiérrez, E; Chávez, H</t>
  </si>
  <si>
    <t>Gutierrez, Eduardo; Chavez, Hector</t>
  </si>
  <si>
    <t>Simplified Model of Frequency Power System Dynamic for Studying the Impact of Variable Power into Primary Frequency Response</t>
  </si>
  <si>
    <t>Non-conventional renewable energies are becoming a significant source of generation. This paper is about the integration of Wind Power (WP) into grid, which has led to a revision of the adequacy of primary frequency control (PFC). Here, a method to identify the overall primary frequency responce on system is applied, based on an empirical model validated on Sistema Interconectado Central (SIC).</t>
  </si>
  <si>
    <t>WOS:000380551100101</t>
  </si>
  <si>
    <t>Olivares, V; Córdova, F</t>
  </si>
  <si>
    <t>Olivares, Victor; Cordova, Felisa</t>
  </si>
  <si>
    <t>Evaluation by Computer Simulation of the Operation of a Fleet of Drones for Transporting Materials in a manufacturing plant of plastic products</t>
  </si>
  <si>
    <t>In many manufacturing plants, there is a major problem in the internal logistics due to the high number of products, machines, and routes, especially in those manufacturing plants that produce low weight products. For example, a manufacturer of plastic is used as a reference model. In this situation, the final product, storage boxes for home of various sizes, are assembled by performing pickup of parts in warehouses and performing delivered to the assembly lines at the plant. This work is aimed to simulate and evaluate a model which represents the operation of a fleet of drones in the process of transporting materials. The model also includes the manufacture of semi-finished materials and parts in their respective workstations and final assembly of the products in their respective lines. This model allows evaluating the impact on production due to inventory reduction of materials in process, changes in the capacity of productive resources, especially the drones used for transport.</t>
  </si>
  <si>
    <t>CORDOVA, FELISA/S-1093-2019</t>
  </si>
  <si>
    <t>WOS:000380551100137</t>
  </si>
  <si>
    <t>Reyes, A; Mahn, A; Cares, V</t>
  </si>
  <si>
    <t>Pierucci, S; Klemes, JJ</t>
  </si>
  <si>
    <t>Reyes, Alejandro; Mahn, Andrea; Cares, Veronica</t>
  </si>
  <si>
    <t>Analysis of Dried Onions in a Hybrid Solar Dryer, Freeze Dryer and Tunnel Dryer</t>
  </si>
  <si>
    <t>ICHEAP12: 12TH INTERNATIONAL CONFERENCE ON CHEMICAL &amp; PROCESS ENGINEERING</t>
  </si>
  <si>
    <t>Chemical Engineering Transactions</t>
  </si>
  <si>
    <t>12th International Conference on Chemical and Process Engineering (ICheaP)</t>
  </si>
  <si>
    <t>MAY 19-22, 2015</t>
  </si>
  <si>
    <t>Milano, ITALY</t>
  </si>
  <si>
    <t>Onion (Allium cepa L.) belongs to the lily family, such as garlic and leeks. Dehydrated onion can be presented in powder, chunks, granules or slices. Its applications consider manufacturing of condiments, dehydrated or added to rehydrated meals. We determined the drying curves of onion slices cut into 10 and 5 mm thickness, using a hybrid solar dryer, a tunnel dryer and a freeze-dryer. Drying kinetics adjusted adequately with a phenomenological model and with four empirical models. The best fit was obtained with Ademiluyi empirical model. Diffusivity values obtained from the constant diffusivity model fluctuated between 10(-08) and 10(-10) m(2)/s. Finally, rehydration curves were determined and their adjustment to the simplified constant diffusivity model resulted in diffusivity values between 10(-6) and 10(-7) m(2)/s.</t>
  </si>
  <si>
    <t>2283-9216</t>
  </si>
  <si>
    <t>978-88-95608-34-1</t>
  </si>
  <si>
    <t>10.3303/CET1543024</t>
  </si>
  <si>
    <t>WOS:000365994200024</t>
  </si>
  <si>
    <t>Torres, J; Lippi, L</t>
  </si>
  <si>
    <t>GomezChova, L; LopezMartinez, A; CandelTorres, I</t>
  </si>
  <si>
    <t>Torres, J.; Lippi, L.</t>
  </si>
  <si>
    <t>KAIZEN METHOD IN CHILEAN VOCATIONAL HIGH SCHOOLS: THEORETIC APPROXIMATION AND LITERATURE REVIEW</t>
  </si>
  <si>
    <t>EDULEARN15: 7TH INTERNATIONAL CONFERENCE ON EDUCATION AND NEW LEARNING TECHNOLOGIES</t>
  </si>
  <si>
    <t>7th International Conference on Education and New Learning Technologies (EDULEARN)</t>
  </si>
  <si>
    <t>JUL 06-08, 2015</t>
  </si>
  <si>
    <t>This article forms part of a wider-spanning project that deals with the implementation of kaizen, a system of continuous improvement in Chilean vocational high schools. As part of this line of research, three objectives are proposed. Firstly, based on the administrative sciences, and from educational administration sources, we argue the appropriateness of the implementation of a continuous improvement model such as kaizen in the educational setting, specifically in technical-vocational high schools. Secondly, we carry out a brief literature review of the experiences of implementing kaizen in educational organizations, highlighting important lessons or conclusions from these experiences. Lastly, we define specific organizational environments upon which to focus the Kaizen methodology through lessons from the case studies analysed in the literature review. Lastly, we present our methodology for implementing the kaizen model in four vocational high schools in Chile. This methodological model can contribute to the improvement of the teaching-learning processes in the basic sciences, as well as vocational formation, and provide a quality educational service for different interest groups.</t>
  </si>
  <si>
    <t>978-84-606-8243-1</t>
  </si>
  <si>
    <t>WOS:000376685705010</t>
  </si>
  <si>
    <t>Transmutations of supersymmetry through soliton scattering and self-consistent condensates</t>
  </si>
  <si>
    <t>We consider the two most general families of the (1 + 1)D Dirac systems with transparent scalar potentials and two related families of the paired reflectionless Schrodinger operators. The ordinary N = 2 supersymmetry for such Schrodinger pairs is enlarged up to an exotic N = 4 nonlinear centrally extended supersymmetric structure, which involves two bosonic integrals composed from the Lax-Novikov operators for the stationary Korteweg-de Vries hierarchy. Each associated single Dirac system displays a proper N = 2 nonlinear supersymmetry with a nonstandard grading operator. One of the two families of the first-and second-order systems exhibits the unbroken supersymmetry, while another is described by the broken exotic supersymmetry. The two families are shown to be mutually transmuted by applying a certain limit procedure to the soliton scattering data. We relate the topologically trivial and nontrivial transparent potentials with self-consistent inhomogeneous condensates in the Bogoliubov-de Gennes and Gross-Neveu models and indicate the exotic N = 4 nonlinear supersymmetry of the paired reflectionless Dirac systems.</t>
  </si>
  <si>
    <t>JUL 7</t>
  </si>
  <si>
    <t>10.1103/PhysRevD.90.025008</t>
  </si>
  <si>
    <t>WOS:000339067400017</t>
  </si>
  <si>
    <t>Sergio Chejfec. Trajectory of a writer. Critical Essays</t>
  </si>
  <si>
    <t>10.4067/S0718-22952014000100018</t>
  </si>
  <si>
    <t>WOS:000348509700018</t>
  </si>
  <si>
    <t>Untitled</t>
  </si>
  <si>
    <t>COLONIAL LATIN AMERICAN HISTORICAL REVIEW-SECOND SERIES</t>
  </si>
  <si>
    <t>1063-5769</t>
  </si>
  <si>
    <t>I</t>
  </si>
  <si>
    <t>IV</t>
  </si>
  <si>
    <t>WOS:000356465200002</t>
  </si>
  <si>
    <t>Salinas, R; Raff, U; Miranda, M; Ibarra, LG</t>
  </si>
  <si>
    <t>Salinas, R.; Raff, U.; Miranda, M.; Ibarra, L. G.</t>
  </si>
  <si>
    <t>Computer vision for quality control assessment of glass containers</t>
  </si>
  <si>
    <t>GLASS TECHNOLOGY-EUROPEAN JOURNAL OF GLASS SCIENCE AND TECHNOLOGY PART A</t>
  </si>
  <si>
    <t>Glass bottles are produced worldwide and are usually chosen for wine and high quality liquor distribution. High quality glass wine bottles are protected against scratches and internal damages during the manufacturing process with a surface coating known as the cold end treatment (CET). Quality control of this treatment is expensive and time consuming, since frequently it is a manual process. A new method, based on computer vision and capable of operating on-line, demonstrates how to successfully detect if a bottle has received the expected surface coating, thus avoiding unnecessary costs for glass manufacturing required by quality wine production. In addition the proposed technique could be implemented at an industrial level to accomplish a complete quality control for the entire production line of treated glassware.</t>
  </si>
  <si>
    <t>1753-3546</t>
  </si>
  <si>
    <t>1753-3554</t>
  </si>
  <si>
    <t>WOS:000329686200003</t>
  </si>
  <si>
    <t>Lindahl, KO</t>
  </si>
  <si>
    <t>Lindahl, Karl-Olof</t>
  </si>
  <si>
    <t>The size of quadratic p-adic linearization disks</t>
  </si>
  <si>
    <t>ADVANCES IN MATHEMATICS</t>
  </si>
  <si>
    <t>We find the exact radius of linearization disks at indifferent fixed points of quadratic maps in C-p. We also show that the radius is invariant under power series perturbations. Localizing all periodic orbits of these quadratic-like maps we then show that periodic points are not the only obstruction for linearization. In so doing, we provide the first known examples in the dynamics of polynomials over C-p where the boundary of the linearization disk does not contain any periodic point. (C) 2013 Elsevier Inc. All rights reserved.</t>
  </si>
  <si>
    <t>0001-8708</t>
  </si>
  <si>
    <t>1090-2082</t>
  </si>
  <si>
    <t>NOV 25</t>
  </si>
  <si>
    <t>10.1016/j.aim.2013.07.020</t>
  </si>
  <si>
    <t>WOS:000325739900025</t>
  </si>
  <si>
    <t>An L1 ergodic theorem with values in a non-positively curved space via a canonical barycenter map</t>
  </si>
  <si>
    <t>ERGODIC THEORY AND DYNAMICAL SYSTEMS</t>
  </si>
  <si>
    <t>We give a general version of the Birkhoff ergodic theorem for functions taking values in non-positively curved spaces. In this setting, the notion of a Birkhoff sum is replaced by that of a barycenter along the orbits. The construction of an appropriate barycenter map is the core of this note. As a byproduct of our construction, we prove a fixed point theorem for actions by isometries on a Buseman space.</t>
  </si>
  <si>
    <t>0143-3857</t>
  </si>
  <si>
    <t>10.1017/S0143385711001015</t>
  </si>
  <si>
    <t>WOS:000315869200014</t>
  </si>
  <si>
    <t>Cifuentes, G; Simpson, J; Vargas, C</t>
  </si>
  <si>
    <t>Wang, S; Dutrizac, JE; Free, ML; Hwang, JY; Kim, D</t>
  </si>
  <si>
    <t>Cifuentes, Gerardo; Simpson, Jaime; Vargas, Cristian</t>
  </si>
  <si>
    <t>NEW PROCESS FOR THE PRECIPITATION OF Sb AND Bi FROM COPPER ELECTROLYTES WITH PbO2</t>
  </si>
  <si>
    <t>T.T. CHEN HONORARY SYMPOSIUM ON HYDROMETALLURGY, ELECTROMETALLURGY AND MATERIALS CHARACTERIZATION</t>
  </si>
  <si>
    <t>T T Chen Honorary Symposium on Hydrometallurgy, Electrometallurgy and Materials Characterization held during the 141st TMS Annual Meeting and Exhibition</t>
  </si>
  <si>
    <t>MAR 11-15, 2012</t>
  </si>
  <si>
    <t>Minerals, Met &amp; Mat Soc,, Orlando, FL</t>
  </si>
  <si>
    <t>Minerals, Met &amp; Mat Soc, Extract &amp; Proc Divi, Mat Characterizat Comm,Hydrometallurgy &amp; Electrometallurgy Comm</t>
  </si>
  <si>
    <t>Minerals, Met &amp; Mat Soc,</t>
  </si>
  <si>
    <t>This paper presents a new process for the precipitation of Sb and Bi present in copper refinery electrolytes in the presence of PbO2 (Chilean Patent No. 45,037). To establish the conditions under which the precipitating compounds form, it was necessary to evaluate the amount of PbO2 consumed, antimony extraction efficiency, precipitate stability, reaction kinetics, diffraction analysis and X-ray fluorescence, separation of size, plus observation of the precipitates in the electron microscope. Preliminary tests were carried with synthetic copper refinery electrolyte, and then the final testing was done with electrolytes from Chilean refineries. This process provides a real alternative for the treatment of copper refinery electrolytes for the control of Sb and Bi in solution; it is very simple to operate and is low cost compared with competing processes.</t>
  </si>
  <si>
    <t>Cifuentes, Gerardo/AAS-2148-2021</t>
  </si>
  <si>
    <t>Cifuentes, Gerardo/0000-0002-9543-1625; Vargas, Cristian/0000-0002-7360-6201</t>
  </si>
  <si>
    <t>978-1-11829-123-8</t>
  </si>
  <si>
    <t>WOS:000327405100010</t>
  </si>
  <si>
    <t>The sensory modality used for learning affects grades</t>
  </si>
  <si>
    <t>Ramirez BU. The sensory modality used for learning affects grades. Adv Physiol Educ 35: 270-274, 2011; doi:10.1152/advan.00010.2011.-Second-year undergraduated students from 2008, 2009, and 2010 cohorts were asked to respond a questionnaire to determine their learning style preferences, the VARK questionnaire (where V is visual, A is aural, R is reading-writing, and K is kinesthetic), which was translated into Spanish by the author. The translated questionnaire was tested for wording comprehension before its application in the actual study. Using the results of the VARK questionnaire, students were classified as unimodal or multimodal and according to the first preferred sensory modality used for learning as V, A, R, or K learners. Multiple-choice questions (MCQs) and problems that required simple arithmetic calculations (arithmetic-type questions) were applied to the students. The relation between the main sensory modality used for learning and the grades obtained in each question type was analyzed both in unimodal and multimodal students. It was found that R unimodal students performed significantly better in arithmetic questions than A and K unimodal students (P &lt; 0.001 by a Bonferroni multiple-comparison test after ANOVA). R unimodal students also performed better than R multimodal students in arithmetic questions (P = 0.02 by a Mann-Whitney U-test). However, no differences were observed after MCQs in either unimodal or multimodal students with different first sensory modalities used for learning. When MCQ scores between unimodal and multimodal students were compared, no differences were detected. It was concluded that the sensory learning style used for learning affects student outcome when students receive arithmetic questions but not when MCQs are applied.</t>
  </si>
  <si>
    <t>1522-1229</t>
  </si>
  <si>
    <t>10.1152/advan.00010.2011</t>
  </si>
  <si>
    <t>WOS:000294770000007</t>
  </si>
  <si>
    <t>Lizama, C; Ponce, R</t>
  </si>
  <si>
    <t>Lizama, Carlos; Ponce, Rodrigo</t>
  </si>
  <si>
    <t>Periodic solutions of degenerate differential equations in vector-valued function spaces</t>
  </si>
  <si>
    <t>STUDIA MATHEMATICA</t>
  </si>
  <si>
    <t>Let A and M be closed linear operators defined on a complex Banach space X. Using operator-valued Fourier multiplier theorems, we obtain necessary and sufficient conditions for the existence and uniqueness of periodic solutions to the equation d/dt (Mu(t)) = Au(t) + f(t), in terms of either boundedness or R-boundedness of the modified resolvent operator determined by the equation. Our results are obtained in the scales of periodic Besov and periodic Lebesgue vector-valued spaces.</t>
  </si>
  <si>
    <t>Lizama, Carlos/0000-0002-9807-1100; Ponce, Rodrigo/0000-0002-1337-8083</t>
  </si>
  <si>
    <t>0039-3223</t>
  </si>
  <si>
    <t>1730-6337</t>
  </si>
  <si>
    <t>10.4064/sm202-1-3</t>
  </si>
  <si>
    <t>WOS:000290642900003</t>
  </si>
  <si>
    <t>Herceg, JS</t>
  </si>
  <si>
    <t>Santos Herceg, Jose</t>
  </si>
  <si>
    <t>Hegel's reception in the Latinamerican thought. About conception of Philosophy</t>
  </si>
  <si>
    <t>REVISTA DE HISPANISMO FILOSOFICO</t>
  </si>
  <si>
    <t>This paper aims to examinate the critical Reception of Hegels conception of Philosophy in Latinamerica. To developed their own conceptions of Philosophy the Latinamerican Philosophers started from Hegel, but this Reception of the German Philosoph is not simply pasiv, because they deeply criticize his ideas. In this Paper we atempt to analyse some Ideas where this Relation takes place: the Object, the Moment, the Startpoint, the Subject and the History of Philosophy.</t>
  </si>
  <si>
    <t>1136-8071</t>
  </si>
  <si>
    <t>WOS:000285815600005</t>
  </si>
  <si>
    <t>THE FIELD, THE MALL AND THE CITY</t>
  </si>
  <si>
    <t>KRITERION-REVISTA DE FILOSOFIA</t>
  </si>
  <si>
    <t>0100-512X</t>
  </si>
  <si>
    <t>10.1590/S0100-512X2010000100013</t>
  </si>
  <si>
    <t>WOS:000280267200013</t>
  </si>
  <si>
    <t>Henríquez, L; Bubnovich, V; Cubillos, F</t>
  </si>
  <si>
    <t>Klemes, JJ; Lam, HL; Varbanov, PS</t>
  </si>
  <si>
    <t>Henriquez, Luis; Bubnovich, Valeri; Cubillos, Francisco</t>
  </si>
  <si>
    <t>Dynamic Optimization of Porous Media Combustor through Flame Positioning</t>
  </si>
  <si>
    <t>PRES 2010: 13TH INTERNATIONAL CONFERENCE ON PROCESS INTEGRATION, MODELLING AND OPTIMISATION FOR ENERGY SAVING AND POLLUTION REDUCTION</t>
  </si>
  <si>
    <t>13th Conference on Process Integration, Modelling and Optimisation for Energy Saving and Pollution Reduction</t>
  </si>
  <si>
    <t>AUG 28-SEP 01, 2010</t>
  </si>
  <si>
    <t>Prague, CZECH REPUBLIC</t>
  </si>
  <si>
    <t>AIDIC</t>
  </si>
  <si>
    <t>In this work we study the dynamic optimization of the burner power by positioning of the combustion front in a uniform porous media combustor by using a model predictive control (MPC) scheme. In this approach the combustion front, and indirectly the power burner, can be fixed to a desired value by changing the velocity of the combustion wave by the manipulation of the operational variables: filtration velocity and composition of the gas mixture. The study was carried out by means of simulations considering an experimental filtration combustion (FC) burner (CH4/air mixtures) manipulating the gas filtration velocity and fuel equivalence ratio. Controlled variable was the flame position along the burner and the power firing rate. The MPC control strategy was a receding horizon control scheme. A second order (under damped) model was used to describe the combustion wave dynamics. Several test for set point tracking scheme, and periodically reversible operation were conducted. Results showed excellent stability, fast response and zero offset.</t>
  </si>
  <si>
    <t>1974-9791</t>
  </si>
  <si>
    <t>978-88-95608-05-1</t>
  </si>
  <si>
    <t>10.3303/CET1021161</t>
  </si>
  <si>
    <t>WOS:000286978600161</t>
  </si>
  <si>
    <t>Moraga, NO; Sánchez, GC; Riquelme, JA</t>
  </si>
  <si>
    <t>Moraga, Nelson O.; Sanchez, Guillermo C.; Riquelme, Jose A.</t>
  </si>
  <si>
    <t>UNSTEADY MIXED CONVECTION IN A VENTED ENCLOSURE PARTIALLY FILLED WITH TWO NON-DARCIAN POROUS LAYERS</t>
  </si>
  <si>
    <t>Mixed convection in a ventilated rectangular cavity with a horizontal strip occupied by two media of different permeability is studied by using the finite-volume method. The effect of the parameters that govern the problem, the Reynolds number (200-500), the Richardson number (0.1-10), the Darcy number (1.E-6-1.E-2), permeability ratio (0.01-100), aspect ratio of the cavity (1-1.5), and direction of flow with or against gravity, is investigated. From the numerical results, the influence of Darcy and Reynolds numbers on the fluid mechanics can be inferred. When the cold fluid flow is descending, the fluid-porous medium heat transfer increases because the hotter fluid is located in the upper zones of the cavity. As the aspect ratio (height/width) increases from 0.67 to 1.5, both the Nusselt number (7.5 &lt; Nu &lt; 27) and the friction coefficient increase. The friction coefficient on the walls is greater when Re = 500 and Ri = 10 in the two directions of flow. As the Darcy number increases, the velocity gradients increase near the walls, causing an increase of the friction coefficient (0 &lt; Cf Re &lt; 47).</t>
  </si>
  <si>
    <t>10.1080/10407781003659391</t>
  </si>
  <si>
    <t>WOS:000276413900002</t>
  </si>
  <si>
    <t>Guzmán, AM; Cárdenas, MJ; Urzúa, FA; Araya, PE</t>
  </si>
  <si>
    <t>Guzman, Amador M.; Cardenas, Maria J.; Urzua, Felipe A.; Araya, Pablo E.</t>
  </si>
  <si>
    <t>Heat transfer enhancement by flow bifurcations in asymmetric wavy wall channels</t>
  </si>
  <si>
    <t>INTERNATIONAL JOURNAL OF HEAT AND MASS TRANSFER</t>
  </si>
  <si>
    <t>The enhancement characteristics of heat transfer, through a transition scenario of flow bifurcations, in asymmetric wavy wall channels, are investigated by direct numerical simulations of the mass, momentum and energy equations, using the spectral element method. The heat transfer characteristics, flow bifurcation and transition scenarios are determined by increasing the Reynolds numbers for three geometrical aspect ratios r = 0.25, 0.375, and 0.5, and Prandtl numbers 1.0 and 9.4. The transition scenarios to transitional flow regimes depend on the aspect ratio. For the aspect ratios r = 0.25 and 0.5, the transition scenario is characterized by one Hopf flow bifurcation. For the aspect ratio r = 0.375, the transition scenario is characterized by a first Hopf flow bifurcation from a laminar to a periodic flow. and a second Hopf flow bifurcation from a periodic to quasi-periodic flow. The periodic and quasi-periodic flows are characterized by fundamental frequencies omega(1), and omega(2), respectively. For all the aspect ratios and Prandtl numbers, the time-average mean Nusselt number and heat transfer enhancement increases with the Reynolds number as the flow evolves from a laminar to a transitional regime. For both Prandtl numbers, the highest increase in the Nusselt number occurs for the aspect ratio r = 0.5: whereas, the lowest increases happen to r = 0.25. The increase of the Nusselt number occurs at the expense of a higher pumping power, which, for both Prandtl numbers, grows as the aspect ratio increases from r = 0.25 to r = 0.5 for reaching a specific Nusselt number. This enhancement is obtained without the necessity of high volumetric flow rates associated with turbulent flow regimes, which demand much higher pumping powers. Significant heat transfer enhancements are obtained when the asymmetric wavy channel is operated in the appropriate transitional Reynolds number range. (C) 2009 Elsevier Ltd. All rights reserved.</t>
  </si>
  <si>
    <t>0017-9310</t>
  </si>
  <si>
    <t>1879-2189</t>
  </si>
  <si>
    <t>10.1016/j.ijheatmasstransfer.2009.02.026</t>
  </si>
  <si>
    <t>WOS:000267173600038</t>
  </si>
  <si>
    <t>Calderón, IL; Elías, AO; Fuentes, EL; Pradenas, GA; Castro, ME; Arenas, FA; Pérez, JM; Vásquez, CC</t>
  </si>
  <si>
    <t>Calderon, Ivan L.; Elias, Alex O.; Fuentes, Eugenia L.; Pradenas, Gonzalo A.; Castro, Miguel E.; Arenas, Felipe A.; Perez, Jose M.; Vasquez, Claudio C.</t>
  </si>
  <si>
    <t>Tellurite-mediated disabling of [4Fe-4S] clusters of Escherichia coli dehydratases</t>
  </si>
  <si>
    <t>MICROBIOLOGY-SGM</t>
  </si>
  <si>
    <t>The tellurium oxyanion tellurite is toxic for most organisms and it seems to alter a number of intracellular targets. In this work the toxic effects of tellurite upon Escherichia coli [4Fe-4S] cluster-containing dehydratases was studied. Reactive oxygen species (ROS)-sensitive fumarase A (FumA) and aconitase B (AcnB) as well as ROS-resistant fumarase C (FumC) and aconitase A (AcnA) were assayed in cell-free extracts from tellurite-exposed cells in both the presence and absence of oxygen. While over 90% of FumA and AcnB activities were lost in the presence of oxygen, no enzyme inactivation was observed in anaerobiosis. This result was not dependent upon protein biosynthesis, as determined using translation-arrested cells. Enzyme activity of purified FumA and AcnB was inhibited when exposed to an in vitro superoxide-generating, tellurite-reducing system (ITRS). No inhibitory effect was observed when tellurite was omitted from the ITRS. In vivo and in vitro reconstitution experiments with tellurite-damaged FumA and AcnB suggested that tellurite effects involve [Fe-S] cluster disabling. In fact, after exposing FumA to ITRS, released ferrous ion from the enzyme was demonstrated by spectroscopic analysis using the specific Fe2+ chelator 2,2'-bipyridyl. Subsequent spectroscopic paramagnetic resonance analysis of FumA exposed to ITRS showed the characteristic signal of an oxidatively inactivated [3Fe-4S](+) cluster. These results suggest that tellurite inactivates enzymes of this kind via a superoxide-dependent disabling of their [4Fe-4S] catalytic clusters.</t>
  </si>
  <si>
    <t>Calderón, Iván/HJP-5156-2023; Perez-Donoso, Jose/G-3668-2013</t>
  </si>
  <si>
    <t>Perez-Donoso, Jose/0000-0002-9506-1716</t>
  </si>
  <si>
    <t>1350-0872</t>
  </si>
  <si>
    <t>10.1099/mic.0.026260-0</t>
  </si>
  <si>
    <t>WOS:000267255200009</t>
  </si>
  <si>
    <t>Olivares, IE</t>
  </si>
  <si>
    <t>Duarte, FJ</t>
  </si>
  <si>
    <t>Olivares, I. E.</t>
  </si>
  <si>
    <t>Lithium Spectroscopy Using Tunable Diode Lasers</t>
  </si>
  <si>
    <t>TUNABLE LASER APPLICATIONS, SECOND EDITION</t>
  </si>
  <si>
    <t>Optical Science and Engineering-CRC</t>
  </si>
  <si>
    <t>978-1-4200-6009-6</t>
  </si>
  <si>
    <t>WOS:000267233800011</t>
  </si>
  <si>
    <t>Pizarro, Ana</t>
  </si>
  <si>
    <t>CARMEN MIRANDA AND THE ESTHETICS OF EXCESS</t>
  </si>
  <si>
    <t>In this paper I analyze the novel Las noches de Carmen Miranda (2002) by the Chilean writer Lucia Guerra as part of the imaginary on Brazilian actress Carmen Miranda (19091955). As a Latin-American icon of international mass culture, Carmen Miranda develops an esthetics of excess that is recognizable in its over elaborated tropical style. Lucia Guerra's text incorporates kitsch as a theme, but fails to do the same with the sensibility of a personage that is complex from the point of view both of the historical context and esthetics.</t>
  </si>
  <si>
    <t>WOS:000272212500002</t>
  </si>
  <si>
    <t>Parra, NQ; Kirberg, AW; Araya, YO; Lorca, JA; Wettig, LR; Penna, JP</t>
  </si>
  <si>
    <t>Quintero Parra, N.; Wurgaft Kirberg, A.; Orellana Araya, Y.; Arellano Lorca, J.; Rojas Wettig, L.; Pefaur Penna, J.</t>
  </si>
  <si>
    <t>Haemodialysis management for salicylate intoxication</t>
  </si>
  <si>
    <t>NEFROLOGIA</t>
  </si>
  <si>
    <t>0211-6995</t>
  </si>
  <si>
    <t>1989-2284</t>
  </si>
  <si>
    <t>WOS:000265188200023</t>
  </si>
  <si>
    <t>Urzúa, A; Sotes, GJ</t>
  </si>
  <si>
    <t>Urzua, Alejandro; Sotes, Gaston J.</t>
  </si>
  <si>
    <t>Essential oil composition of Aristolochia chilensis a host plant of Battus polydamas</t>
  </si>
  <si>
    <t>In this communication we report the essential oil composition of Aristolochia chilensis Bridges ex Lindl. fresh leaves. This species is one of the larval food-plants of Battus polydamas Boisd., the only butterfly of the family Papilionidae (Lepidoptera) occurring in Chile. In order to determine possible chemical similarities among several of its host species distributed throughout the continent, we compared these results with data obtained from literature on the composition of other representative Aristolochia species occurring in Argentina, Paraguay, and Brazil. Instead of the expected, it was found that the essential oil of each species considered in this work exhibits a particular characteristic profile.</t>
  </si>
  <si>
    <t>WOS:000254056500007</t>
  </si>
  <si>
    <t>Poblete, V</t>
  </si>
  <si>
    <t>Poblete, Veronica</t>
  </si>
  <si>
    <t>Solutions of second-order integro-differential equations on periodic Besov spaces</t>
  </si>
  <si>
    <t>PROCEEDINGS OF THE EDINBURGH MATHEMATICAL SOCIETY</t>
  </si>
  <si>
    <t>Maximal regularity for an integro-differential equation with infinite delay on periodic vector-valued Besov spaces is studied. We use Fourier multipliers techniques to characterize periodic solutions solely in terms of spectral properties on the data. We study a resonance case obtaining a compatibility condition which is necessary and sufficient for the existence of periodic solutions.</t>
  </si>
  <si>
    <t>Poblete, Veronica/D-8810-2015</t>
  </si>
  <si>
    <t>0013-0915</t>
  </si>
  <si>
    <t>10.1017/S0013091505001057</t>
  </si>
  <si>
    <t>WOS:000247901400013</t>
  </si>
  <si>
    <t>Matsuhiro, B; Torres, SE; Guerrero, J</t>
  </si>
  <si>
    <t>Matsuhiro, Betty; Torres, Simonet E.; Guerrero, Juan</t>
  </si>
  <si>
    <t>Block structure in alginic acid from Lessonia vadosa (laminariales, phaeophyta)</t>
  </si>
  <si>
    <t>Alkaline extraction of Lessonia vadosa blades collected in Fuerte Bulnes (southern Chile) afforded sodium alginate in 14.5% yield. Partial acid hydrolysis of the sodium alginate gave three fractions which were characterised by one- and two-dimensional nuclear magnetic resonance techniques. Fraction 1 (17.8 % yield) showed to be mainly composed of alternate heteropolymeric block (MG) and in minor proportions of polymannuronic sequences. Analysis of C-13 NMR and 2D HSQC spectra indicated that Fraction 2 (64.5% yield) is a polymannuronic enriched fraction. The minor amount of guluronic acid residues in this fraction showed by 2D H-1/H-1 NOESY NMR spectrum to be present in a 1 -&gt; 4 homopolyguluronic sequence; moreover, the interresidue correlation data indicated that MG blocks were not present. Results are in agreement with data obtained by FT-IR spectroscopy in the solid state. Full assignments of H-1 and C-13 signals in the NMR spectra indicated that Fraction 3 (17.7%) presented a regular homopolyguluronic block structure.</t>
  </si>
  <si>
    <t>WOS:000244696800008</t>
  </si>
  <si>
    <t>Pérez, JM; Calderón, IL; Arenas, FA; Fuentes, DE; Pradenas, GA; Fuentes, EL; Sandoval, JM; Castro, ME; Elías, AO; Vásquez, CC</t>
  </si>
  <si>
    <t>Perez, Jose M.; Calderon, Ivan L.; Arenas, Felipe A.; Fuentes, Derie E.; Pradenas, Gonzalo A.; Fuentes, Eugenia L.; Sandoval, Juan M.; Castro, Miguel E.; Elias, Alex O.; Vasquez, Claudio C.</t>
  </si>
  <si>
    <t>Bacterial Toxicity of Potassium Tellurite: Unveiling an Ancient Enigma</t>
  </si>
  <si>
    <t>Biochemical, genetic, enzymatic and molecular approaches were used to demonstrate, for the first time, that tellurite (TeO32-) toxicity in E. coli involves superoxide formation. This radical is derived, at least in part, from enzymatic TeO32- reduction. This conclusion is supported by the following observations made in K2TeO3-treated E. coli BW25113: i) induction of the ibpA gene encoding for the small heat shock protein IbpA, which has been associated with resistance to superoxide, ii) increase of cytoplasmic reactive oxygen species (ROS) as determined with ROS-specific probe 2'7'-dichlorodihydrofluorescein diacetate (H(2)DCFDA), iii) increase of carbonyl content in cellular proteins, iv) increase in the generation of thiobarbituric acid-reactive substances (TBARs), v) inactivation of oxidative stress-sensitive [Fe-S] enzymes such as aconitase, vi) increase of superoxide dismutase (SOD) activity, vii) increase of sodA, sodB and soxS mRNA transcription, and viii) generation of superoxide radical during in vitro enzymatic reduction of potassium tellurite.</t>
  </si>
  <si>
    <t>Fuentes, Derie/GLS-8773-2022; Calderón, Iván/HJP-5156-2023; Perez-Donoso, Jose/G-3668-2013</t>
  </si>
  <si>
    <t>Fuentes, Derie/0000-0002-8189-8515; Perez-Donoso, Jose/0000-0002-9506-1716</t>
  </si>
  <si>
    <t>FEB 14</t>
  </si>
  <si>
    <t>e211</t>
  </si>
  <si>
    <t>10.1371/journal.pone.0000211</t>
  </si>
  <si>
    <t>WOS:000207444400012</t>
  </si>
  <si>
    <t>Osorio, FA; Bilbao, E; Bustos, R; Alvarez, F</t>
  </si>
  <si>
    <t>Osorio, Fernando A.; Bilbao, Elizabeth; Bustos, Ruben; Alvarez, Fresia</t>
  </si>
  <si>
    <t>Effects of concentration, bloom degree, and pH on gelatin melting and gelling temperatures using small amplitude oscillatory rheology</t>
  </si>
  <si>
    <t>INTERNATIONAL JOURNAL OF FOOD PROPERTIES</t>
  </si>
  <si>
    <t>Concentration, gel strength (Bloom), and pH effects on both melting and gelling temperatures of gelatin were studied using small amplitude oscillatory rheology. Temperature sweeps were applied to gelatin gel samples for heating and cooling at fixed frequencies. Results showed that melting temperatures were higher than gelling temperatures, and both increased with increasing concentration at pH from 3 to 6 for all gel strength. For constant gelatin concentration and pH, as gel strength increased, melting temperatures decreased, whereas gelling temperatures increased. A mathematical model was obtained which correlates melting and gelling temperatures, respectively, with pH and concentration at fixed Bloom degrees. All gelatin gels showed storage modulus higher (2 to 10 kPa) than loss modulus (50 to 500 Pa).</t>
  </si>
  <si>
    <t>Bustos, Ruben/AAM-2029-2020; osorio, fernando/AAY-7304-2021</t>
  </si>
  <si>
    <t>Bustos, Ruben/0000-0003-0183-0324; osorio, fernando/0000-0001-7206-0924</t>
  </si>
  <si>
    <t>1094-2912</t>
  </si>
  <si>
    <t>10.1080/10942910601128895</t>
  </si>
  <si>
    <t>WOS:000251080700011</t>
  </si>
  <si>
    <t>Reyes, A; Moyano, P; Paz, J</t>
  </si>
  <si>
    <t>Reyes, A.; Moyano, P.; Paz, J.</t>
  </si>
  <si>
    <t>Drying of potato slices in a pulsed fluidized bed</t>
  </si>
  <si>
    <t>9th International Conference on Process Integration, Modelling and Optimization for Energy Saving and Pollution Reduction</t>
  </si>
  <si>
    <t>AUG 27-31, 2006</t>
  </si>
  <si>
    <t>This article presents experimental and modeled drying kinetics of potato slices of the Desiree variety (9 X 9 X 3 mm(3)) in a pulsed fluid bed as a function of the air velocity, air temperature, and rotating disk velocity of the pulse generator. A statistical multifactor experimental design (2(3)) was applied to analyze the drying process with two levels each of drying temperature, air velocity, and rotating disk velocity. The results showed that the significant factors were air temperature, air velocity, rotating disk velocity, and the binary interactions of air velocity with both the temperature and the rotating disk velocity. The simplified variable diffusivity model (SVDM) gave the least deviation for the experimental data. The effective diffusivity values determined in this work are similar to those reported in the literature.</t>
  </si>
  <si>
    <t>4-6</t>
  </si>
  <si>
    <t>10.1080/07373930701227011</t>
  </si>
  <si>
    <t>WOS:000247677200009</t>
  </si>
  <si>
    <t>Pino, E; Campos, AM; López-Alarcon, C; Aspée, A; Lissi, E</t>
  </si>
  <si>
    <t>Pino, Eduardo; Campos, Ana M.; Lopez-Alarcon, Camilo; Aspee, Alexis; Lissi, Eduardo</t>
  </si>
  <si>
    <t>Free radical scavenging capacity of hydroxycinnamic acids and related compounds</t>
  </si>
  <si>
    <t>8th Latin American Conference on Physical Organic Chemistry (CLAFQO-8)</t>
  </si>
  <si>
    <t>OCT 09-14, 2005</t>
  </si>
  <si>
    <t>The capacity of hydroxycinnamic acid derivatives to trap peroxyl radicals was evaluated by competitive kinetics and oxygen radical absorbance capacity (ORAC) indexes, using c-phycocyanin and pyranine as target molecules. The pattern of results is similar in all the systems, with the reactivity of the compound determined by the bond dissociation energy (BDE) of the hydrogen atom of the phenolic moiety. However, differences in the relative reactivity are observed depending upon the employed methodology (initial rate of consumption or ORAC-type methodology) and target molecule employed. These differences are explained in terms of the role played by secondary reactions of the initially formed phenoxyl radicals. This emphasizes the need for performing a complete kinetic analysis of the results in order to obtain meaningful evaluations of the relative reactivity of the tested compounds. Copyright (c) 2006 John Wiley &amp; Sons, Ltd.</t>
  </si>
  <si>
    <t>Lopez, Camilo/J-5770-2013</t>
  </si>
  <si>
    <t>Pino, Eduardo Francisco/0000-0002-7851-3952; Lopez, Camilo/0000-0002-0174-8972</t>
  </si>
  <si>
    <t>10.1002/poc.1071</t>
  </si>
  <si>
    <t>WOS:000245333500011</t>
  </si>
  <si>
    <t>Tirapegui, C; Jara, F; Guerrero, J; Rezende, MC</t>
  </si>
  <si>
    <t>Tirapegui, Cristian; Jara, Francisco; Guerrero, Juan; Rezende, Marcos Caroli</t>
  </si>
  <si>
    <t>Host-guest interactions in cycloclextrin inclusion complexes with solvatochromic clyes</t>
  </si>
  <si>
    <t>Host-guest interactions of alpha-, beta-, and gamma-cyclodextrin with three solvatochromic dyes derived from barbituric and Meldrum's acids, 5-(4-NN-dimethylaminobenzylidene)-1,3-dimethyl-2,4,6(1H,3H,5H)-pyrimidinetrione (1), 5-[bis(4-NN-dimethylaminophenyl)methylene]-1,3-dimethyl-2,4,6(1H,3H,5H)-pyrimidinetrione (2), and 5-(4-NN-dimethylaminobenzylidene)-2,2-dimethyl-1,3-dioxane-4,6-dione (3), were studied by UV-visible and H-1-NMR spectroscopic methods, and the obtained results compared with molecular dynamics simulations employing the linear interaction energy (LIE) protocol. Copyright (c) 2006 John Wiley &amp; Sons, Ltd.</t>
  </si>
  <si>
    <t>Tirapegui, Cristian/U-3748-2018</t>
  </si>
  <si>
    <t>Tirapegui, Cristian/0000-0002-2895-3204; Rezende, Marcos/0000-0003-2040-9009</t>
  </si>
  <si>
    <t>10.1002/poc.1080</t>
  </si>
  <si>
    <t>WOS:000245333500016</t>
  </si>
  <si>
    <t>Castro-Rodríguez, JA</t>
  </si>
  <si>
    <t>Castro-Rodriguez, Jose A.</t>
  </si>
  <si>
    <t>Assessing the risk of asthma in infants and pre-school children</t>
  </si>
  <si>
    <t>ARCHIVOS DE BRONCONEUMOLOGIA</t>
  </si>
  <si>
    <t>Childhood asthma is a heterogeneous inflammatory disease with several wheezing phenotypes (transient, atopic, nonatopic, and obese) and various clinical expressions of multifactorial origin. All forms, however, follow a similar course characterized by recurrent episodes of airway obstruction. Studies have shown that the onset of disease occurs early in life for the great majority of asthmatics, that airway inflammation and remodeling, are present in schoolchildren with asthma, and that even infants with persistent wheezing present airway inflammation. The difficulty lies in the early identification of infants with recurrent wheezing who are at risk of suffering persistent asthma later in life. The Asthma Predictive Index, a simple tool validated in a longitudinal study, has been suggested for early identification of infants with recurrent wheezing who are at risk of developing asthma and whose lung function has undergone major irreversible damage during the first years of life.</t>
  </si>
  <si>
    <t>Castro-Rodriguez, Jose/ABA-2760-2021</t>
  </si>
  <si>
    <t>Castro-Rodriguez, Jose A./0000-0002-0708-4281</t>
  </si>
  <si>
    <t>0300-2896</t>
  </si>
  <si>
    <t>1579-2129</t>
  </si>
  <si>
    <t>10.1016/S1579-2129(06)60568-5</t>
  </si>
  <si>
    <t>WOS:000240794300007</t>
  </si>
  <si>
    <t>Maximal regularity of delay equations in Banach spaces</t>
  </si>
  <si>
    <t>We characterize existence and uniqueness of solutions for an inhomogeneous abstract delay equation in Holder spaces. The main tool is the theory of operator-valued Fourier multipliers.</t>
  </si>
  <si>
    <t>10.4064/sm175-1-6</t>
  </si>
  <si>
    <t>WOS:000240691500006</t>
  </si>
  <si>
    <t>Stepanova, M; Antonova, EE; Bosqued, JM</t>
  </si>
  <si>
    <t>Shay, M; Wiltberger, M; Lester, M; Liu, W</t>
  </si>
  <si>
    <t>Stepanova, M.; Antonova, E. E.; Bosqued, J. -M.</t>
  </si>
  <si>
    <t>Study of plasma pressure distribution in the inner magnetosphere using low-altitude satellites and its importance for the large-scale magnetospheric dynamics</t>
  </si>
  <si>
    <t>MAGNETOSPHERIC DYNAMICS AND THE INTERNATIONAL LIVING WITH A STAR PROGRAM</t>
  </si>
  <si>
    <t>ADVANCES IN SPACE RESEARCH-SERIES</t>
  </si>
  <si>
    <t>35th COSPAR Scientific Assembly</t>
  </si>
  <si>
    <t>JUL 18-25, 2004</t>
  </si>
  <si>
    <t>Paris, FRANCE</t>
  </si>
  <si>
    <t>Comm Space Res</t>
  </si>
  <si>
    <t>Plasma pressure distribution in the inner magnetosphere is one of the key parameters for understanding main processes of the magnetospheric dynamics including geomagnetic substroms. However, the pressure profiles obtained from in situ measurements by the high-altitude satellites do not allow the tracking of the magnetospheric dynamics, because a time necessary to obtain these profiles (hours) generally exceeds the characteristic times of the main magnetospheric processes (minutes or less). On contrary, fast movement of low-altitude satellites makes it possible to obtain quasi-instantaneous profiles of plasma pressure along the satellite trajectory - radial or azimuthal, depending on the satellite orbit. Precipitating particle fluxes, measured by the low-altitude Aureol-3 satellite were used. Mapping into the equatorial plane and determination of a volume of the magnetic flux tube were made using the Tsyganenko 96 and 01 geomagnetic field models. Study of radial plasma gradients showed that the inner magnetosphere is stable for development of flute (interchange) instability. Modified interchange instability related to azimuthal plasma pressure gradients and field-aligned currents in equilibrium was proposed as a source of substorm expansion phase onset. It can develop when the density of the field-aligned current reaches a definite threshold value. The growth rate of the instability is higher in the region of upward field-aligned current, where the existing field-aligned potential drop leads to the magnetosphere-ionosphere decoupling. (c) 2006 Published by Elsevier Ltd on behalf of COSPAR.</t>
  </si>
  <si>
    <t>Antonova, Elizaveta/A-2716-2012; Stepanova, Marina/D-6329-2011</t>
  </si>
  <si>
    <t>Antonova, Elizaveta/0000-0001-6980-3993; Stepanova, Marina/0000-0002-1053-3375</t>
  </si>
  <si>
    <t>10.1016/j.asr.2006.05.013</t>
  </si>
  <si>
    <t>WOS:000245035000009</t>
  </si>
  <si>
    <t>Pedreschi, F; Moyano, P</t>
  </si>
  <si>
    <t>Effect of pre-drying on texture and oil uptake of potato chips</t>
  </si>
  <si>
    <t>The objective of this work was to determine the effect of the pre-drying treatment over the texture evolution and the oil uptake of blanched potato slices during frying. Prior to frying, potato slices (Panda variety, diameter: 37 mm, width: 2.2 mm) were blanched in hot water at 85 degrees C for 3.5 min. Blanched potato slices were used as the control. Some blanched slices were additionally air-dried until reaching moisture contents of similar to 60 g/100 g-wet basis-(slices blanched-dried). Either only blanched or blanched-dried potato slices were fried at 120, 150 and 180 degrees C until reaching final moisture contents of similar to 1.8 g/100 g (wet basis). The texture and oil content of the slices were measured periodically during frying. Normalized Maximum Force (MFn) was the parameter used to model the textural changes in the potato slices during frying in both the initial tissue softening process and the later crust development process. Both the frying temperature and the pre-drying treatment had a significant effect (P &gt; 0.05) over the final texture and oil content of the fried potato chips. When frying at 120 degrees C, potato chips were crispier and contained more oil than potato chips fried at 180 degrees C. Pre-drying dramatically decreased the oil absorption and significantly increased (P &gt; 0.05) the crispness of the blanched potato slices after frying. (c) 2004 Swiss Society of Food Science and Technology. Published by Elsevier Ltd. All rights reserved.</t>
  </si>
  <si>
    <t>10.1016/j.lwt.2004.08.008</t>
  </si>
  <si>
    <t>WOS:000228950000004</t>
  </si>
  <si>
    <t>Adsorption of dyes using peat:: Equilibrium and kinetic studies</t>
  </si>
  <si>
    <t>In recent years, adsorption has been accepted as one of the most appropriate processes for decolorization of wastewaters. This paper presents experimental results on application of peat for removal of structurally diverse dyes (azo, oxazine, triphenylmethane, thiazine and others) with emphasis on relevant factors such as the adsorbate-adsorbent chemical properties and chemical interaction as well as adsorption conditions. The equilibrium experimental results were fitted to Langmuir and Freundlich isotherms to obtain the characteristic parameters of each model. According to the evaluation using the Langmuir equation, the maximum sorption capacity of basic dyes at 22 degreesC was 667 (mg g(-1)) for Basic Blue 24, 526 (mg g(-1)) for Basic Green 4 and 714 (mg g(-1)) for Basic Violet 4. On the other hand for Acid Black 1 h was only 25 (mg g(-1)). Batch kinetics studies were undertaken and the data evaluated in compliance with chemical sorption mechanisms. For all of the systems studied the pseudo-second order model provided the best correlation of the kinetic experimental data. A film-pore double resistance diffusion model for mass transfer has also been used in this study to determine the effective diffusivity, D-eff, for the adsorption of basic dyes in to peat.</t>
  </si>
  <si>
    <t>10.1080/09593332508618390</t>
  </si>
  <si>
    <t>WOS:000224971800002</t>
  </si>
  <si>
    <t>Urzúa, A; Contreras, R; Jara, P; Avila, F; Suazo, M</t>
  </si>
  <si>
    <t>Comparative chemical composition of the trichome secreted exudates and of the waxy coating from Haplopappus velutinus, H. illinitus, H. shumanni and H. uncinatus</t>
  </si>
  <si>
    <t>10.1016/S0305-1978(03)00157-1</t>
  </si>
  <si>
    <t>WOS:000188704600012</t>
  </si>
  <si>
    <t>Labbé, R</t>
  </si>
  <si>
    <t>Descalzi, O; Martinez, J; Rica, S</t>
  </si>
  <si>
    <t>Global magnitude fluctuation phenomena</t>
  </si>
  <si>
    <t>INSTABILITIES AND NONEQUILIBRIUM STRUCTURES IX</t>
  </si>
  <si>
    <t>NONLINEAR PHENOMENA AND COMPLEX SYSTEMS</t>
  </si>
  <si>
    <t>9th International Workshop on Instabilities and Nonequilibrium Structures</t>
  </si>
  <si>
    <t>DEC, 2001</t>
  </si>
  <si>
    <t>Vina Del Mar, CHILE</t>
  </si>
  <si>
    <t>Univ Chile, Fac Cienias Fis &amp; Matemat,Univ Catolica Valpariso, Inst Fis,Univ Los Andes, Fac Ingenier,Acad Chilena Ciencias,Minist Francais Affaires Etrangeres,CONICYT,Univ Chile, Dept Tecnico Investigac &amp; Relaciones Int</t>
  </si>
  <si>
    <t>Global dynamics in many complex physical systems share a common feature: the fluctuations of some adequately defined global magnitude display non-Gaussian statistics, characterized by a non-symmetric probability density functions (pdf) having an exponential or even super-exponential tail. This behavior is believed to be originated by finite size effects along with correlation lengths comparable or larger than the system size. Here, we consider three very different systems: a confined turbulent flow, the 2D XY-model and an experimental realization of the Langevin's equation. Although in all of these systems we find the features previously mentioned, preliminary result of ongoing research show that some of the universality claims found in the current literature deserve a more detailed study.</t>
  </si>
  <si>
    <t>1-4020-1950-5</t>
  </si>
  <si>
    <t>WOS:000189476300012</t>
  </si>
  <si>
    <t>Ponce, HR</t>
  </si>
  <si>
    <t>The last days of a systems research centre: An empirical case study</t>
  </si>
  <si>
    <t>SYSTEMS RESEARCH AND BEHAVIORAL SCIENCE</t>
  </si>
  <si>
    <t>This paper presents an empirical case study in which the object of research was constituted by a small systems research centre within an English university. This research coincides with the 'last days' of this centre and it may help to understand why other systems centres have also declined. A series of observations were collected through participant observation and later analysed through examining the underlying linguistic structures that characterized the conversational interactions among members of the centre. As a result of such analysis, some research strategies are proposed on how the researcher could have supported the development of the centre by making precise interventions on its communication structure. It is also indicated how individual and collective emergence was prevented. Copyright (C) 2004 John Wiley Sons, Ltd.</t>
  </si>
  <si>
    <t>Ponce, Hector/H-9545-2019</t>
  </si>
  <si>
    <t>Ponce, Hector R./0000-0002-7984-3945</t>
  </si>
  <si>
    <t>1092-7026</t>
  </si>
  <si>
    <t>10.1002/sres.561</t>
  </si>
  <si>
    <t>WOS:000188497700005</t>
  </si>
  <si>
    <t>Palma, G; Oyarzún, R; Raff, U</t>
  </si>
  <si>
    <t>Generalization of the electrostatic potential function for an infinite charge distribution</t>
  </si>
  <si>
    <t>The asymptotic conditions needed to define the electrostatic potential due to an infinite charge distribution are studied in detail. It is shown that if the charge distribution decreases faster than the square of the distance when \r\ goes to infinity, the convolution integral defining the potential exists, goes to zero as \r\ goes to infinity, and therefore allows the calculation of the electric potential function at any point in space, even if the total charge is infinite. We illustrate the calculation of the electric potential with a simple example of a spherically symmetric infinite charge distribution. (C) 2003 American Association of Physics Teachers.</t>
  </si>
  <si>
    <t>10.1119/1.1574039</t>
  </si>
  <si>
    <t>WOS:000184278100018</t>
  </si>
  <si>
    <t>Cornejo, G; Ramírez, G; Villagrán, M; Costamagna, J; Trollund, E; Aguirre, MJ</t>
  </si>
  <si>
    <t>Electropolymerization and electrocatalytic behavior of electrodes modified with Fe and non-metalled tetraaminophenylporphyrins:: Effect of the position of the amino group on the ligand.</t>
  </si>
  <si>
    <t>Three monomeric iron and non-metalled tetraaminophenylporphyrins, with amino groups located in different positions of the phenyl substituents, were electropolymerized. These processes were carried out through continuous cycling of the potential on glassy carbon electrode surfaces. The aim of the work was to determine the effect of the amino groups' position on the properties of the modified-electrodes. Phenyl substituents of the porphyrins were not conjugated with the macrocycle. Therefore, their substituents were only expected to modify the electropolymerization and not the potential of the redox metallic couples on. the polymer. However, it was found that, when the complex is polymerized, the position of the amino groups greatly changes the potential of the iron couples. Thus, the electrocatalytic activity of the polymer-modified electrode toward the reduction of oxygen strongly depends on the position of amino substituents.</t>
  </si>
  <si>
    <t>Ramirez, Galo/0000-0002-6217-4730; Aguirre, Maria/0000-0003-1134-4469</t>
  </si>
  <si>
    <t>WOS:000182751800009</t>
  </si>
  <si>
    <t>Acuña, G; Cubillos, F; Molin, P; Ferret, E; Pérez-Correa, R</t>
  </si>
  <si>
    <t>Kraslawski, A; Turunen, I</t>
  </si>
  <si>
    <t>On-line estimation of bed water content and temperature in a SSC bioreactor using a modular neural network model</t>
  </si>
  <si>
    <t>EUROPEAN SYMPOSIUM ON COMPUTER AIDED PROCESS ENGINEERING - 13</t>
  </si>
  <si>
    <t>COMPUTER-AIDED CHEMICAL ENGINEERING</t>
  </si>
  <si>
    <t>13th European Symposium on Computer Aided Process Engineering (ESCAPE-13)</t>
  </si>
  <si>
    <t>JUN 01-04, 2003</t>
  </si>
  <si>
    <t>LAPPEENRANTA, FINLAND</t>
  </si>
  <si>
    <t>Lappeenranta Univ Technol</t>
  </si>
  <si>
    <t>A modular neural network model is developed in order to give on line estimations of bed water content and temperature in a SSC bioreactor. This grey box, predictive model gives accurate results for previous experiments carried out in the case of Gibberella fujikuroi SSC, and could be used for bioreactors on line monitoring.</t>
  </si>
  <si>
    <t>Perez-Correa, Jose/I-5565-2012</t>
  </si>
  <si>
    <t>CUBILLOS, FRANCISCO/0000-0001-7863-4394; Perez-Correa, Jose/0000-0002-1278-7782; Acuna Leiva, Gonzalo Pedro/0000-0002-0519-7792</t>
  </si>
  <si>
    <t>0-444-51368-X</t>
  </si>
  <si>
    <t>WOS:000183369400179</t>
  </si>
  <si>
    <t>Garin, JL; Mannheim, RL; Soto, MA</t>
  </si>
  <si>
    <t>Particle size and microstrain measurement in ADI alloys</t>
  </si>
  <si>
    <t>POWDER DIFFRACTION</t>
  </si>
  <si>
    <t>In this study we deal with the determination of crystallite-size distribution and microstrain measurement in austempered ductile irons (ADI) subjected to cold deformation, by means of x-ray diffraction line broadening. The deformation process imposed on the material yields the formation of microstrain and crystallite size domains within each grain, which are somehow related to the mechanical behavior of the alloy. Three series of samples were cold-worked from 2.5% to 20.0% of thickness reduction in order to determine the domain size and microstrain induced in the material, in terms of the original thickness of the castings and the percentage of cold work. The x-ray diffraction line-broadening effects were analyzed by means of the Warren-Averbach method, which allowed the separation of size and strain parameters. The particle size distribution resulted in an average column length in the range of 15.7-24.9 nm in the ferrite phase, while the austenite phase showed values varying between 13.4 and 36.3 nm. On the other side, the overall root mean square strain varied from 0.000 85 to 0.003 93 for ferrite and from 0.000 65 to 0.004 38 for austenite. In all of the studied cases the average column length decreased with increasing deformation, while the initial thickness of the cast samples did not show any clear correlation with increasing deformation. (C) 2002 International Centre for Diffraction Data.</t>
  </si>
  <si>
    <t>0885-7156</t>
  </si>
  <si>
    <t>1945-7413</t>
  </si>
  <si>
    <t>10.1154/1.1414012</t>
  </si>
  <si>
    <t>WOS:000176108300009</t>
  </si>
  <si>
    <t>A thermomechanical model with microstructure evolution for aluminium alloy casting processes</t>
  </si>
  <si>
    <t>INTERNATIONAL JOURNAL OF PLASTICITY</t>
  </si>
  <si>
    <t>A thermomechanical-microstructural model for the analysis of aluminium alloy solidification processes is presented. This model is defined in a finite strain thermoplasticity framework considering microstructure-based liquid-solid phase-change effects for the solidifying alloy. Temperatures, displacements and microstructure results predicted by the model are validated with laboratory measurements of a gravity casting in a permanent composite mould. (C) 2002 Elsevier Science Ltd. All rights reserved.</t>
  </si>
  <si>
    <t>0749-6419</t>
  </si>
  <si>
    <t>1879-2154</t>
  </si>
  <si>
    <t>PII S0749-6419(01)00075-4</t>
  </si>
  <si>
    <t>10.1016/S0749-6419(01)00075-4</t>
  </si>
  <si>
    <t>WOS:000178164600002</t>
  </si>
  <si>
    <t>Gamboa, J; Lepe, S; Vergara, L</t>
  </si>
  <si>
    <t>Off-shell effective Lagrangian for NRQCD and heavy quarks effective theory</t>
  </si>
  <si>
    <t>A derivation of the effective Lagrangian for non-relativistic quantum chromodynamics and the heavy quarks effective field theory is given. Our calculation provides a simple and systematic method of calculation of the full off-shell effective Lagrangian at tree level including all the 1/m corrections.</t>
  </si>
  <si>
    <t>Vergara, Lautaro/V-2736-2019; Gamboa, Jorge/R-8744-2019</t>
  </si>
  <si>
    <t>10.1142/S0217732301004583</t>
  </si>
  <si>
    <t>WOS:000171004700006</t>
  </si>
  <si>
    <t>Winkler, MI; Magaña, I; Wolff, X</t>
  </si>
  <si>
    <t>Women in the history of psychology:: authorships and paradoxes</t>
  </si>
  <si>
    <t>For the last few decades, the historical reconstruction of scientific developments has been an increasingly relevant topic of study. This paper presents partial results of a major research project dealing with students perceptions of power and gender influences on historical registries of psychology. This is a quantitative study, based on a survey applied to 484 psychology students (99 males, 385 females) from major Chilean universities. An ad hoc constructed survey (previously evaluated in a pilot study), consisting of two closed questions, two open questions, and 25 Likert type items, was applied. The obtained results are reported as frequencies, and percentages with chi-square analysis to gender related differences. In general, students considered that both history of psychology and women's contributions were matters of great importance (although they are not requiered courses in the psychology curriculum in Chile). However, when asked to remember important contributors to psychology, students were only able to mention male contributions; the large majority of women's contributions went unacknowledged. The student sample valued theoretical contributions as criteria to be included in the historical registry. In assessing gender related attributions for the absence of females in the historical record, the sample presented ambivalence and contradictory attributions.</t>
  </si>
  <si>
    <t>WOS:000168061800003</t>
  </si>
  <si>
    <t>Urzua, A; Modak, B; Villarroel, L; Torres, R; Andrade, L; Mendoza, L; Wilkens, M</t>
  </si>
  <si>
    <t>External flavonoids from Heliotropium megalanthum and H-huascoense (Boraginaceae).: Chemotaxonomic considerations</t>
  </si>
  <si>
    <t>From the CH,CI, washings of fresh Heliotropium spp. (Cochranea section), flavonoids and aromatic geranyl derivatives have been isolated. Among the flavonoids, flavanones and flavonols are the most common compounds, and only few flavones have been reported. In this communication we report the isolation of several flavonoids from the exudates of H, megalanthum, and H. huascoense. Two of the compounds isolated from H, huascoense are novel flavonoids, belonging to the uncommon groups of penta-O-substituted flavanones and hexa-O-substituted flavonols. Our results show a different external flavonoid composition of H. huascoense from the other Heliotropium spp. so far studied. They are supported by morphological considerations, in special, the presence or absence of glandular trichomes in Heliotropium spp.</t>
  </si>
  <si>
    <t>WOS:000086415500004</t>
  </si>
  <si>
    <t>Alvarez, PI; Blasco, R</t>
  </si>
  <si>
    <t>Pneumatic drying of meals: Application of the variable diffusivity model</t>
  </si>
  <si>
    <t>The superficial and bound moisture removal from soya meal was studied in a pneumatic dryer. The effect of external condition over the effective diffusivity in drying kinetics prediction has been demonstrated and a model that considers time variable diffusion coefficient was developed and correlated with gas temperature and velocities. A simple experimental technique using a pulse injection of humected solid was utilized to determine real drying kinetics under steady state operation with solids recycling. The model fitted the experimental data well over a gas temperature range between 100 degrees C and 300 degrees C and gas velocities of 3.5 m/s and 20 m/s.</t>
  </si>
  <si>
    <t>10.1080/07373939908917570</t>
  </si>
  <si>
    <t>WOS:000080188000009</t>
  </si>
  <si>
    <t>Cifuentes, G; Hernández, S; Navarro, P; Simpson, J; Reyes, C; Naranjo, A; Tapia, L; Correa, E; Cornejo, N; Abel, R</t>
  </si>
  <si>
    <t>Anodic slimes characteristics and behaviour in copper refining</t>
  </si>
  <si>
    <t>It is known that the cathode purity and the electrolyte treatment are affected by the solids present in the electrolyte. Anodic slimes properties (e.g., chemical composition, crystalline composition, sedimentation) were studied in copper electrorefining. These properties were modified through anodic composition and current density, in this investigation, we have worked with anode material from the Ventana Smelting, Hernan Videla Lira Smelting (ex - Paipote) of ENAMI (National Mining Company) and El Teniente Smelting of CODELCO-Chile (National Corporation of Copper of Chile). The characterization of the anodic slimes was done as a function of current density and anodic composition.</t>
  </si>
  <si>
    <t>WOS:000085714700027</t>
  </si>
  <si>
    <t>Lissi, E</t>
  </si>
  <si>
    <t>Autocatalytic oxidation of hemoglobin by nitrite: A possible mechanism</t>
  </si>
  <si>
    <t>FREE RADICAL BIOLOGY AND MEDICINE</t>
  </si>
  <si>
    <t>Oxidation of oxyhemoglobin by nitrite ions to produce methemoglobin is one of the mon employed procedures to oxidize the hemoprotein. The process takes place readily after a clear induction time. This behaviour is usually explained in terms of an autocatalytic reaction mechanism. However, the generally accepted mechanism is not autocatalytic and cannot explain the main features of the process. In the present work it is proposed that the characteristics of the process require the occurrence of a fast reaction between oxyhemoglobin and nitrogen dioxide. This process acts as a branching step, leading to the observed autocatalysis. (C) 1998 Elsevier Science Inc.</t>
  </si>
  <si>
    <t>0891-5849</t>
  </si>
  <si>
    <t>10.1016/S0891-5849(98)00004-5</t>
  </si>
  <si>
    <t>WOS:000074148900021</t>
  </si>
  <si>
    <t>UretaZanartu, S; Yanez, C</t>
  </si>
  <si>
    <t>Electroreduction of nitrate ion on Pt, Ir and on 70:30 Pt:Ir alloy</t>
  </si>
  <si>
    <t>The electro-reduction of nitrate ions in acid medium on Pt, Ir and on a 70:30 Pt, Ir alloy was studied by cyclic voltammetry. The alloy has a higher activity than the pure metals, which was interpreted as being due to bifunctional catalysis. Values for activation energies evaluated from the experimental data and Arrhenius plot are discussed. (C) Elsevier Science Ltd.</t>
  </si>
  <si>
    <t>Yañez, Claudia/I-2840-2013; Ureta-Zañartu, Maria/G-5239-2019</t>
  </si>
  <si>
    <t>10.1016/S0013-4686(96)00372-6</t>
  </si>
  <si>
    <t>WOS:A1997WR73900011</t>
  </si>
  <si>
    <t>TRIER, A</t>
  </si>
  <si>
    <t>1ST IBERO-AMERICAN CONFERENCE ON THE ATMOSPHERIC-ENVIRONMENT, CIAMAA91/IACAE91, SANTIAGO-DE-CHILE, 7-11 JANUARY 1991 - AN OVERVIEW</t>
  </si>
  <si>
    <t>ATMOSPHERIC ENVIRONMENT PART A-GENERAL TOPICS</t>
  </si>
  <si>
    <t>0004-6981</t>
  </si>
  <si>
    <t>10.1016/0960-1686(93)90103-6</t>
  </si>
  <si>
    <t>WOS:A1993KQ75200001</t>
  </si>
  <si>
    <t>TORRES, R; URZUA, A; MODAK, B</t>
  </si>
  <si>
    <t>ISOPREGOMISIN, A 1,4-BIS(PHENYL)-2,3-DIMETHYLBUTANE LIGNAN FROM PORLIERIA-CHILENSIS</t>
  </si>
  <si>
    <t>From twigs of a chilean Zigophyllaceae species named Porlieria chilensis a new symmetrical 1,4-bis(phenyl)-2,3-dimethylbutane type lignan was isolated. This new compound was accompanied by the known lignan meso-dihydroguaiaretic acid (1) and the name isopregomisin (2) was proposed for it. The structural determination of 2 was accomplished by careful analysis of spectral data.</t>
  </si>
  <si>
    <t>1520-6025</t>
  </si>
  <si>
    <t>MAR-APR</t>
  </si>
  <si>
    <t>10.1021/np50062a034</t>
  </si>
  <si>
    <t>WOS:A1989U448700035</t>
  </si>
  <si>
    <t>LETELIER, MF; VALDIVIA, J; LEUTHEUSSER, HJ</t>
  </si>
  <si>
    <t>AN ANALYTICAL MODEL OF THE WIND-INDUCED SPREAD OF FOREST FIRES</t>
  </si>
  <si>
    <t>JOURNAL OF WIND ENGINEERING AND INDUSTRIAL AERODYNAMICS</t>
  </si>
  <si>
    <t>0167-6105</t>
  </si>
  <si>
    <t>10.1016/0167-6105(88)90086-4</t>
  </si>
  <si>
    <t>WOS:A1988Q744700022</t>
  </si>
  <si>
    <t>SCHMIDT, R; BARBAGELATA, F; RIVERA, H; VALENCIA, J; MOYA, SA</t>
  </si>
  <si>
    <t>ADSORPTION OF GOLD FROM ACID THIOUREA SOLUTIONS ON ACTIVATED CARBON</t>
  </si>
  <si>
    <t>INTERNATIONAL JOURNAL OF MINERAL PROCESSING</t>
  </si>
  <si>
    <t>0301-7516</t>
  </si>
  <si>
    <t>10.1016/0301-7516(88)90019-1</t>
  </si>
  <si>
    <t>WOS:A1988P493600008</t>
  </si>
  <si>
    <t>CONTRERAS, ML; ROZAS, R</t>
  </si>
  <si>
    <t>A NEW PRODUCT IN THE PHOTO-OXIDATION OF BERBERINE - A LACTAMIC ALDEHYDE</t>
  </si>
  <si>
    <t>WOS:A1981MJ36200018</t>
  </si>
  <si>
    <t>ZANLUNGO, AB</t>
  </si>
  <si>
    <t>POLYSACCHARIDES FROM CHILEAN SEAWEEDS .9. COMPOSITION OF THE AGAR FROM GELIDIUM-LINGULATUM</t>
  </si>
  <si>
    <t>WOS:A1980KV96900002</t>
  </si>
  <si>
    <t>SEARCH FOR LUMINESCENT FREE-RADICAL RECOMBINATION</t>
  </si>
  <si>
    <t>PHOTOCHEMISTRY AND PHOTOBIOLOGY</t>
  </si>
  <si>
    <t>0031-8655</t>
  </si>
  <si>
    <t>10.1111/j.1751-1097.1979.tb07115.x</t>
  </si>
  <si>
    <t>WOS:A1979HF80000009</t>
  </si>
  <si>
    <t>Díaz, MGC; León, MV; Tonacca, LS; Rodríguez, YS</t>
  </si>
  <si>
    <t>Paleo, UF; Castineiras, L</t>
  </si>
  <si>
    <t>Gonzalez-Chavez Diaz, Maribel; Vega Leon, Michely; Saez Tonacca, Luis; Sanchez Rodriguez, Yanisbell</t>
  </si>
  <si>
    <t>Valorisation of products and services from Biosphere Reserves of Cuba</t>
  </si>
  <si>
    <t>FAMILY FARMS AND THE CONSERVATION OF AGROBIODIVERSITY IN CUBA: Food Security and Nature</t>
  </si>
  <si>
    <t>Issues in Agricultural Biodiversity</t>
  </si>
  <si>
    <t>978-1-032-56164-6; 978-1-315-18388-6; 978-1-138-73571-2</t>
  </si>
  <si>
    <t>10.4324/9781315183886-16</t>
  </si>
  <si>
    <t>10.4324/9781315183886</t>
  </si>
  <si>
    <t>WOS:001200200000017</t>
  </si>
  <si>
    <t>Rannou, FR; Guzmán, D; Cárcamo, M; Pérez, S</t>
  </si>
  <si>
    <t>Rannou, Fernando R.; Guzman, Damian; Carcamo, Miguel; Perez, Sebastian</t>
  </si>
  <si>
    <t>Split Bregman Image Synthesis in Radio Interferometry</t>
  </si>
  <si>
    <t>2024 4TH URSI ATLANTIC RADIO SCIENCE MEETING, AT-RASC 2024</t>
  </si>
  <si>
    <t>4th URSI Atlantic Radio Science Meeting (AT-RASC)</t>
  </si>
  <si>
    <t>MAY 19-24, 2024</t>
  </si>
  <si>
    <t>Meloneras, SPAIN</t>
  </si>
  <si>
    <t>URSI</t>
  </si>
  <si>
    <t>The Split Bregman (SB) method is a convex optimization algorithm for L1-regularized problems that has been used in denoising, segmentation, reconstruction and other image processing tasks in a compressed sensing setup, but it has received little attention in radio interferometric imaging. It is very efficient and it can be readily implemented in parallel. In this work we apply the SB algorithm and formulate five L1 optimization problems for radio interferometric imaging. We develop an object oriented Python software that facilitates the incorporation a new SB solvers, by in-heriting from base classes. We employ two ALMA datasets of protoplanetary disks to test our framework.</t>
  </si>
  <si>
    <t>Carcamo, Miguel/LEM-3690-2024; Pérez, Sebastián/AAS-5857-2020; Rannou, Fernando/G-5749-2019</t>
  </si>
  <si>
    <t>978-9-4639-6-8102; 979-8-3503-6025-7</t>
  </si>
  <si>
    <t>10.46620/URSIATRASC24/VJYI4215</t>
  </si>
  <si>
    <t>WOS:001269451500141</t>
  </si>
  <si>
    <t>Vejar, S; Pulgar-Sepulveda, R; Sanchez, CG; Vicencio, S; Del Rio, R; Varas, R; Ortiz, FC</t>
  </si>
  <si>
    <t>Vejar, S.; Pulgar-Sepulveda, R.; Sanchez, C. Guevara; Vicencio, S.; Del Rio, R.; Varas, R.; Ortiz, F. C.</t>
  </si>
  <si>
    <t>Vagal Nerve Stimulation reduces neuroinflammation of demyelinated lesions in a murine model of Multiple Sclerosis</t>
  </si>
  <si>
    <t>GLIA</t>
  </si>
  <si>
    <t>16th European Meeting on Glial Cells in Health and Disease</t>
  </si>
  <si>
    <t>JUL 08-11, 2023</t>
  </si>
  <si>
    <t>Berlin, GERMANY</t>
  </si>
  <si>
    <t>0894-1491</t>
  </si>
  <si>
    <t>1098-1136</t>
  </si>
  <si>
    <t>T14-008A</t>
  </si>
  <si>
    <t>E712</t>
  </si>
  <si>
    <t>WOS:001191372500592</t>
  </si>
  <si>
    <t>Beltrán, MA; Beltrán, AA</t>
  </si>
  <si>
    <t>Beltran, Marcelo A.; Beltran, Andrea A.</t>
  </si>
  <si>
    <t>Common bile duct pressure in patients with and without cholelithiasis: A case-control study</t>
  </si>
  <si>
    <t>JOURNAL OF HEPATO-BILIARY-PANCREATIC SCIENCES</t>
  </si>
  <si>
    <t>Background The reflux of pancreatic enzymes into the bile duct and the gallbladder is an abnormal phenomenon that plays a role in lithogenesis and carcinogenesis. Because the pressure of the common bile duct depends on the pressures of the sphincter of Oddi, its dysfunction would be reflected in an increase in the pressure of the common bile duct in patients with cholelithiasis. The objective of this study was to measure the pressures of the common bile duct in patients with and without cholelithiasis and to relate them to the presence of pancreatobiliary reflux. Methods A prospective case-control study was designed. The study universe was constituted by all patients undergoing total gastrectomy for gastric cancer stages I and II over 30 months. The primary outcome measure was to establish differences between common bile duct pressures in patients with and without cholelithiasis. Results Common bile duct pressures in patients with gallstones showed a significant elevation (16.9 mmHg) compared to patients without gallstones (3.3 mm Hg) (p &lt; 0.0001). These pressures correlated with the levels of amylase and lipase in gallbladder bile; higher levels were found in patients with gallstones compared to patients without gallstones (P &lt; 0.0001). Conclusions Common bile duct pressure in patients with cholelithiasis was significantly higher compared to patients without cholelithiasis leading to pancreatobiliary reflux.</t>
  </si>
  <si>
    <t>Beltran, Marcelo/I-9971-2014</t>
  </si>
  <si>
    <t>Beltran, Marcelo/0000-0001-6466-5480</t>
  </si>
  <si>
    <t>1868-6974</t>
  </si>
  <si>
    <t>1868-6982</t>
  </si>
  <si>
    <t>10.1002/jhbp.931</t>
  </si>
  <si>
    <t>WOS:000628842000001</t>
  </si>
  <si>
    <t>Vallejo, F; Díaz-Robles, LA; Vega, R; Cubillos, F</t>
  </si>
  <si>
    <t>Vallejo, Fidel; Diaz-Robles, Luis A.; Vega, Ricardo; Cubillos, Francisco</t>
  </si>
  <si>
    <t>A novel approach for prediction of mass yield and higher calorific value of hydrothermal carbonization by a robust multilinear model and regression trees</t>
  </si>
  <si>
    <t>JOURNAL OF THE ENERGY INSTITUTE</t>
  </si>
  <si>
    <t>This study shows a mathematical and statistical analysis to generate models based on multiple linear regression (MLR) and regression trees (RT) that allow a reliable prediction of the Mass Yield (MY) and the Higher Heating Value (HHV) of the final solid product obtained by Hydrothermal Carbonization, called hydrochar. MLR models were obtained for lignocellulosic and non-lignocellulosic biomass using a set of experimental data with more than 500 points collected from the literature. A new approach based on dimensionless groups of variables that describe the composition of biomass and operational conditions was used. The analysis for each equation indicated that the MY depends on the process conditions and the biomass composition, which is proportional to the Polarity Index (IP) and Reactive Index (IR) values. On the other hand, the severity factor (log Ro) and the initial calorific value (HHVo) were the main factors for the HHV, but also the raw biomass composition (IP and H/C ratio) had an opposite and equal significant effect. For these equations, the results indicated an adjusted R-2(R-a(2)) of about 0.90 and an average RMSE of 6% and 1.7 MJ/kg for MY and HHV, respectively. Besides, explanatory variables were analyzed by their Relative Importance for the RT models. The severity factor (65%) and the IR (18%) were the most decisive variable in the MY prediction. The R-2 and RMSE were 0.73 and 2%, respectively. For HHV, the variables with the most significant impact were the HHVo (33%), the log Ro (24%), and the IP (22%). In this case, the R-2 and RMSE were 0.87 and 0.68 MJ/kg, respectively. Therefore, the model equations obtained are a powerful tool to predict the mass yield and the energetic value of the hydrochar before developing an experimental study. (C) 2020 Energy Institute. Published by Elsevier Ltd. All rights reserved.</t>
  </si>
  <si>
    <t>Vallejo, Fidel/AAM-6353-2020</t>
  </si>
  <si>
    <t>Vallejo, Fidel Ernesto/0000-0001-5835-298X</t>
  </si>
  <si>
    <t>1743-9671</t>
  </si>
  <si>
    <t>1746-0220</t>
  </si>
  <si>
    <t>10.1016/j.joei.2020.03.006</t>
  </si>
  <si>
    <t>WOS:000539488400050</t>
  </si>
  <si>
    <t>Zúñiga, MPA; Erazo, LI</t>
  </si>
  <si>
    <t>Aedo Zuniga, Maria Paz; Irigoyen Erazo, Leandro</t>
  </si>
  <si>
    <t>Rights approach and political formation from early childhood in La Victoria, Chile</t>
  </si>
  <si>
    <t>Based on a strong community experience, the Nuestra Senora de La Victoria Kindergarten is developing an educational project that incorporates the political dimension of right-based approach since early childhood, as an educative focus. Through a qualitative research based on participant observation, interviews and focus group, it's possible observe how this project is contributing to strengthen the children's political agency, fundamental issue to co-create democratic societies.</t>
  </si>
  <si>
    <t>WOS:000614863100105</t>
  </si>
  <si>
    <t>Bas, M; Hernández, F; Huidobro-Toro, JP</t>
  </si>
  <si>
    <t>Bas, Morgane; Hernandez, Felipe; Pablo Huidobro-Toro, J.</t>
  </si>
  <si>
    <t>Architecture of the molecules of life, a contribution of Louis Pasteur to molecular pharmacology; opportunities for adrenergic pharmacology developments</t>
  </si>
  <si>
    <t>COMPTES RENDUS CHIMIE</t>
  </si>
  <si>
    <t>When Louis Pasteur observed para tartaric acid crystals under the microscope. he noted right- and left-handed tiny crystals, which when manually separated resulted in the same optical activity but of opposite sign. This seminal observation was correctly interpreted indicating that para tartaric acid was the mixture of two different molecules: a finding that was later recognised as an essential code of molecular pharmacology based on the 3D spatial configuration of molecules. An immediate application of this concept refers to natural products such as morphine or ephedrine, both of which have the precise stereochemistry to fit and selectively activate the a-opiate receptor or alpha-adrenoceptor mechanisms, respectively, and their associated intracellular signalling mechanisms. In this essay, we review the past, present and future of stereochemistry notions and its significance for adrenergic pharmacology, highlighting the relevance of optical isomers of sympathomimetics or beta-adrenoceptor antagonists. The principle of optical activity revealed by Pasteur challenges the pharmaceutical industry to identify biologically active chemicals identifying the relevant stereochemical isomer responsible for drug efficacy and safety. It is no overstatement that pain is alleviated worldwide by a single stereochemical morphine isomer, that is synthesised by the poppy plant, which interacts stereospecifically with the relevant opioid receptor(s) highlighting Pasteur's brilliant discovery to the principles of molecular pharmacology.</t>
  </si>
  <si>
    <t>1631-0748</t>
  </si>
  <si>
    <t>1878-1543</t>
  </si>
  <si>
    <t>10.5802/crchim.2</t>
  </si>
  <si>
    <t>WOS:000573968000002</t>
  </si>
  <si>
    <t>Zamora, E; Battaglia, L; Storti, M; Cruchaga, M; Ortega, R</t>
  </si>
  <si>
    <t>Zamora, Esteban; Battaglia, Laura; Storti, Mario; Cruchaga, Marcela; Ortega, Roberto</t>
  </si>
  <si>
    <t>Numerical and experimental study of the motion of a sphere in a communicating vessel system subject to sloshing</t>
  </si>
  <si>
    <t>The purpose of this work is twofold: to present a computational strategy to simulate the dynamics of a rigid sphere during water sloshing and to validate the model with original experimental data. The numerical solution is obtained through the coupling between a two-fluid Navier-Stokes solver and a rigid solid dynamics solver, based on a Newton scheme. A settling sphere case reported in the literature is first analyzed to validate the numerical strategy by ascertaining the settling velocity. In addition, an experiment is carried out based on a sphere submerged into a communicating vessel subjected to sloshing. Experimental data are captured using image processing and statistically treated to provide sphere dynamics quantitative information. The effects of different classical models used to describe drag coefficients, added mass, and wall effects are considered in the study to evaluate their influence on the results. The numerical model provides results that are consistent with the physical data, and the trajectory analysis shows good agreement between the simulations and the experiments. Published under license by AIP Publishing.</t>
  </si>
  <si>
    <t>Battaglia, Laura/X-3893-2019; Zamora, Esteban/AAL-1731-2020; Ortega, Roberto/IZE-4038-2023; Storti, Mario Alberto/E-4646-2012; Ortega, Roberto/H-2046-2015; Cruchaga, Marcela/M-7522-2014</t>
  </si>
  <si>
    <t>Battaglia, Laura/0000-0003-1607-3952; Storti, Mario Alberto/0000-0001-5596-5457; Zamora, Esteban/0000-0001-6214-0031; Ortega, Roberto/0000-0002-2218-0845; Cruchaga, Marcela/0000-0002-8708-2402</t>
  </si>
  <si>
    <t>10.1063/1.5098999</t>
  </si>
  <si>
    <t>WOS:000483888900009</t>
  </si>
  <si>
    <t>Baeza, E; Montt, C; Quezada, L</t>
  </si>
  <si>
    <t>Dagli, CH; Suer, GA</t>
  </si>
  <si>
    <t>Baeza, Eduardo; Montt, Cecilia; Quezada, Luis</t>
  </si>
  <si>
    <t>Methodological Proposal to Evaluate the Alternative of Outsourcing the Transportation Fleet of a Company</t>
  </si>
  <si>
    <t>25TH INTERNATIONAL CONFERENCE ON PRODUCTION RESEARCH MANUFACTURING INNOVATION: CYBER PHYSICAL MANUFACTURING</t>
  </si>
  <si>
    <t>Procedia Manufacturing</t>
  </si>
  <si>
    <t>25th International Conference on Production Research Manufacturing Innovation (ICPR) - Cyber Physical Manufacturing</t>
  </si>
  <si>
    <t>AUG 09-14, 2019</t>
  </si>
  <si>
    <t>Chicago, IL</t>
  </si>
  <si>
    <t>The companies have different solutions to transport their merchandise to the customer: have their own fleet, outsource the excess when the transport capacity is exceeded by the demand (mixed system) and the complete subcontracting of all the transport operations. Outsourcing is one of the solutions, in different areas of administration and especially in transportation. Then, being a strategic decision, it is pertinent to ask the questions: should it be externalized? and when?. The answer depends on factors that must be evaluated in each case. To make the decision, it is necessary first to evaluate if transport is a key success factor and it is a basic competence for the company. It is essential before defining what type of solution to give to the transport and depending on it, when it should be taken to make the business gain a competitive advantage. The proposed methodology distinguishes the relevant factors that allow a successful outsourcing, which are: people, infrastructure, ICTs, logistics management and business strategy, which will allow the development and growth of the business. Likewise, tools for business analysis, management, project evaluation and decision making, play a fundamental role in the qualitative and quantitative study of the proposed methodology, a decision model that allows the evaluation of the fleet's externalization, through the possible transport management solutions. Finally, a map of the evaluation process is proposed, integrating the tools defined for the diagnosis, evaluation and definition of the decision. (C) 2019 The Authors. Published by Elsevier Ltd.</t>
  </si>
  <si>
    <t>2351-9789</t>
  </si>
  <si>
    <t>10.1016/j.promfg.2020.01.292</t>
  </si>
  <si>
    <t>WOS:000889480200179</t>
  </si>
  <si>
    <t>Serrano, S; Moreno, A; Avila, T; Chavez, H</t>
  </si>
  <si>
    <t>Serrano, Sebastian; Moreno, Alex; Avila, Tomas; Chavez, Hector</t>
  </si>
  <si>
    <t>Assessing the Impact of Variable Generation on ROCOF Adequacy</t>
  </si>
  <si>
    <t>Generating units are equipped with anti-islanding protections. Some of those protections schemes are based on detecting the excessive Rate of Change of Frequency that occurs when a generator becomes islanded and the power imbalance within the island is significant. A common concern within power system operations is the inertia reduction due to variable generation integration, which increases the naturally-ocurring rate of change of frequency after sudden losses of generation (load). This work proposed a dynamic simulation approach to estimate the integration limit of variable generation in terms of its impact on inertia reduction and increase in rate of change of frequency. The RTS-96 test case is presented to obtain numerical results.</t>
  </si>
  <si>
    <t>WOS:000458417600124</t>
  </si>
  <si>
    <t>Maisey, K; Montero, R; Flores, C; Fuentes, N; Imarai, M</t>
  </si>
  <si>
    <t>Maisey, Kevin; Montero, Ruth; Flores, Camila; Fuentes, Nicole; Imarai, Monica</t>
  </si>
  <si>
    <t>Monoclonal antibody development for IFN-α1 of Atlantic salmon</t>
  </si>
  <si>
    <t>O-068</t>
  </si>
  <si>
    <t>WOS:000377730400179</t>
  </si>
  <si>
    <t>Aguirre, MJ; Muena, JP; Gonzalez-Ulianoff, D; Miranda, A</t>
  </si>
  <si>
    <t>Aguirre, M. J.; Muena, J. P.; Gonzalez-Ulianoff, D.; Miranda, A.</t>
  </si>
  <si>
    <t>FAST ELECTROCHEMICAL DETECTION OF NON-DESIRABLE AGING IN BOTTLED WHITE WINE</t>
  </si>
  <si>
    <t>Oenologists and wine exporters know that a serious problem is to determine the quality of wine after it travels to final market. In fact the last quality controls are made after the bottling and before the trip. Chile is an important exporter of wine and Asiatic markets are a common destination for this exportation, taking long times of traveling. If wine changes it quality due to different stressing situations during the trip, the final costumer will receive a low-quality beverage in spite of the high quality of the original wine. This fact can reduce the interest of the costumer to consume Chilean wine and diminishes the importations of this product.</t>
  </si>
  <si>
    <t>10.4067/S0717-97072014000200029</t>
  </si>
  <si>
    <t>WOS:000342613100029</t>
  </si>
  <si>
    <t>Rezende, MC; Aracena, A</t>
  </si>
  <si>
    <t>Caroli Rezende, Marcos; Aracena, Andres</t>
  </si>
  <si>
    <t>Electrophilicity and solvatochromic reversal of pyridinium phenolate betaine dyes</t>
  </si>
  <si>
    <t>The solvatochromic reversal of phenolate betaine dyes may be theoretically rationalized and predicted by determining the flow direction of their internal charge-transfer in media of increasing polarity, with the aid of the electrophilicities of the donor and acceptor moieties, or of the corresponding electrophilic Fukui functions. The protocol was applied to ten examples from the literature. (C) 2012 Elsevier B. V. All rights reserved.</t>
  </si>
  <si>
    <t>Caroli, Marcos/H-3570-2019; Aracena, Andres/MCK-0713-2025</t>
  </si>
  <si>
    <t>Aracena, Andres/0000-0002-8367-3520; Rezende, Marcos/0000-0003-2040-9009</t>
  </si>
  <si>
    <t>1873-4448</t>
  </si>
  <si>
    <t>JUL 23</t>
  </si>
  <si>
    <t>10.1016/j.cplett.2012.06.017</t>
  </si>
  <si>
    <t>WOS:000306234700029</t>
  </si>
  <si>
    <t>Orostica, L; Zuniga, L; Utz, D; Parada-Bustamante, A; Croxatto, H; Velasquez, L; Orihuela, PA</t>
  </si>
  <si>
    <t>Orostica, Lorena; Zuniga, Lidia; Utz, Daniella; Parada-Bustamante, Alexis; Croxatto, Horacio; Velasquez, Luis; Orihuela, Pedro A.</t>
  </si>
  <si>
    <t>TNF-Alpha and TGF-Beta Signaling Cascades are Associated with the Changes in the Mode of Action of Estradiol in the Rat Oviduct</t>
  </si>
  <si>
    <t>BIOLOGY OF REPRODUCTION</t>
  </si>
  <si>
    <t>42nd Annual Meeting of the Society-for-the-Study-of-Reproduction</t>
  </si>
  <si>
    <t>JUL 18-22, 2009</t>
  </si>
  <si>
    <t>Pittsburgh, PA</t>
  </si>
  <si>
    <t>Soc Study Reproduct,David L Lawrence Convent Ctr</t>
  </si>
  <si>
    <t>Parada-Bustamante, Alexis/I-1127-2013; Oróstica, Lorena/ABC-2673-2020; Velasquez, Luis/LLL-7493-2024</t>
  </si>
  <si>
    <t>0006-3363</t>
  </si>
  <si>
    <t>1529-7268</t>
  </si>
  <si>
    <t>WOS:000273605500310</t>
  </si>
  <si>
    <t>Contreras, H; Bassi, D</t>
  </si>
  <si>
    <t>Fink, W</t>
  </si>
  <si>
    <t>Contreras, Hugo; Bassi, Danilo</t>
  </si>
  <si>
    <t>Rule-based navigation control design for autonomous flight</t>
  </si>
  <si>
    <t>SPACE EXPLORATION TECHNOLOGIES</t>
  </si>
  <si>
    <t>Proceedings of SPIE</t>
  </si>
  <si>
    <t>Conference on Space Exploration Technologies</t>
  </si>
  <si>
    <t>MAR 17-18, 2008</t>
  </si>
  <si>
    <t>Orlando, FL</t>
  </si>
  <si>
    <t>SPIE</t>
  </si>
  <si>
    <t>This article depicts a navigation control system design that is based on a set of rules in order to follow a desired trajectory. The full control of the aircraft considered here comprises: a low-level stability control loop, based on classic PID controller and the higher level navigation whose main job is to exercise lateral control (course) and altitude control, trying to follow a desired trajectory. The rules and PID gains were adjusted systematically according to the result of flight simulation. In spite of its simplicity, the rule-based navigation control proved to be robust, even with big perturbation, like crossing winds.</t>
  </si>
  <si>
    <t>978-0-8194-7151-2</t>
  </si>
  <si>
    <t>69600D</t>
  </si>
  <si>
    <t>10.1117/12.782288</t>
  </si>
  <si>
    <t>WOS:000257463400011</t>
  </si>
  <si>
    <t>Valdebenito, A; Encinas, MV</t>
  </si>
  <si>
    <t>Thiophenols as chain transfer agents in the polymerization of vinyl monomers</t>
  </si>
  <si>
    <t>POLYMER</t>
  </si>
  <si>
    <t>The behaviour of a series of 4-substituted thiophenols as chain transfers in the photopolymerization of the acrylamide and methyl methacrylate was studied. The addition of concentrations lower than 1 mM of thiophenols to the polymerization of acrylamide in aqueous solutions reduces slightly the polymerization rate but decreases markedly the polymer molecular weight. Chain transfer constants were determined by a modified Mayo equation that consider the variation of the polymerization rate with the chain transfer agent. The addition of thiophenols to the polymerization of methyl methacrylate in organic media reduced considerably the polymer molecular weight without variations in the polymerization rate. The chain transfer rate constants for both monomers are well correlated with the electron donor-acceptor ability of the 4-substitutents, increasing with electron donating groups. An amino substituent in the 4-position increases 10 times the chain transfer constant with respect to the unsubstituted compound. No correlations were found with reported data on stability of the thiyl radicals or the addition rate to the monomer. The electron-donating effect of 4-substituents on the chain transfer constant is related to polar structures in the transition state, and suggests that the main controlling chain transfer step by thiophenols is the H-abstraction from the S-H. (c) 2005 Elsevier Ltd. All rights reserved.</t>
  </si>
  <si>
    <t>0032-3861</t>
  </si>
  <si>
    <t>1873-2291</t>
  </si>
  <si>
    <t>NOV 21</t>
  </si>
  <si>
    <t>10.1016/j.polymer.2005.09.051</t>
  </si>
  <si>
    <t>WOS:000233144700008</t>
  </si>
  <si>
    <t>Matsuhiro, B; Urzua, CC</t>
  </si>
  <si>
    <t>The acidic polysaccharide from Palmaria decipiens (Palmariales, Rhodophyta)</t>
  </si>
  <si>
    <t>HYDROBIOLOGIA</t>
  </si>
  <si>
    <t>15th International Seaweed Symposium</t>
  </si>
  <si>
    <t>JAN, 1995</t>
  </si>
  <si>
    <t>VALDIVIA, CHILE</t>
  </si>
  <si>
    <t>Int Seaweed Assoc</t>
  </si>
  <si>
    <t>Palmaria decipiens, one of the most abundant red seaweeds of the chilean Antarctic, was collected in King George Island. The hot water extract (26% yield) showed by acid hydrolysis to contain xylose, galactose and traces of glucose. Fractionation with cetrimide gave a soluble neutral xylan and an insoluble fraction. The insoluble fraction afforded an acidic polysaccharide that contained 4.8% of uronic acids, 2.8% of sulfate and 18.9% of protein. Polyacrylamide gel electrophoresis showed that it was homogeneous. The GLC and HPLC analysis of the total acidic hydrolysis products showed that the acidic polysaccharide was composed of the neutral sugars galactose and xylose in the molar ratio 8.2:1.0 and of galacturonic and glucuronic acid in the ratio 1.5:1.0. The second-derivative FT-IR spectrum showed the characteristic amide I, II and III bands of proteins. Alkaline cleavage with 0.1 M NaOH indicated the presence of a glycoprotein with O-glycosidic linkage. Results found in this work suggest that the acidic polysaccharide extracted from Palmaria decipiens is an acidic xylogalactan-protein complex.</t>
  </si>
  <si>
    <t>0018-8158</t>
  </si>
  <si>
    <t>1573-5117</t>
  </si>
  <si>
    <t>JUL 26</t>
  </si>
  <si>
    <t>WOS:A1996VG10200074</t>
  </si>
  <si>
    <t>Fernández, J; Paterakis, NV; Lacoste, P</t>
  </si>
  <si>
    <t>Fernandez, Jorge; Paterakis, Nicolas Valenzuela; Lacoste, Pablo</t>
  </si>
  <si>
    <t>Ludodiplomacy and Gastropolitics in the Cold War:The International Chess Tournament in the Chile of Salvador Allende (1972)</t>
  </si>
  <si>
    <t>RELACIONES INTERNACIONALES-MADRID</t>
  </si>
  <si>
    <t>Within the framework of the Cold War, and the cooperation of the Soviet Union with the government of Salvador Allende in Chile, we examine the implications of the International Chess Tournament of La Serena (ICHTLS, 1972), where the USSR champion, Vladimir Savon, participated together with several Latin American champions. This tournament was a special attraction because simultaneously Robert Fischer (USA) and Boris Spassky (Soviet Union) played the match for the world title, which attracted great global attention, and even the personal intervention of the U.S. Secretary of State Henry Kissinger. Like never before, chess became a symbolic battle fi eld of the Cold War. For the Soviet Union, chess was an activity of strategic value and a symbol of prestige, given that its players had held the world title for half a century. The presence in Chile of Vladimir Savon, an icon of the prestigious Soviet chess school, was an express support of the USSR to its ally in the Southern Cone of America. It was a case of ludodiplomacy, within a general strategy of soft power. The venue of the tournament was the city of La Serena, capital of Chilean pisco, the emblematic distillate of the Southern Cone and the fi rst Appellation of Origin in America. The ICHTLS was promoted by the lawyer of the main pisco company. So, the tournament generated the conditions for the chess tournament to contribute to the visibility of the typical product, in a gastropolitics strategy, as has happened in other places in the world - like for example in Spain, with the Villarrobledo tournament and the promotion of Manchego cheese. These tournaments meant a renewal of the old strategy of strengthening the symbolic value of wines and distillates, by bringing the product closer to royalty fi gures, changing the source of prestige for world chess geniuses. To achieve this goal, the tournament has to be organized every year in the same place, as announced by the organizers of the I International Chess Tournament of La Serena. The study is supported on various sources such as interviews with key informants, review of the press of the time, and the minutes of the Board of Directors of the main pisco company: the Control Pisquero cooperative. These sources reveal the high level of con fl ict that arose between the political power and the pisco industry, due to the decision of the Allende government to radicalize Agrarian Reform, with the expropriation of vineyards and artisanal pisco distilleries. This meant a radical change with respect to the fi rst stage of Agrarian Reform, in which the vineyards were left out and the pisco industry was supported by the government policy. But from 1971 the situation changed and State -business relations deteriorated rapidly, culminating in the vandalism of the pisco distilleries, which broke trust. Only government agencies, state enterprises and leftist militants supported the tournament. As a result, the tournament did not have the expected impact and its continuity was frustrated. In addition, after the 1973 coup the Pinochet dictatorship persecuted the leaders of Agrarian Reform, along with the students and professors of the Universities who supported the tournament. The original idea of using the ICHTLS as a means to make a territory and its agri-food heritage visible through the world chess geniuses was a strategy of gastropolitics and enodiplomacy. La Serena, capital of Chilean pisco, would become the capital of the main chess tournament in South America in 1972. Radicalization of the Agrarian Reform promoted by the Popular Unity government generated a distancing from the initial plan. For the Allende administration, ICHTLS was an experience of ludodiplomacy, as a mechanism to make visible the support of the USSR to strengthen its government against its internal adversaries. In the context of the uncertainty that Chile experienced during the Allende administration due to internal tensions, the tournament served as an act of demonstration of power and indirectly, it revealed the development potential that Chile would achieve in the event of deepening its strategic alliance with Moscow. In the ICHTLS, the fi gure of Savon made a triumphant stroll and defeated all the Latin American champions he faced. This demonstration of intellectual superiority, built worldwide by the Soviet chess school, had the potential to transfer to social, economic and cultural life: with its help, Chile would surpass the countries of the region to enter a new stage of welfare and development. The Soviet Union had generated a fl ow of contributions to the Allende government: they sent him fi shing vessels, tractors, machinery and technical assistance, although at limited levels. The sending of Sav &amp; oacute;n represented a renewal of the commitments and for the militants of the government, this served as moral support and visibility of all the potential that the support of the USSR had for the future. In this way, the Soviet Union sent a message of trust in the dream of building a socialist Chile. Within these plans, pisco had a central role: the Empresa Pisquera del Estado was to become the symbol and fl ag of the new socialist Chile. However, the process was interrupted with the 1973 coup; the pisco industry was never expropriated and the state company was never created. The political manipulation of ICHTLS by the government in 1972 caused the same criteria by subsequent administrations. None of which was able to separate the circumstantial interest of Allende to show the support of the USSR from the permanent interest of the La Serena, in the sense of having an event of international prestige that would contribute to make visible, promote and give value to its territory and its agrifood heritage through the prestige of chess. The case study concludes that to ensure the viability of the strategy of ludodiplomacy and gastropolitics, consensus among political and economic actors is indispensable; if this condition is not accomplished, the strategy is doomed to failure because it cannot survive over time and remains an isolated effort without continuity. However, as other successful cases around the world have shown, such as Manchego cheese, chess can be an appropriate means to develop the symbolic value and international diffusion of typical heritage products.</t>
  </si>
  <si>
    <t>1699-3950</t>
  </si>
  <si>
    <t>JUN-SEP</t>
  </si>
  <si>
    <t>10.15366/relacionesinternacionales2024.56.007</t>
  </si>
  <si>
    <t>WOS:001268537500008</t>
  </si>
  <si>
    <t>Montalva, J</t>
  </si>
  <si>
    <t>Montalva, Joaquin</t>
  </si>
  <si>
    <t>'WHO ANNOUNCES THE NONRECOURSE?': THE FORTIDA IN 'TO DO JUSTICE TO FREUD' AND IN THE DERRIDA/FOUCAULT DEBATE br</t>
  </si>
  <si>
    <t>TRANS-FORM-ACAO</t>
  </si>
  <si>
    <t>This article consists of a commentary on Derrida's essay To do Justice to Freud: The History of Madness in the Age of Psychoanalysis, with the aim of tracing what cannot be re- appropriated by the presuppositions of the Derrida/Foucault debate. By analysing the question who announces the nonrecourse?, I will explore the way in which Derrida's writing is affected by the necessity and impossibility of not repressing unreason. I will defend that Derrida compulsively writes the effects of his own resistance to repress unreason by reproducing the Foucauldian quest for a beyond of reason. This repetition compulsion not only keeps re-opening the debate, but more importantly, it triggers the return of unreason as a disarrangement of the principles of identity and linear time which destabilizes any authorial ground for a history of madness in general and for any of its critiques. This article will read the exchanges between Derrida and Foucault by deconstructing the premises of any debate in general.</t>
  </si>
  <si>
    <t>0101-3173</t>
  </si>
  <si>
    <t>1980-539X</t>
  </si>
  <si>
    <t>10.1590/0101-3173.2023.v46n2.p167</t>
  </si>
  <si>
    <t>WOS:000967070900012</t>
  </si>
  <si>
    <t>Pineda, A; Arenas, A; Balmaceda, J; Zúñiga, GE</t>
  </si>
  <si>
    <t>Pineda, Adriana; Arenas, Andrea; Balmaceda, Juan; Zuniga, Gustavo E.</t>
  </si>
  <si>
    <t>Extracts of Fruits and Plants Cultivated In Vitro of Aristotelia chilensis (Mol.) Stuntz Show Inhibitory Activity of Aldose Reductase and Pancreatic Alpha-Amylase Enzymes</t>
  </si>
  <si>
    <t>PLANTS-BASEL</t>
  </si>
  <si>
    <t>Aristotelia chilensis is a plant whose fruit is considered a powerful natural antioxidant. During the last years, some investigations of the fruit have been carried out, finding antioxidant properties in the juice or the phenolic fraction. The antioxidant properties of the plant are useful in the inhibition of enzymes related to diabetes such as pancreatic aldose reductase and alpha-amylase. Because many synthetic drugs used today have limitations and potentially harmful side effects, the use of naturally occurring compounds, such as flavonoids, is clinically attractive. In this study, the characterization of aqueous extracts of fruits and in vitro plants of A. chilensis was carried out based on their content of anthocyanins and total phenols, the antioxidant capacity by the antiradical activity 2,2-diphenyl-1-picrilhydrazil (DPPH), and the profile of anthocyanins and other phenolic compounds by liquid chromatography coupled to mass spectrometry (LC-MS/MS). Subsequently, the effect of these extracts on the inhibition of bovine aldose reductase and pancreatic alpha-amylase enzymes was determined. According to our results, extracts of fruits and in vitro plants of A. chilensis achieved inhibition of the bovine aldose reductase enzyme of 85.54 +/- 1.86% and 75.67 +/- 1.21%, respectively. Likewise, the percentage of inhibition of the pancreatic alpha-amylase enzyme for fruit extracts was 29.64 +/- 0.63%, while for in vitro plant extracts it was 47.66 +/- 0.66%. The antioxidant and enzymatic inhibition activity of the extracts were related to the content of anthocyanins, such as delphinidin and cyanidin glycosides as well as the phenols derived from quercetin, myricetin, and kaempferol. The results obtained allow us to suggest that the in vitro culture of plants of A. chilensis represents a viable biotechnological alternative to obtain phenolic compounds for the inhibition of aldose reductase and pancreatic alpha-amylase enzymes.</t>
  </si>
  <si>
    <t>Zuñiga, Gustavo/P-8306-2015</t>
  </si>
  <si>
    <t>2223-7747</t>
  </si>
  <si>
    <t>10.3390/plants11202772</t>
  </si>
  <si>
    <t>WOS:000875268600001</t>
  </si>
  <si>
    <t>Baigorrotegui, G</t>
  </si>
  <si>
    <t>Baigorrotegui, Gloria</t>
  </si>
  <si>
    <t>Governing by working around experimental data infrastructures. Digital monitoring from homes in a polluted Patagonian city</t>
  </si>
  <si>
    <t>REVUE D ANTHROPOLOGIE DES CONNAISSANCES</t>
  </si>
  <si>
    <t>This article is about the governance of an experimental data infrastructure, linked to the installation of digital monitors in ten houses, connected to the National Monitoring Network implemented in five Chilean cities in order to collect and report data on the internal and external evolution of the environmental behaviour of these houses. First, STS literature on governance based on data infrastructure is introduced. Second, three types of workarounds are presented, common in the interaction of users and designers of experimental data platforms. The methodology includes interviews with its implementers, field visits and digital ethnography. The difficulties and workarounds of the project are highlighted and finally, its results are analyzed. Experimental narratives and ventriloquisms, as situated workarounds practices, make possible a more contingent and subversive governance. This research shows the fragile production of data and knowledge, postponing or hiding others, supported by promises to improve the intelligence, standardization, and objectivity of public policies via experimental digital data infrastructure projects.</t>
  </si>
  <si>
    <t>Baigorrotegui, Gloria/C-1681-2018</t>
  </si>
  <si>
    <t>1760-5393</t>
  </si>
  <si>
    <t>WOS:000972463200006</t>
  </si>
  <si>
    <t>Alaniz, AJ; Vergara, PM; Carvajal, MA; Fierro, A</t>
  </si>
  <si>
    <t>Alaniz, Alberto J.; Vergara, Pablo M.; Carvajal, Mario A.; Fierro, Andres</t>
  </si>
  <si>
    <t>Recent rapid colonization of the invasive species Bagrada hilaris (Heteroptera: Pentatomidae) in the collapsed ecosystem Aculeo lake, Chile</t>
  </si>
  <si>
    <t>INTERNATIONAL JOURNAL OF PEST MANAGEMENT</t>
  </si>
  <si>
    <t>Links between ecosystem collapse and biological invasions have been scarcely documented with empirical field measurements. In Chile the recent collapse of Aculeo lake, which was the largest natural freshwater body of the Central zone of Chile, produced a serious socio-environmental crisis in the local population. Here, we aim to report the concerning densities of the highly invasive Bagrada hilaris in this recently collapsed ecosystem. Densities of B. hilaris in plots combined with mapping of the area covered by infested plants allowed us to estimate the size of the B. hilaris population. Densities of B. hilaris in the dried lake reached 628.88 +/- 95.28 ind/m(2) and the infested area amounted to 310 ha, representing 26% of the total lake area. The population of B. hilaris in the dried Aculeo Lake reached 1948.9 +/- 295.3 million individuals. Here we highlight the need for control actions to avoid a potential invasion over important nearby crops and protected areas, and the link between freshwater ecosystem collapse with the rapid colonization of invasive species.</t>
  </si>
  <si>
    <t>Vergara, Pablo/F-2519-2010; Alaniz, Alberto/J-3104-2019; Carvajal, Mario/GYU-2659-2022</t>
  </si>
  <si>
    <t>Vergara, Pablo/0000-0002-0024-1678; Alaniz, Alberto J./0000-0003-4878-8848</t>
  </si>
  <si>
    <t>0967-0874</t>
  </si>
  <si>
    <t>1366-5863</t>
  </si>
  <si>
    <t>JUL 3</t>
  </si>
  <si>
    <t>10.1080/09670874.2021.1915512</t>
  </si>
  <si>
    <t>WOS:000647384400001</t>
  </si>
  <si>
    <t>Hernández-Pérez, DE; Gil-Durán, C; Chávez-Rosales, R; García-Rico, RO</t>
  </si>
  <si>
    <t>Elizabeth Hernandez-Perez, Debora; Gil-Duran, Carlos; Chavez-Rosales, Renato; Ovidio Garcia-Rico, Ramon</t>
  </si>
  <si>
    <t>Effect of xylan and rice husk on feruloyl esterase activity in Penicillium rubens</t>
  </si>
  <si>
    <t>REVISTA MVZ CORDOBA</t>
  </si>
  <si>
    <t>Objective. Analyzed the effect of xylan and rice husk as sole sources of carbon on the FAE activity and expression of faeA and faeB genes of Penicillium rubens (Wisconsin 54-1255), in submerged fermentation. Materials and methods. The fermentations were carried out for 24, 48, and 72 h (28 degrees C/250 rpm), in flasks with a modified Sakamoto medium. FAE activity was determined using the synthetic substrate Ethyl 4-hydroxy-3-methoxycinnamate. The transcription of faeA and faeB was analyzed by RT-PCR. The PCR products were resolved by electrophoresis and analyzed by densitometry. Results. The analysis of gene expression showed that the use of xylan had a positive effect on the expression of both genes. The highest transcriptional activity of both faeA and faeB was detected at 48 h. On the other hand, rice husk showed negative results. The data obtained when the FAE activity was determined, supported the results observed in the gene expression analysis. Conclusion. Different from xylan the rice husk did not demonstrate an inducer effect on the feruloyl esterase activity in P. rubens.</t>
  </si>
  <si>
    <t>Garcia-Rico, Ramon/N-4289-2019</t>
  </si>
  <si>
    <t>0122-0268</t>
  </si>
  <si>
    <t>1909-0544</t>
  </si>
  <si>
    <t>e1959</t>
  </si>
  <si>
    <t>10.21897/rmvz.1959</t>
  </si>
  <si>
    <t>WOS:000627608300007</t>
  </si>
  <si>
    <t>Vergara, PM; Fierro, A; Alaniz, AJ; Carvajal, MA; Lizama, M; Llanos, JL</t>
  </si>
  <si>
    <t>Vergara, Pablo M.; Fierro, Andres; Alaniz, Alberto J.; Carvajal, Mario A.; Lizama, Marlene; Llanos, Jose L.</t>
  </si>
  <si>
    <t>Landscape-scale effects of forest degradation on insectivorous birds and invertebrates in austral temperate forests</t>
  </si>
  <si>
    <t>LANDSCAPE ECOLOGY</t>
  </si>
  <si>
    <t>Context Insectivorous birds are sensitive to forest disturbances that may limit the availability of food consisting mainly of invertebrates. However, birds and invertebrates may be differently affected by forest disturbances while invertebrates may interact with disturbances. Objectives We aim to determine: (i) the effects of forest degradation on invertebrates and insectivorous birds; (ii) the effect of the availability of invertebrates as a food source on birds; (iii) interactions between food availability and forest degradation. Methods We selected 34 1-km radius landscape units, where the abundance of birds and invertebrates was sampled in the canopy and understory. Bird density as well as the abundance and richness of invertebrates were considered as dependent variables and analysed using Generalized Linear Mixed Model and Structural Equation Models. Remote-sensing indices of forest degradation were included as predictors. Results Eight indices of forest degradation affected canopy and understory invertebrates differently. Unlike invertebrates, bird abundance was affected by a smaller number of degradation indices, forest amounts as well as the cover of understory and canopy. Only two forest degradation indices had a comparable effect on bird abundance and invertebrates. We found causal relationships between understory invertebrates and the abundance of understory birds (all species and the small-sized ones), but also invertebrate abundance x forest cover interactions affected the abundance of a bird species. Conclusions Our results indicate that birds and invertebrates respond differently to forest degradation, but also provide evidence for bottom-up control by forest degradation and suggest food limitation varies with forest amounts.</t>
  </si>
  <si>
    <t>Carvajal, Mario/GYU-2659-2022; Vergara, Pablo/F-2519-2010; Alaniz, Alberto/J-3104-2019; LLANOS, JOSE/AAQ-2569-2021</t>
  </si>
  <si>
    <t>Alaniz, Alberto J./0000-0003-4878-8848; Vergara, Pablo/0000-0002-0024-1678; LLANOS ASCENCIO, JOSE/0000-0002-6771-0520</t>
  </si>
  <si>
    <t>0921-2973</t>
  </si>
  <si>
    <t>1572-9761</t>
  </si>
  <si>
    <t>10.1007/s10980-020-01133-2</t>
  </si>
  <si>
    <t>OCT 2020</t>
  </si>
  <si>
    <t>WOS:000575703400001</t>
  </si>
  <si>
    <t>Barrientos, J; Espinoza, R</t>
  </si>
  <si>
    <t>Berrios, C; Garcia, C</t>
  </si>
  <si>
    <t>Barrientos, Jaime; Espinoza, Ricardo</t>
  </si>
  <si>
    <t>Sexuality and gender relations: a field of citizenship in transformation</t>
  </si>
  <si>
    <t>CIUDADANIAS EN CONFLICTO: ENFOQUES, EXPERIENCIAS Y PROPUESTAS</t>
  </si>
  <si>
    <t>Barrientos, Jaime/GMW-8081-2022</t>
  </si>
  <si>
    <t>Barrientos, Jaime/0000-0001-8497-3552</t>
  </si>
  <si>
    <t>978-956-8416-59-1</t>
  </si>
  <si>
    <t>10.26448/978-956-8416-59-1/11</t>
  </si>
  <si>
    <t>WOS:000440942900011</t>
  </si>
  <si>
    <t>Díaz, P; Cardenas, H; Orihuela, PA</t>
  </si>
  <si>
    <t>Diaz, P.; Cardenas, H.; Orihuela, P. A.</t>
  </si>
  <si>
    <t>Red Maca (Lepidium meyenii) did not affect cell viability despite increased androgen receptor and prostate-specific antigen gene expression in the human prostate cancer cell line LNCaP</t>
  </si>
  <si>
    <t>ANDROLOGIA</t>
  </si>
  <si>
    <t>We examined whether aqueous extract of Lepidium meyenii (red Maca) could inhibit growth, potentiate apoptotic activity of two anticancer drugs Taxol and 2-methoxyestradiol (2ME) or change mRNA expression for the androgen target genes, androgen receptor (Ar) and prostate-specific antigen (Psa) in the human prostate cancer cell line LNCaP. Red Maca aqueous extract at 0, 10, 20, 40 or 80 mu g/ml was added to LNCaP cells, and viability was evaluated by the MTS assay at 24 or 48 hr after treatment. Furthermore, LNCaP cells were treated with 80 mu g/ml of red Maca plus Taxol or 2ME 5 mu M and viability was assessed 48 hr later. Finally, LNCaP cells were treated with red Maca 0, 20, 40 or 80 mu g/ml, and 12 hr later, mRNA level for Ar or Psa was assessed by real-time PCR. Treatment with red Maca did not affect viability of LNCaP cells. Apoptotic activity induced by Taxol and 2ME in LNCaP cells was not altered with red Maca treatment. Relative expression of the mRNA for Ar and Psa increased with red Maca 20 and 40 mu g/ml, but not at 80 mu g/ml. We conclude that red Maca aqueous extract does not have toxic effects, but stimulates androgen signalling in LNCaP cells.</t>
  </si>
  <si>
    <t>0303-4569</t>
  </si>
  <si>
    <t>1439-0272</t>
  </si>
  <si>
    <t>10.1111/and.12681</t>
  </si>
  <si>
    <t>WOS:000385816500008</t>
  </si>
  <si>
    <t>Vera-Villarroel, P; Valtierra, A; Contreras, D</t>
  </si>
  <si>
    <t>Vera-Villarroel, Pablo; Valtierra, Arturo; Contreras, Daniela</t>
  </si>
  <si>
    <t>Affectivity as mediator of the relation between optimism and quality of life in men who have sex with men with HIV</t>
  </si>
  <si>
    <t>INTERNATIONAL JOURNAL OF CLINICAL AND HEALTH PSYCHOLOGY</t>
  </si>
  <si>
    <t>Background/Objective: Increased life expectancy has made quality of life the primary objective in the care of chronic patients and people living with HIV. It found evidence of the link between optimism, quality of life and well-being. This article aimed to determine whether affectivity in its two dimensions (positive and negative) played a mediating role in the association between optimism and quality of life in men living with HIV. Method: 116 men living with HIV (the average age was 36.8 years (SD=9.06), and the average time from the diagnosis was 8.2 years) responded to three instruments: Life Orientation Test revised version (LOT-R), the Positive and Negative Affect Schedule (PANAS) and the World Health Organization Quality of Life-Bref (WHOQoL-Bref). Results: The results showed that positive affect had no mediating effect, whereas negative affect mediated the relation of optimism with two quality-of-life dimensions (overall quality of life and environment). Conclusion: In conclusion, negative affect was found to participate only partially, acting as a mediating variable. (C) 2016 Published by Elsevier Espana, S.L.U. on behalf of Asociacion Espanola de Psicologia Conductual.</t>
  </si>
  <si>
    <t>1697-2600</t>
  </si>
  <si>
    <t>1576-7329</t>
  </si>
  <si>
    <t>10.1016/j.ijchp.2016.07.001</t>
  </si>
  <si>
    <t>WOS:000383933000005</t>
  </si>
  <si>
    <t>Letelier, MF; Siginer, DA; Godoy, F</t>
  </si>
  <si>
    <t>Letelier, Mario F.; Siginer, Dennis A.; Godoy, Felipe</t>
  </si>
  <si>
    <t>VELOCITY FIELD AND ENERGY DISSIPATION IN VISCOPLASTIC FLOW IN TUBES OF NON-CIRCULAR CROSS-SECTION</t>
  </si>
  <si>
    <t>PROCEEDINGS OF THE ASME INTERNATIONAL MECHANICAL ENGINEERING CONGRESS AND EXPOSITION, 2014, VOL 7</t>
  </si>
  <si>
    <t>NOV 14-20, 2014</t>
  </si>
  <si>
    <t>Montreal, CANADA</t>
  </si>
  <si>
    <t>An analytical method for determining the velocity field, shear stress and energy dissipation in viscoplastic flow in non circular straight tubes is presented. Bingham's model of fluid is used for the case of tubes with several cross-sectional contours that can be arbitrarily chosen through a shape factor imposed in the solution for the longitudinal velocity. The analysis is extended to steady flow in tubes in which the cross-section contour exhibits sharp corners. In these cases three flow zones are distinguished: stagnant, non-zero deformation, and plug zones. The method provides the expressions for determining the boundaries and characteristics of those three zones for a wide variety of cross-section shapes. In particular the dynamics of plug-zones for large values of the yield stress and for contours that markedly differ from circumferences is analyzed. Energy dissipation is determined throughout the entire cross-section, so that the effect of shape on mechanical energy loss is assessed in terms of the yield stress and viscosity of the fluid. Some general expressions that help understand energy dissipation mechanisms are derived by using natural coordinates for the velocity field and related variables. These results draw on several recent works from other researchers and the present authors, which have highlighted the significant difficulty of determining the zones of zero deformation in viscoplastic flow when the related solid boundaries are not elementary.</t>
  </si>
  <si>
    <t>978-0-7918-4954-5</t>
  </si>
  <si>
    <t>V007T09A033</t>
  </si>
  <si>
    <t>WOS:000377555200033</t>
  </si>
  <si>
    <t>Corona, RM; Aranda, A; Palma, JL; Lopez, CE; Escrig, J</t>
  </si>
  <si>
    <t>Corona, R. M.; Aranda, A.; Palma, J. L.; Lopez, C. E.; Escrig, J.</t>
  </si>
  <si>
    <t>Controlling the magnetization reversal in planar nanostructures with wire-ring morphology</t>
  </si>
  <si>
    <t>APPLIED PHYSICS LETTERS</t>
  </si>
  <si>
    <t>Magnetization reversal in planar nanowires has been controlled using structures with a larger area pad connected to a nanowire or by means of patterned variations in the planar nanowire such as notches. In this letter, we have introduced a magnetic nanostructure defined as a planar nanostructure with wire-ring morphology. In particular, we have performed micromagnetic simulations to investigate how the magnetic properties (coercivity and remanence) change as a function of the geometric parameters of the nanostructure. Additionally, we observe that when the ring is very thin, the system reverses its magnetization by nucleation and propagation of domain walls along the nanowire. Conversely, when the ring has very thick walls, or directly turns into a solid cylinder, the system nucleates a vortex in the ring/cylinder, and then propagates the domain walls toward the nanowire sections. This reversal process is characterized by a step or plateau in the hysteresis curve, that is, a region in which differential magnetic susceptibility presents a local minimum or, ideally, vanishes. Finally, this nanostructure can be used in many potential applications related to the control of domain walls in planar nanowires. (C) 2014 AIP Publishing LLC.</t>
  </si>
  <si>
    <t>López, Carlos/B-8456-2009; Palma, Juan/IAP-4554-2023; Escrig, Juan/N-4304-2015</t>
  </si>
  <si>
    <t>Escrig, Juan/0000-0002-3958-8185; Corona, Rosa/0000-0001-6054-5019; Palma, JuanLuis/0000-0003-2068-174X</t>
  </si>
  <si>
    <t>0003-6951</t>
  </si>
  <si>
    <t>1077-3118</t>
  </si>
  <si>
    <t>AUG 25</t>
  </si>
  <si>
    <t>10.1063/1.4894292</t>
  </si>
  <si>
    <t>WOS:000342753500049</t>
  </si>
  <si>
    <t>Palma, JL; Morales-Concha, C; Leighton, B; Altbir, D; Escrig, J</t>
  </si>
  <si>
    <t>Palma, J. L.; Morales-Concha, C.; Leighton, B.; Altbir, D.; Escrig, J.</t>
  </si>
  <si>
    <t>Micromagnetic simulation of Fe asymmetric nanorings</t>
  </si>
  <si>
    <t>During the last decade several methods to control the vortex chirality in nanodots have been proposed. One of them, the introduction of asymmetry in the geometry of the dots, originates interesting effects on the magnetic behavior of the particle. However, asymmetry in core-free structures is also interesting to investigate because of the reproducibility of their magnetic properties. In this work we report systematic changes in the coercivity and remanence in asymmetric nanorings. The angular dependence is also addressed. For specific geometries and magnetic field direction newly reversal modes appear associated with important changes in the coercivity and remanence of the rings. (C) 2011 Elsevier B.V. All rights reserved.</t>
  </si>
  <si>
    <t>Palma, Juan/IAP-4554-2023; Escrig, Juan/N-4304-2015; Altbir, Dora/R-6781-2018</t>
  </si>
  <si>
    <t>Escrig, Juan/0000-0002-3958-8185; Altbir, Dora/0000-0002-2945-4909; Palma, JuanLuis/0000-0003-2068-174X</t>
  </si>
  <si>
    <t>10.1016/j.jmmm.2011.09.001</t>
  </si>
  <si>
    <t>WOS:000296536700045</t>
  </si>
  <si>
    <t>Leighton, B; Vargas, NM; Altbir, D; Escrig, J</t>
  </si>
  <si>
    <t>Leighton, B.; Vargas, N. M.; Altbir, D.; Escrig, J.</t>
  </si>
  <si>
    <t>Tailoring the magnetic properties of Fe asymmetric nanodots</t>
  </si>
  <si>
    <t>Asymmetric dots as a function of their geometry have been investigated using three-dimensional (3D) object oriented micromagnetic framework (OOMMF) code. The effect of shape asymmetry of the disk on coercivity and remanence is studied. Angular dependence of the remanence and coercivity is also addressed. Asymmetric dots are found to reverse their magnetization by nucleation and propagation of a vortex, when the field is applied parallel to the direction of asymmetry. However, complex reversal modes appear when the angle at which the external field is applied is varied, leading to a non-mnotonic behavior of the coercivity and remanence. (C) 2011 Elsevier B.V. All rights reserved.</t>
  </si>
  <si>
    <t>Vargas, Nicolas/AAP-5975-2020; Altbir, Dora/R-6781-2018; Escrig, Juan/N-4304-2015</t>
  </si>
  <si>
    <t>Altbir, Dora/0000-0002-2945-4909; Vargas, Nicolas/0000-0002-9922-6311; Escrig, Juan/0000-0002-3958-8185</t>
  </si>
  <si>
    <t>10.1016/j.jmmm.2011.01.019</t>
  </si>
  <si>
    <t>WOS:000287739200023</t>
  </si>
  <si>
    <t>Espinoza-Cifuentes, S; Zeise, ML</t>
  </si>
  <si>
    <t>Espinoza-Cifuentes, Sergio; Zeise, Marc Leander</t>
  </si>
  <si>
    <t>The anteromedial extrastriate complex is critical for the use of allocentric visual cues and in the retention of the Lashley III maze task in rats</t>
  </si>
  <si>
    <t>The anteromedial extrastriate complex has been proposed to play an essential role in a spatial orientation system in rats. To gain more information about that possible role, in the present work, two questions were addressed: I. Are allocentric visual cues relevant for acquisition of the orientation task in the Lashley III maze? 2. Is this integration of allocentric inputs in the anteromedial visual complex relevant in the retention of this test? While a control group of rats was trained keeping the maze in the same position, the experimental group was trained with the maze rotated counterclockwise by 144 degrees from session to session. Control rats reached learning criterion significantly earlier and with less errors than the experimental ones (p&lt;.05). After I I sessions, rats of both groups received stereotaxic injections of ibotenic acid in the anteromedial complex. In the retention test one week after surgery, the control group, which had been able to learn using egocentric and allocentric visual Cues, showed a greater deficit than the experimental animals (p&lt;05). These results confirm the role of the anteromedial complex in the processing of visuospatial orientation tasks and demonstrate the integration of allocentric visual cues in the solution of those tasks.</t>
  </si>
  <si>
    <t>WOS:000264574400006</t>
  </si>
  <si>
    <t>López-Alarcón, C; Lissi, E</t>
  </si>
  <si>
    <t>Interaction of pyrogallol red with peroxyl radicals.: A basis for a simple methodology for the evaluation of antioxidant capabilities</t>
  </si>
  <si>
    <t>FREE RADICAL RESEARCH</t>
  </si>
  <si>
    <t>A competitive method to evaluate the reactivity of highly reactive antioxidants is reported. Pyrogallol red (PGR) and AAPH (2,2'- azo-bis-(2-amidinopropane) dihydrochloride) were employed as target-molecule and peroxyl radical source, respectively. In the zero-order kinetic limit in PGR, the dependence of the ratio R degrees/R (where R degrees is the rate of the process in the absence of additive and R is the rate of the process in the presence of additive) upon the additive concentration (Stern-Volmer like plots) was studied. Various polyphenols (n=10) and ascorbic acid (AA) were tested as additives. In PGR protection by AA, was observed a neat induction time, associated to the total protection of the target molecule. On the other hand, the experiments that were carried out in presence of phenolic compounds allowed a relative evaluation of their reactivity towards peroxyl radicals. This reactivity follows the order quercetin. gallic acid. Trolox. kaempferol. Data obtained employing quercetin and Trolox are compatible with a competitive protection by these antioxidants. Due to the high reactivity of PGR towards peroxyl radicals and its high extinction coefficient at long wavelengths, it is a very suitable molecule to be employed as target in the evaluation of the free radical scavenging capability of very reactive phenolic compounds.</t>
  </si>
  <si>
    <t>Lopez, Camilo/0000-0002-0174-8972</t>
  </si>
  <si>
    <t>1071-5762</t>
  </si>
  <si>
    <t>1029-2470</t>
  </si>
  <si>
    <t>10.1080/10715760500143452</t>
  </si>
  <si>
    <t>WOS:000230614400007</t>
  </si>
  <si>
    <t>Pizarro, M; Lissi, E</t>
  </si>
  <si>
    <t>Red wine antioxidants. Evaluation of their hydrophobicity and binding extent to salivary proteins</t>
  </si>
  <si>
    <t>Absorption by the organism of the antioxidants present in beverages depends on their hydrophobicity and their capacity to avoid precipitation by the proline rich proteins present in saliva. In the present work, we show that the antioxidants present in red wine samples are compounds of high hydrophilicity that are only poorly adsorbed by the proteins present in saliva. The antioxidant capacity of red wine samples is decreased only in 13 % when extracted with n-octanol (1: 1, V:V), irrespective of the pH of the wine sample. Similarly, only a small fraction of the antioxidants (12.2 +/- 3.4 %) is precipitated when wine samples are shaken for a few minutes with non-stimulated human saliva (5: 1, V:V). This last result implies that most of the polyphenols present in the red wine samples are able to surpass the barrier imposed by the saliva.</t>
  </si>
  <si>
    <t>WOS:000185071000011</t>
  </si>
  <si>
    <t>Bueno, C; Encinas, MV</t>
  </si>
  <si>
    <t>Photophysical and photochemical studies of pyridoxamine</t>
  </si>
  <si>
    <t>The absorption and fluorescence emission of pyridoxamine were studied as function of pH and solvent properties. In the ground state, pyridoxamine exhibits different protonated forms in the range of pH 1.5-12. Fluorescence studies showed that the same species exist at the lowest singlet excited state but at different pH ranges. The phenol group is by ca. 8 units more acidic in the excited state than in the ground state. On the other hand. the pyridine N-atom is slightly more basic in the lowest excited state than in the ground state. Excitation spectra and emission decays in the pH range of 8 - 10 indicate the protonation of the pyridine N-atom by proton transfer from the amine group, in the ground and singlet excited states. Spectroscopic studies in different solvents showed that pyridoxamine in the ground or excited states exhibits intramolecular proton transfer from the pyridine N-atom to the phenol group, which is more favorable in solvents of low hydrogen-bonding capacity. The cationic form with the protonated phenolic group, which emits at shorter wavelength, is the dominant species in nonprotic solvents, but, in strong proton-donor solvents, both forms exist. The fluorescence spectra of these species exhibit blue shift in protic solvents. These shifts are well-correlated with the polarity and the H-donor ability of the solvent.</t>
  </si>
  <si>
    <t>10.1002/hlca.200390279</t>
  </si>
  <si>
    <t>WOS:000186446800014</t>
  </si>
  <si>
    <t>Costa-Conceicao, K; Ayala, CAV; Dávila, T; Gallardo, MC</t>
  </si>
  <si>
    <t>Costa-Conceicao, Kennedy; Ayala, Cristina Alejandra Villamar; Davila, Tatiana; Gallardo, Maria Cristina</t>
  </si>
  <si>
    <t>Performance of hybrid biofilter based on rice husks/sawdust treating grey wastewater</t>
  </si>
  <si>
    <t>WATER SCIENCE AND TECHNOLOGY</t>
  </si>
  <si>
    <t>An innovative nature-based technology for wastewater treatment is the hybrid biofiltration, which combines complex symbiotic relationships between plants, earthworms and microorganisms with adequate support components. This latter could be optimized by avoiding the use of non-renewable materials, through the application of organic supports. The aim of this research was to evaluate the performance of hybrid biofilters based on rice husks/sawdust treating grey wastewater from mining camps. Four biofilters using an active layer (rice husks/sawdust: 50/50%, v/v) at 60(B-60) and 45(B-45) cm height and operating for 64 days at a hydraulic loading rate between 1 and 5 m(3)/m(2)d were monitored. Eisenia foetida Savigny and Cyperus papyrus L. were used as a biotic component. COD, N-NH4+, NO3-, NO2-, PO(4)(3-)and fecal coliforms were weekly monitored. Results showed that the most efficient HB was using 60 cm as an active layer and operating at 3 m(3)/m(2)d, which reported average removal efficiencies for COD, NH4+, NO3-, PO(4)(3-)and fecal coliforms up to 85, 89, 47, 49 and 99.9%, respectively. Organic support (rice husks/sawdust) improved the rate growth for Cyperus papirus L. and E. foetida Savigny up to 50%. Hybrid biofiltration using organic residues is low-cost, providing all-encompassing operational and performance features, improving the wastewater reclamation opportunities.</t>
  </si>
  <si>
    <t>Villamar, Cristina-Alejandra/AAB-4154-2019; Costa da Conceicao, Kennedy/KQV-2011-2024</t>
  </si>
  <si>
    <t>Costa da Conceicao, Kennedy/0000-0001-7528-8617</t>
  </si>
  <si>
    <t>0273-1223</t>
  </si>
  <si>
    <t>1996-9732</t>
  </si>
  <si>
    <t>10.2166/wst.2023.132</t>
  </si>
  <si>
    <t>WOS:000980657000001</t>
  </si>
  <si>
    <t>Rojas, A; Velásquez, E; Vidal, CP; Guarda, A; Galotto, MJ; de Dicastillo, CL</t>
  </si>
  <si>
    <t>Rojas, Adrian; Velasquez, Eliezer; Patino Vidal, Cristian; Guarda, Abel; Galotto, Maria Jose; Lopez de Dicastillo, Carol</t>
  </si>
  <si>
    <t>Active PLA Packaging Films: Effect of Processing and the Addition of Natural Antimicrobials and Antioxidants on Physical Properties, Release Kinetics, and Compostability</t>
  </si>
  <si>
    <t>ANTIOXIDANTS</t>
  </si>
  <si>
    <t>The performance characteristics of polylactic acid (PLA) as an active food packaging film can be highly influenced by the incorporation of active agents (AAs) into PLA, and the type of processing technique. In this review, the effect of processing techniques and the addition of natural AAs on the properties related to PLA performance as a packaging material are summarized and described through a systematic analysis, giving new insights about the relation between processing techniques, types of AA, physical-mechanical properties, barriers, optical properties, compostability, controlled release, and functionalities in order to contribute to the progress made in designing antioxidant and antimicrobial PLA packaging films. The addition of AAs into PLA films affected their optical properties and influenced polymer chain reordering, modifying their thermal properties, functionality, and compostability in terms of the chemical nature of AAs. The mechanical and barrier performance of PLA was affected by the AA's dispersion degree and crystallinity changes resulting from specific processing techniques. In addition, hydrophobicity and AA concentration also modified the barrier properties of PLA. The release kinetics of AAs from PLA were tuned, modifying diffusion coefficient of the AAs in terms of the different physical properties of the films that resulted from specific processing techniques. Several developments based on the incorporation of antimicrobial and antioxidant substances into PLA have displayed outstanding activities for food protection against microbial growth and oxidation.</t>
  </si>
  <si>
    <t>Rojas, Adrián/ISB-5770-2023; Patiño Vidal, Cristian Javier/JDM-7961-2023; Lopez-de-Dicastillo, Carol/C-6347-2019</t>
  </si>
  <si>
    <t>VELASQUEZ, ELIEZER/0000-0001-8858-8926; Patino Vidal, Cristian Javier/0000-0002-5633-6908; Lopez-de-Dicastillo, Carol/0000-0003-0067-9765; Rojas, Adrian/0000-0001-9253-1295</t>
  </si>
  <si>
    <t>2076-3921</t>
  </si>
  <si>
    <t>10.3390/antiox10121976</t>
  </si>
  <si>
    <t>WOS:000735842000001</t>
  </si>
  <si>
    <t>Frade, IM; Fuentes, MSL</t>
  </si>
  <si>
    <t>Magana Frade, Irene; Loyola Fuentes, M. Soledad</t>
  </si>
  <si>
    <t>The pandemic device COVID-19: biopolitical captures in migrant alterities and mental health</t>
  </si>
  <si>
    <t>WOS:000651158400004</t>
  </si>
  <si>
    <t>Araya Seguel, Claudio</t>
  </si>
  <si>
    <t>Ideational meanings associated to the gay community in texts from the Chilean cyber press</t>
  </si>
  <si>
    <t>This article describes the participation of social actors from the gay community in the Chilean cyber press between 2012-2017. These texts were gathered in the socio-historical context of significant milestones for the gay community: the Zamudio Case, Anti-discrimination Law, Civil Union Agreement and discussion on Equal Marriage. The participation of these social actors is explored using the IDEATIONAL system from functional systemic linguistics (FSL). The processes associated with the collective and individual actors that represent the gay community in the corpus shape socio-cultural phenomena linked to the political work and influence of these actors in social changes. The social role of the gay community evidences realignments of power relations which can be synthesized in the ideological category political gay and its variants, victim and activist.</t>
  </si>
  <si>
    <t>10.15443/RL3025</t>
  </si>
  <si>
    <t>WOS:000599863100010</t>
  </si>
  <si>
    <t>Herchg, JS; Pizarro, MC</t>
  </si>
  <si>
    <t>Santos Herchg, Jose; Carolina Pizarro, Maria</t>
  </si>
  <si>
    <t>Ghost stories. Spectral persistence of the chilean detention and torture centers</t>
  </si>
  <si>
    <t>The detention and torture centres of the Chilean dictatorship have disappeared or are disappearing. The memories of these places also seem to be lost. We will argue here, however, that the physical disappearance of the places does not imply the loss of all traces, since their memory survives through other means, such as oral tradition. We explore, in particular, the possibility that it is the tales of supernatural activity, the so-called ghost stories, that serve as the public stage for the social memory, allowing it to be summoned.</t>
  </si>
  <si>
    <t>10.7203/KAM.15.17439</t>
  </si>
  <si>
    <t>WOS:000556952000013</t>
  </si>
  <si>
    <t>Contreras, RA; Pizarro, M; Köhler, H; Zamora, P; Zúñiga, GE</t>
  </si>
  <si>
    <t>Contreras, Rodrigo A.; Pizarro, Marisol; Kohler, Hans; Zamora, Pablo; Zuniga, Gustavo E.</t>
  </si>
  <si>
    <t>UV-B shock induces photoprotective flavonoids but not antioxidant activity in Antarctic Colobanthus quitensis (Kunth) Bartl</t>
  </si>
  <si>
    <t>ENVIRONMENTAL AND EXPERIMENTAL BOTANY</t>
  </si>
  <si>
    <t>Colobanthus quitensis, the only dicot that inhabits Antarctica, is subjected to different abiotic factors such as high UV-B levels in spring-summer. Several authors described the flavonoid biosynthesis as crucial to tolerating UV-B enriched environments. The goal of this work is the study of the relationship between biosynthesis of flavonoids, resistance to high UV-B levels and the maintenance of redox homeostasis. With this objective, C. quitensis plantlets were subjected to low, medium and high levels of UV-B radiation, in the presence and absence of aminooxiacetic acid (AOA), a phenylalanine ammonia-lyase (PAL) inhibitor with the aim to determine the role of flavonoids in the capacity of C. quitensis to survive to UV-B. The results showed that plants subjected to increasing levels of UV-B, in the absence of the inhibitor, did not present oxidative damage; on the other hand, plants that were treated by the inhibitor showed oxidative stress symptoms and photosynthetical damage. Oxidative damage was correlated with flavonoids content; at the molecular level, these results showed an increase in transcript levels related to the phenylpropanoid pathway enzymes and their activity, as well as the expression of the UVR8-COP1-HY5 transduction system. Moreover, in AOA treated plants, the results show significant damage and plant death. Our results suggest that the survival mechanism showed by C. quitensis to UV-B radiation is mediated by biosynthesis of flavonoids.</t>
  </si>
  <si>
    <t>Zuñiga, Gustavo/P-8306-2015; Contreras, Rodrigo/I-1871-2013; Zamora, Pablo/D-1612-2012</t>
  </si>
  <si>
    <t>Zuniga, Gustavo/0000-0002-8286-9468; Contreras, Rodrigo/0000-0001-9970-3125</t>
  </si>
  <si>
    <t>0098-8472</t>
  </si>
  <si>
    <t>1873-7307</t>
  </si>
  <si>
    <t>10.1016/j.envexpbot.2018.12.022</t>
  </si>
  <si>
    <t>WOS:000458595000018</t>
  </si>
  <si>
    <t>Knappe, V; Paczkowski, S; Tejada, J; Robles, LAD; Gonzales, A; Pelz, S</t>
  </si>
  <si>
    <t>Knappe, Victoria; Paczkowski, Sebastian; Tejada, Julian; Diaz Robles, Luis Alonzo; Gonzales, Alain; Pelz, Stefan</t>
  </si>
  <si>
    <t>Low temperature microwave assisted hydrothermal carbonization (MAHC) reduces combustion emission precursors in short rotation coppice willow wood</t>
  </si>
  <si>
    <t>JOURNAL OF ANALYTICAL AND APPLIED PYROLYSIS</t>
  </si>
  <si>
    <t>The combustion of biomass can be both CO2 neutral and economically beneficial. One major negative aspect are the gaseous and particle emissions that are formed by inorganic precursors in the biomass. These inorganic elements also cause slag formation. Short rotation coppice (SRC) willow wood contains a relatively large proportion of these precursors. This paper investigates the potential of low temperature Microwave Assisted Hydrothermal Carbonization (MAHC) for the reduction of emission precursors in SRC willow wood. Most of the respective elements were significantly reduced at the selected temperatures of 150 degrees C, 170 degrees C, and 185 degrees C. The most efficient combination of energy input, increasing heating value and decreasing mineral content was obtained at 170 degrees C. This shows the high potential of the MAHC treatment for utilizing low quality biomass as biofuel.</t>
  </si>
  <si>
    <t>Pelz, Stefan/HMV-9809-2023; Diaz-Robles, Luis/D-3450-2013</t>
  </si>
  <si>
    <t>Diaz-Robles, Luis/0000-0002-6098-7746; Pelz, Stefan/0000-0003-3205-7282</t>
  </si>
  <si>
    <t>0165-2370</t>
  </si>
  <si>
    <t>1873-250X</t>
  </si>
  <si>
    <t>10.1016/j.jaap.2018.06.004</t>
  </si>
  <si>
    <t>WOS:000445306600018</t>
  </si>
  <si>
    <t>Magaña, I; Martínez, P; Loyola, MS</t>
  </si>
  <si>
    <t>Magana, Irene; Martinez, Pablo; Loyola, Maria-Soledad</t>
  </si>
  <si>
    <t>Health outcomes of unpaid care workers in low-income and middle-income countries: a protocol for a systematic review</t>
  </si>
  <si>
    <t>BMJ OPEN</t>
  </si>
  <si>
    <t>Introduction The literature on health outcomes of unpaid care work has included studies coming from high-income countries, and has reported gender inequalities that make caregiving women more vulnerable to physical and mental health problems. The impact of unpaid care work on the health of those living in low-income and middle-income countries, where women's autonomy is more limited, is unknown. Methods and analysis We will conduct a systematic review of observational studies on health outcomes according to unpaid caregiving status and sex of people living in low-income and middle-income countries. Cumulative Index to Nursing and Allied Health Literature, PubMed and Scientific Electronic Library Online Citation Index will be searched for reports in English or Spanish with published results from inception to 1 June 2017. We expect the studies to have recruited individuals in lowincome and middle-income countries, including exposed and non-exposed groups to participation in unpaid care to members if their households or community reporting either physical and/or mental health problems, self-reported health-related quality of life, self-care skills/behaviours or use of any healthcare services in the participants. Data extraction, the assessment of risk of bias and confounding, and qualitative synthesis will be carried out by two independent reviewers with the assistance of a third party. Dissemination Results are expected to be published in peer-reviewed journals from the field of health and gender, or health and inequality.</t>
  </si>
  <si>
    <t>Martínez, Pablo/LZF-5853-2025</t>
  </si>
  <si>
    <t>Martinez, Pablo/0000-0003-4482-7993; Loyola, Maria Soledad/0000-0003-1418-558X; Magana, Irene/0000-0002-0096-2432</t>
  </si>
  <si>
    <t>2044-6055</t>
  </si>
  <si>
    <t>e018643</t>
  </si>
  <si>
    <t>10.1136/bmjopen-2017-018643</t>
  </si>
  <si>
    <t>WOS:000431743500088</t>
  </si>
  <si>
    <t>Espejo, AP; Tejo, F; Vidal-Silva, N; Escrig, J</t>
  </si>
  <si>
    <t>Espejo, A. P.; Tejo, F.; Vidal-Silva, N.; Escrig, J.</t>
  </si>
  <si>
    <t>Nanometric alternating magnetic field generator</t>
  </si>
  <si>
    <t>In this work we introduce an alternating magnetic field generator in a cylindrical nanostructure. This field appears due to the rotation of a magnetic domain wall located at some position, generating a magnetic region that varies its direction of magnetization alternately, thus inducing an alternating magnetic flux in its vicinity. This phenomenon occurs due to the competition between a spin-polarized current and a magnetic field, which allows to control both the angular velocity and the pinning position of the domain wall. As proof of concept, we study the particular case of a diameter-modulated nanowire with a spin-polarized current along its axis and the demagnetizing field produced by its modulation. This inhomogeneous field allows one to control the angular velocity of the domain wall as a function of its position along the nanowire allowing frequencies in the GHz range to be achieved. This generator could be used in telecommunications for devices in the range of radiofrequencies or, following Faraday's induction law, could also induce an electromotive force and be used as a movable alternate voltage source in future nanodevices.</t>
  </si>
  <si>
    <t>Tejo, Felipe/IUQ-0578-2023; Escrig, Juan/N-4304-2015; Vidal Silva, Nicolas/IAN-0226-2023</t>
  </si>
  <si>
    <t>Escrig, Juan/0000-0002-3958-8185; Tejo Lazo, Felipe Tejo/0000-0001-7457-7281; Vidal Silva, Nicolas/0000-0002-3717-3816</t>
  </si>
  <si>
    <t>JUL 5</t>
  </si>
  <si>
    <t>10.1038/s41598-017-05026-4</t>
  </si>
  <si>
    <t>WOS:000404846300074</t>
  </si>
  <si>
    <t>Castro, SA; Saavedra, D; Gutiérrez-Tapia, P; Vergara, PM</t>
  </si>
  <si>
    <t>Castro, Sergio A.; Saavedra, Diego; Gutierrez-Tapia, Pablo; Vergara, Pablo M.</t>
  </si>
  <si>
    <t>The austral thrush (Turdus falcklandii) reduces the seed germination for the urban ornamental tree glossy privet (Ligustrum lucidum) in Santiago, Chile</t>
  </si>
  <si>
    <t>BRAZILIAN JOURNAL OF BOTANY</t>
  </si>
  <si>
    <t>Seed dispersal by endozoochory is an important mechanism promoting the spread of exotic fleshy-fruit plants. Although the invasiveness of glossy privet (Ligustrum lucidum W.T. Aiton) in several regions has been associated with the presence of disperser birds, only a few studies have examined their seed germination after dispersal. In Central Chile, the privet grown is an ornamental species, but to date, it has not been observed to settle in natural or seminatural habitats. In Santiago city, the fruits of glossy privet are mainly consumed by the austral thrush (Turdus falcklandii Quoy &amp; Gaimard), which could act as dispersers of their seeds. For this reason, we analyzed the role of endozoochory by the austral thrushes on the germination of glossy privet. We collected seeds from trees and feces of austral thrushes, and then we compared their viabilities and germination percentages. Viability was established using the tetrazolium test, while germination was studied using a factorial experiment (10 seeds in Petri dishes, replicated nine times for both sources). Our results showed that the germination of seeds from feces (58.3 %) was 12 % lower than those from trees (77.7 %), indicating that austral thrushes reduces significantly the germination percentage of the glossy privet. The viabilities of seeds from fruits and feces were 100 %. Because these values may be high enough to allow the population establishment, we suggest that further studies are necessary to examine the role of the endozoochory in the (unsuccessful) spread of the glossy privet in Chile.</t>
  </si>
  <si>
    <t>Saavedra, Diego/IST-8137-2023; Vergara, Pablo/F-2519-2010</t>
  </si>
  <si>
    <t>0100-8404</t>
  </si>
  <si>
    <t>1806-9959</t>
  </si>
  <si>
    <t>10.1007/s40415-016-0286-7</t>
  </si>
  <si>
    <t>WOS:000383389900014</t>
  </si>
  <si>
    <t>Saucedo, S; Contreras, RA; Moenne, A</t>
  </si>
  <si>
    <t>Saucedo, Silvia; Contreras, Rodrigo A.; Moenne, Alejandra</t>
  </si>
  <si>
    <t>Oligo-carrageenan kappa increases C, N and S assimilation, auxin and gibberellin contents, and growth in Pinus radiata trees</t>
  </si>
  <si>
    <t>JOURNAL OF FORESTRY RESEARCH</t>
  </si>
  <si>
    <t>Oligo-carrageenans (OCs) obtained from pure carrageenans extracted from marine red algae stimulate growth by enhancing photosynthesis and basal metabolism in tobacco plants and Eucalyptus trees. In addition, OCs stimulate secondary metabolism, increasing the level of metabolites involved in defense against pathogens. In this work, we analyzed the effect of OC kappa on the increase in height, in activities of basal metabolism enzymes involved in carbon, nitrogen and sulphur assimilation, ribulose 1,5 biphosphate carboxylase/oxygenase (rubisco), glutamate dehydrogenase (GDH) and O-acetylserine thiol-lyase (OASTL), and in the level of growth-promoting hormones, the auxin indole acetic acid (IAA) and the gibberellin GA(3), in pine (Pinus radiata) trees treated with OC kappa at concentrations of 1 and 5 mg mL(-1) and cultivated for 9 months without additional treatment. Pines treated with OC kappa at 1 mg mL(-1) showed a similar increase in height but displayed a higher increased in total chlorophyll, activities of rubisco, GDH and OASTL and level of IAA and GA(3) than those treated with OC kappa at 5 mg mL(-1). Thus, OC kappa stimulates growth and basal metabolism and increases the level of growth-promoting hormones in pine trees, mainly at 1 mg mL(-1).</t>
  </si>
  <si>
    <t>Contreras, Rodrigo/I-1871-2013</t>
  </si>
  <si>
    <t>Contreras, Rodrigo/0000-0001-9970-3125</t>
  </si>
  <si>
    <t>1007-662X</t>
  </si>
  <si>
    <t>1993-0607</t>
  </si>
  <si>
    <t>10.1007/s11676-015-0061-9</t>
  </si>
  <si>
    <t>WOS:000358612800010</t>
  </si>
  <si>
    <t>Rosas, E; Garay, F; Hidalgo, N; Marin, O</t>
  </si>
  <si>
    <t>HadjadjAoul, Y</t>
  </si>
  <si>
    <t>Rosas, Erika; Garay, Felipe; Hidalgo, Nicolas; Marin, Olivier</t>
  </si>
  <si>
    <t>Mobility-aware DTN protocols for post-disaster scenarios</t>
  </si>
  <si>
    <t>2015 2ND INTERNATIONAL CONFERENCE ON INFORMATION AND COMMUNICATION TECHNOLOGIES FOR DISASTER MANAGEMENT (ICT-DM)</t>
  </si>
  <si>
    <t>2nd International Conference on Information and Communication Technologies for Disaster Management (ICT-DM)</t>
  </si>
  <si>
    <t>NOV 30-DEC 02, 2015</t>
  </si>
  <si>
    <t>Rennes, FRANCE</t>
  </si>
  <si>
    <t>Informatics Mathematics,IEEE France Sect,CERIST,IEEE,IEEE Communicat soc,Fondation Rennes 1,Region Bretagne,Metropole Rennes,Univ Rennes 1</t>
  </si>
  <si>
    <t>Collecting and disseminating critical information in the direct aftermath of a disaster is very challenging: communication infrastructures are very likely to fail, and mobility becomes severely limited. Current solutions rely on traditional delay tolerant network (DTN) protocols amongst mobile devices to gather and relay vital data, but they induce an irreconcilable trade-off between delivery ratios and cost-efficiency. This paper proposes to combine protocols on every device: the mobility behavior of the device determines the routing protocol that it enforces. Simulations show that our hybrid approach minimizes message overhead and energy consumption whilst ensuring fair delivery ratios.</t>
  </si>
  <si>
    <t>Rosas, Erika/AFY-6048-2022; Marin, Olivier/K-3098-2015</t>
  </si>
  <si>
    <t>Marin, Olivier/0000-0002-6806-2684; Hidalgo, Nicolas/0000-0003-0831-9350; Rosas Olivos, Erika Susana/0000-0003-0377-0193</t>
  </si>
  <si>
    <t>978-1-4799-9923-1</t>
  </si>
  <si>
    <t>WOS:000380587200025</t>
  </si>
  <si>
    <t>In search of the thermo/halochromism of the ET(30) pyridinium-N-phenolate betaine dye</t>
  </si>
  <si>
    <t>SPECTROCHIMICA ACTA PART A-MOLECULAR AND BIOMOLECULAR SPECTROSCOPY</t>
  </si>
  <si>
    <t>The thermohalochromic behavior of Reichardt's E-T(30) betaine - the temperature-dependent variation of its halochromic band in the presence of a cation - was investigated for the first time in Nal solutions of HBD- (methanol, ethanol, 1-propanol, 1-butanol) and non-HBD-solvents (acetonitrile, dimethylformamide) at 15 and 55 degrees C. The solvent-dependent thermohalochromism of the pyridinium-N-phenolate betaine dye was interpreted in terms of the effect of the temperature on the dye-cation association in solution. (C) 2012 Elsevier B.V. All rights reserved.</t>
  </si>
  <si>
    <t>Rezende, Marcos/0000-0003-2040-9009; Aracena, Andres/0000-0002-8367-3520</t>
  </si>
  <si>
    <t>1386-1425</t>
  </si>
  <si>
    <t>10.1016/j.saa.2012.08.032</t>
  </si>
  <si>
    <t>WOS:000310665200004</t>
  </si>
  <si>
    <t>Siginer, DA; Letelier, MF</t>
  </si>
  <si>
    <t>Siginer, Dennis A.; Letelier, Mario F.</t>
  </si>
  <si>
    <t>Laminar flow of non-linear viscoelastic fluids in straight tubes of arbitrary contour (vol 54, pg 2188, 2011)</t>
  </si>
  <si>
    <t>10.1016/j.ijheatmasstransfer.2011.07.034</t>
  </si>
  <si>
    <t>WOS:000302191100054</t>
  </si>
  <si>
    <t>Lissi, E; Abuin, E</t>
  </si>
  <si>
    <t>Lissi, Eduardo; Abuin, Elsa</t>
  </si>
  <si>
    <t>On the Evaluation of the Number of Binding Sites in Proteins From Steady State Fluorescence Measurements</t>
  </si>
  <si>
    <t>JOURNAL OF FLUORESCENCE</t>
  </si>
  <si>
    <t>The number of binding sites for a given solute in a protein is a most relevant parameter. This number can be derived from fluorescence quenching data which provides the fraction of sites occupied at a given free solute concentration. Data are generally treated according to Scatchard's or Ward's equations. Lately, a double logarithmic plot of the data has been extensively used with this purpose. The present communication discus the validity of this procedure. It is concluded that this type of plot provides an evaluation of the stoichiometry (molecularity) of the binding process but not the number of equivalent binding sites per protein.</t>
  </si>
  <si>
    <t>1053-0509</t>
  </si>
  <si>
    <t>1573-4994</t>
  </si>
  <si>
    <t>10.1007/s10895-011-0887-2</t>
  </si>
  <si>
    <t>WOS:000296475900001</t>
  </si>
  <si>
    <t>Abuin, E; Lissi, E; Duarte, R</t>
  </si>
  <si>
    <t>Distinct effect of a cationic surfactant on the transient and steady state phases of 2-naphthyl acetate hydrolysis catalyzed by α-chymotrypsin</t>
  </si>
  <si>
    <t>JOURNAL OF MOLECULAR CATALYSIS B-ENZYMATIC</t>
  </si>
  <si>
    <t>Results obtained on the effect of addition of dodecyltrimethylammonium bromide (DTAB) upon the alpha-chymotrypsin (alpha-CT) catalyzed hydrolysis of 2-naphthyl acetate (2-NA) under steady state conditions for the acyl-enzyme intermediate are compared with those previously obtained in the transient (pre-steady state or burst) phase. It is found that, while in the transient phase there is no effect of DTAB addition on the kinetic parameters at concentrations below the critical micelle concentration (CMC) of the surfactant, super-activity is observed when the acyl-enzyme intermediate reaches the steady state condition. This difference implies that the surfactant does not modify either the formation or the decomposition of the enzyme-substrate complex (transient phase) but notably increases the rate of disruption of the acyl-enzyme intermediate. (C) 2004 Elsevier B.V. All rights reserved.</t>
  </si>
  <si>
    <t>1381-1177</t>
  </si>
  <si>
    <t>1873-3158</t>
  </si>
  <si>
    <t>10.1016/j.molcatb.2004.07.009</t>
  </si>
  <si>
    <t>WOS:000225517400002</t>
  </si>
  <si>
    <t>Linares, C; Geraldo, D; Paez, M; Zagal, JH</t>
  </si>
  <si>
    <t>Non-linear correlations between formal potential and Hammett parameters of substituted iron phthalocyanines and catalytic activity for the electro-oxidation of hydrazine</t>
  </si>
  <si>
    <t>The activity of the different iron phthalocyanines was examined using the complexes adsorbed on graphite electrodes. The effect of the Fe(II)/(I) formal potential of iron phthalocyanines on the their catalytic activity for the electro-oxidation of hydrazine was investigated. A plot of log k (rate constant at constant potential) versus the Fe(II)/(I) formal potential gives a volcano curve. The rate of the reaction increases with the driving force of the catalyst (measured as its formal potential) and then decreases for higher driving forces. A similar graph is obtained with a plot of log k versus the sum of the Hammett parameters of the substituents on the periphery of the phthalocyanine ligand. A maximum activity is obtained for a complexes having an M(II)/(I) redox potential close to -0.6 V which agrees with previous studies conducted with phthalocyanines of different metals and with cobalt phthalocyanines bearing different substituents.</t>
  </si>
  <si>
    <t>Paez, Maritza/M-2010-2014; zagal, jose/L-9648-2014</t>
  </si>
  <si>
    <t>Linares-Flores, Cristian/0000-0002-2967-0388; paez, maritza/0000-0001-5881-884X; Geraldo, Daniela/0000-0001-6029-5697</t>
  </si>
  <si>
    <t>10.1007/s10008-003-0437-1</t>
  </si>
  <si>
    <t>WOS:000185671900019</t>
  </si>
  <si>
    <t>Barbosa, LB; Ardila, DR; Andreeta, JP</t>
  </si>
  <si>
    <t>Growth of double perovskite Ca2FeMoO6 crystals by a floating zone technique</t>
  </si>
  <si>
    <t>JOURNAL OF CRYSTAL GROWTH</t>
  </si>
  <si>
    <t>Optimized conditions for the growth of good quality double-perovskite transition metal oxide Ca2FeMoO6 crystals by a floating zone technique have been investigated. It was verified that the formation of single phase Ca2FeMoO6 in a large volume of as-grown crystals was found to occur only when isostatic inert atmosphere (ultrapure N-2) at a specific pressure range (0.25-0.50atm) and unreacted starting reagents are used. A secondary phase was evidenced and identified as CaMoO4 from structural refinement data. It is present mainly far from the middle region of 30 mm length crystals grown under more adequate conditions and represents not more than 6.5% in mass percentage. Thermal analysis measurements in air and N-2 reveal that the best as-grown crystal is stable from room temperature to about 1395degreesC, where main and secondary endothermic reactions are evidenced. (C) 2003 Elsevier Science B.V. All rights reserved.</t>
  </si>
  <si>
    <t>Barbosa, L.B./R-3411-2016</t>
  </si>
  <si>
    <t>0022-0248</t>
  </si>
  <si>
    <t>10.1016/S0022-0248(03)01157-6</t>
  </si>
  <si>
    <t>WOS:000183468100013</t>
  </si>
  <si>
    <t>Marín, J; Olivares, L; Ordoñez, S; Martínez, V</t>
  </si>
  <si>
    <t>Salgado, L; Filho, FA</t>
  </si>
  <si>
    <t>Wetting of silicon carbide by Cu-Si alloys</t>
  </si>
  <si>
    <t>ADVANCED POWDER TECHNOLOGY III</t>
  </si>
  <si>
    <t>3rd International Latin-American Conference on Powder Technology</t>
  </si>
  <si>
    <t>NOV 26-28, 2001</t>
  </si>
  <si>
    <t>SANTA CATARINA, BRAZIL</t>
  </si>
  <si>
    <t>Assoc Brazilian Ceram</t>
  </si>
  <si>
    <t>Knowledge of the characteristic features of the Cu/SiC interface is of basic concern in relation to the properties of SiC-Cu alloy composite materials. Wettability in the Cu/SiC system is a major variable for obtaining composites by the liquid infiltration process. The contact angle between pure Cu and SiC at 1100degreesC is 140 and the bonding is weak, furthermore investigations of the wetting properties of molten Cu with SiC have shown that Cu decomposes SiC to form a Cu-Si alloy and graphite. Addition of small amount of Si to the copper has also been observed to inhibit the Cu-SiC reaction. The variation with temperature and time of the contact angle formed by molten Cu-Si alloys with two types of polycrystalline SiC (with and without free Si) was measured by the sessile drop method in a vacuum between 10(-4) to 10(-5) Pa at 1200degreesC. The obtained specimens were subsequently characterized by Scanning Electron Microscopy and EDX in order to study the interaction between the aforementioned metallic systems and SiC, and the type of interface developed after such treatment.</t>
  </si>
  <si>
    <t>0-87849-912-1</t>
  </si>
  <si>
    <t>416-4</t>
  </si>
  <si>
    <t>10.4028/www.scientific.net/MSF.416-418.487</t>
  </si>
  <si>
    <t>WOS:000182605200080</t>
  </si>
  <si>
    <t>Valdebenito, A; Lissi, EA; Encinas, MV</t>
  </si>
  <si>
    <t>Effect of phenols on the free-radical photopolymerization of vinyl monomers in aqueous solution</t>
  </si>
  <si>
    <t>MACROMOLECULAR CHEMISTRY AND PHYSICS</t>
  </si>
  <si>
    <t>1022-1352</t>
  </si>
  <si>
    <t>AUG 30</t>
  </si>
  <si>
    <t>10.1002/1521-3935(20010801)202:12&lt;2581::AID-MACP2581&gt;3.0.CO;2-O</t>
  </si>
  <si>
    <t>WOS:000170985400013</t>
  </si>
  <si>
    <t>Lissi, EA; Pizarro, M; Aspee, A; Romay, C</t>
  </si>
  <si>
    <t>Kinetics of phycocyanine bilin groups destruction by peroxyl radicals</t>
  </si>
  <si>
    <t>Bilin groups in c-phycocyanine are readily bleached by peroxyl radicals produced in the thermolysis of 2,2'-azobis(2-amidinopropane). From an evaluation of the bilin groups destroyed per radical that interacts with the protein, it is concluded that the bilin moiety is the main target of the radicals. Kinetic expressions are derived that allows an estimation of the substrate reactivity from the analysis of the rate of bilin group modification as a function of the protein concentration. From this analysis it is concluded that micromolar concentrations of c-phycocyanine are able to reduce the steady state concentration of the peroxyl radicals by one half, indicating a high antioxidant activity for this compound. This conclusion is confirmed by measuring the capacity of the protein to protect 1-naphthol from modification by peroxyl radicals. The results obtained show that the bilin groups have, on a molar basis, an antioxidant activity similar to that of potent antioxidants such as catechin. (C) 2000 Elsevier Science Inc.</t>
  </si>
  <si>
    <t>10.1016/S0891-5849(00)00193-3</t>
  </si>
  <si>
    <t>WOS:000087551200005</t>
  </si>
  <si>
    <t>Lissi, EA; Abuin, EB; Rubio, MA; Cerón, A</t>
  </si>
  <si>
    <t>Fluorescence of prodan and laurdan in AOT/heptane/water microemulsions:: Partitioning of the probes and characterization of microenvironments</t>
  </si>
  <si>
    <t>The partitioning of laurdan and prodan between the external solvent and the microaggregates in AOT/ heptane/water water-in-oil microemulsions has been measured. We have also evaluated the dependence of the fluorescence spectra (as determined by the generalized polarization, GP) with the water content of the microemulsion and the characteristics of the emission and excitation GP spectra in order to assess the properties of the average microenvironments sensed by the microaggregate-bound probes. Partition constants (K, molar concentration units) were evaluated from the change in fluorescence intensity (at a fixed probe concentration) with the AOT concentration (at fixed W = (water)/(AOT) values). For W values greater than or equal to 10, a value K = 1.0 +/- 0.2 M-1 was obatined, both for laurdan and prodan. This result indicates that neither the length of the probe hydrophobic tail nor the size of the water pool significantly modifies the affinity of the probe for the microaggregates. Even lower values of K were obtained at lower W values. GP values strongly decrease for both probes when W increases up to ca. 10, a result that indicates an increase in water relaxation rates when the water/surfactant ratio increases up to the total surfactant head hydration. On the other hand, very small changes in GP are observed when W changes between 10 and 20. All these results indicate that probes associated to the microaggregates are located at the interface and that the properties of this region remain almost constant after total surfactant head hydration. GP values and CP spectra of laurdan molecules associated to the fully hydrated microaggregate interface are similar to those reported in phospholipid vesicles in the liquid crystalline state. As in this system, and despite their localization at the interface, laurdan molecules do not constitute a homogeneous population.</t>
  </si>
  <si>
    <t>JAN 11</t>
  </si>
  <si>
    <t>10.1021/la990720n</t>
  </si>
  <si>
    <t>WOS:000084698900028</t>
  </si>
  <si>
    <t>Moya, SA; Schmidt, R; Pastene, R; Sartori, R; Muller, U; Frenzen, G</t>
  </si>
  <si>
    <t>Crystal structure and spectroscopic data of fac-tricarbonylbromo(3,3'-trimethylene-2,2'-bi-1,8-naphthyridine)rhenium(I), Re(CO)(3)Br(C19H14N4)</t>
  </si>
  <si>
    <t>ORGANOMETALLICS</t>
  </si>
  <si>
    <t>The title compound 1 was obtained from Re(CO)(5)Br and the binaphthyridine in heptane. Its X-ray crystal structure determination shows a molecular structure with the two nitrogen atoms in positions 1 and 1' acting as a bidentate chelate ligand to the Re atom. H-1 NMR, UV-vis, and IR spectroscopic data are reported and assigned.</t>
  </si>
  <si>
    <t>PASTENE OLIVARES, RUBEN/0000-0002-7137-0303</t>
  </si>
  <si>
    <t>0276-7333</t>
  </si>
  <si>
    <t>10.1021/om960107o</t>
  </si>
  <si>
    <t>WOS:A1996UZ01600031</t>
  </si>
  <si>
    <t>FaundezAbans, M; Ormeno, MI; deOliveiraAbans, M</t>
  </si>
  <si>
    <t>Classification of planetary nebulae by cluster analysis and artificial neural networks</t>
  </si>
  <si>
    <t>ASTRONOMY &amp; ASTROPHYSICS SUPPLEMENT SERIES</t>
  </si>
  <si>
    <t>According to the chemical composition, a sample of 192 Planetary Nebulae of different types has been re-classified, and 41 others have been classified for the first time, by means of two methods not employed so far in this field: hierarchical cluster analysis and supervised artificial neural network. The cluster analysis reveals itself as a good first guess for grouping Planetary Nebulae, while an artificial neural network provides reliable automated classification of this kind of objects.</t>
  </si>
  <si>
    <t>de Oliveira-Abans, Mariangela/B-4655-2012</t>
  </si>
  <si>
    <t>de Oliveira-Abans, Mariangela/0000-0002-6696-3964</t>
  </si>
  <si>
    <t>0365-0138</t>
  </si>
  <si>
    <t>10.1051/aas:1996122</t>
  </si>
  <si>
    <t>WOS:A1996UE74000015</t>
  </si>
  <si>
    <t>Fediakova, E; Kahn, LA</t>
  </si>
  <si>
    <t>Fediakova, Evguenia; Kahn, Luis Aranguiz</t>
  </si>
  <si>
    <t>The Emergence of Post-material Religious Politics: The Case of the Affinity Between Evangelicals and the Right-Wing in Democratic Chile (1995-2021)</t>
  </si>
  <si>
    <t>INTERNATIONAL JOURNAL OF LATIN AMERICAN RELIGIONS</t>
  </si>
  <si>
    <t>There has been a growing link between evangelical sectors and political life in Chile since the return to democracy. The inclusion of evangelicals in parties of the right-wing sector has been notorious and has enabled evangelicals to participate in elections, with some of them even winning public seats. This article explores the main aspects of this relationship in the 1995-2021 period in order to shed light on its origins and distinctive features, focusing on the development of this interaction since 2017. It is argued that the parallel processes of politicization and shift towards the right-wing of evangelical sectors occur within a post-material cleavage that was motivated by the search for new spaces to defend evangelical values in the political arena.</t>
  </si>
  <si>
    <t>2509-9957</t>
  </si>
  <si>
    <t>2509-9965</t>
  </si>
  <si>
    <t>10.1007/s41603-024-00266-5</t>
  </si>
  <si>
    <t>WOS:001359337700001</t>
  </si>
  <si>
    <t>Avila, MC; Barría, SN</t>
  </si>
  <si>
    <t>Avila, Mariela Cecilia; Barria, Sandra Navarrete</t>
  </si>
  <si>
    <t>Tango, tragedy and comedy: Tanguedia or the shapes of the rioplatense's exile in a film by Fernando Pino Solanas</t>
  </si>
  <si>
    <t>The film Tangos. El exilio de Gardel by the Argentinian director Fernando Pino Solanas offers multiple elements to think and analyze exile and the diverse phenomena that it arises. In a succession of scenes, stories of banished women and men are told, which unity is the exile experience. The general and subjective break that exile institues, in this article will consider two perspectives: first, attending to the Tanguedia, as the artistic expression developed in the film, which despite seeking an end, must endure its impossibility of conclusion. The second perspective is based on the family ties of the two women protagonists of the film, where exile is present, puncturing everyday life and breaking it from its core. Both the experiences of Juan one and Juan two, as well as those of a mother and her daughter, are anchored in and to exile, converging in an impossibility. Such impossibility is the ontological impossibility of reaching a center and unity, since the origin that creates them is irrevocably broken.</t>
  </si>
  <si>
    <t>WOS:001416120600026</t>
  </si>
  <si>
    <t>Cruz, N; González, E; Jovel, J</t>
  </si>
  <si>
    <t>Cruz, Norman; Gonzalez, Esteban; Jovel, Jose</t>
  </si>
  <si>
    <t>Study of a Viscous AWDM Model: Near-Equilibrium Condition, Entropy Production, and Cosmological Constraints</t>
  </si>
  <si>
    <t>Extensions to a Lambda DM model have been explored in order to face current tensions that occur within its framework, which encompasses broadening the nature of the dark matter (DM) component to include warmness and a non-perfect fluid description. In this paper, we investigated the late-time cosmological evolution of an exact solution recently found in the literature, which describes a viscous warm Lambda DM model (Lambda WDM) with a DM component that obeys a polytropic equation of state (EoS), which experiences dissipative effects with a bulk viscosity proportional to its energy density, with proportionality constant xi(0) . This solution has the particularity of having a very similar behavior to the Lambda CDM model for small values of xi(0), evolving also to a de Sitter type expansion in the very far future. We explore firstly the thermodynamic consistences of this solution in the framework of Eckart's theory of non-perfect fluids, focusing on the fulfillment of the two following conditions: (i) the near-equilibrium condition and (ii) the positiveness of the entropy production. We explore the range of parameters of the model that allow to fulfill these two conditions at the same time, finding that a viscous WDM component is compatible with both ones, being in this sense, a viable model from the thermodynamic point of view. Furthermore, we constrained the free parameters of the model with the observational data coming from supernovae Ia (SNe Ia) and the observational Hubble parameter data (OHD), using these thermodynamics analyses to define the best priors for the cosmological parameters related to the warmness and the dissipation of the DM, showing that this viscous Lambda WDM model can describe the combined SNe Ia+OHD data in the same way as the Lambda CDM model. The cosmological constraint at 3 sigma CL gives us an upper limit on the bulk viscous constant of order xi(0)similar to 10(6) Pa.s, which is in agreement with some previous investigations. Our results support that the inclusion of a dissipative WDM, as an extension of the standard cosmological model, leads to a both thermodynamically consistent and properly fitted cosmological evolution.</t>
  </si>
  <si>
    <t>Cruz, Norman/0000-0002-0737-3497</t>
  </si>
  <si>
    <t>10.3390/sym14091866</t>
  </si>
  <si>
    <t>WOS:000859547600001</t>
  </si>
  <si>
    <t>Chi-Duran, I; Fritz, RA; Urzua-Leiva, R; Cardenas-Jiron, G; Singh, DP; Herrera, F</t>
  </si>
  <si>
    <t>Chi-Duran, Ignacio; Fritz, Ruben A.; Urzua-Leiva, Rodrigo; Cardenas-Jiron, Gloria; Singh, Dinesh Pratap; Herrera, Felipe</t>
  </si>
  <si>
    <t>Anisotropic Band-Edge Absorption of Millimeter-Sized Zn(3-ptz)2 Single-Crystal Metal-Organic Frameworks</t>
  </si>
  <si>
    <t>Metal-organic frameworks (MOFs) have emerged as promising tailor-designed materials for developing next-generation solid-state devices with applications in linear and nonlinear coherent optics. However, the implementation of functional devices is challenged by the notoriously difficult process of growing large MOF single crystals of high optical quality. By controlling the solvothermal synthesis conditions, we succeeded in producing large individual single crystals of the noncentrosymmetric MOF Zn(3-ptz)(2) (MIRO-101) with a deformed octahedron habit and surface areas of up to 37 (mm)(2). We measured the UV-vis absorption spectrum of individual Zn(3-ptz)(2) single crystals across different lateral incidence planes. Millimeter-sized single crystals have a band gap of E-g = 3.32 eV and exhibit anisotropic absorption in the band-edge region near 350 nm, whereas polycrystalline samples are fully transparent in the same frequency range. Using solid-state density functional theory (DFT), the observed size dependence in the optical anisotropy is correlated with the preferred orientation adopted by pyridyl groups under conditions of slow crystal self-assembly. Our work thus paves the way for the development of optical polarization switches based on metal- organic frameworks.</t>
  </si>
  <si>
    <t>Herrera, Felipe/KHD-8453-2024; Cardenas-Jiron, Gloria/H-9508-2012; Urzua-Leiva, Rodrigo/Y-9809-2018; SINGH, DINESH/A-2509-2011</t>
  </si>
  <si>
    <t>Cardenas-Jiron, Gloria/0000-0003-4305-8088; Urzua-Leiva, Rodrigo/0000-0002-6953-2721; Fritz Fritz, Ruben Alejandro/0000-0002-6691-4740; SINGH, DINESH/0000-0002-2893-7749</t>
  </si>
  <si>
    <t>JUL 19</t>
  </si>
  <si>
    <t>10.1021/acsomega.2c01856</t>
  </si>
  <si>
    <t>JUL 2022</t>
  </si>
  <si>
    <t>WOS:000827448600001</t>
  </si>
  <si>
    <t>Paredes-Toledo, J</t>
  </si>
  <si>
    <t>Paredes-Toledo, Javier</t>
  </si>
  <si>
    <t>Roasted chickpeas as a probiotic carrier to improve L. plantarum 299v survival during storage</t>
  </si>
  <si>
    <t>Probiotic incorporation in non-dairy food may be a good strategy to extend shelf-life and diversify probiotic sources, and a new approach could be the use of consumable seeds as probiotic carriers. In this work, almonds, pumpkin seeds, and roasted chickpeas were immersed in L. plantarum 299v and L. rhamnosus GG dispersions and dried at 42 degrees C. Immediately after drying, seeds with L. rhamnosus GG had less than 7 log CFU/g in all seeds, while with L. plantarum 299v had higher cell counts than the minimum recommended (7 log CFU/g), showing a good probiotic absorption efficiency. After 3 months of storage, roasted chickpeas were able to protect L. plantarum 299v as its survival was 9.23 log CFU/g at 4 degrees C, and 7.30 log CFU/g at 25 degrees C, showing it could be a good candidate to use as a carrier to extend the shelf-life of this specific strain.</t>
  </si>
  <si>
    <t>Paredes-Toledo, Javier/0000-0003-1354-2434</t>
  </si>
  <si>
    <t>10.1016/j.lwt.2021.111471</t>
  </si>
  <si>
    <t>WOS:000663383500007</t>
  </si>
  <si>
    <t>Giglio, J; Gaete-Lucero, G; Villalobos-Cid, M</t>
  </si>
  <si>
    <t>Giglio, Juan; Gaete-Lucero, Gabriel; Villalobos-Cid, Manuel</t>
  </si>
  <si>
    <t>Classification of Chileans public hospitals based on healthcare production using clustering techniques</t>
  </si>
  <si>
    <t>2021 40TH INTERNATIONAL CONFERENCE OF THE CHILEAN COMPUTER SCIENCE SOCIETY (SCCC)</t>
  </si>
  <si>
    <t>40th International Conference of the Chilean-Computer-Science-Society (SCCC)</t>
  </si>
  <si>
    <t>NOV 15-19, 2021</t>
  </si>
  <si>
    <t>Univ La Serena, La Serena, CHILE</t>
  </si>
  <si>
    <t>Univ La Serena</t>
  </si>
  <si>
    <t>Governments worldwide have adopted different strategies fronting the pandemic associated with the SARS-CoV-2. These measures include different approaches to assign and manage the resources, control the spread of the virus, and mitigate the contagious. The technical efficiency allows evaluating the success rate in government managing and health facilities performance. Since technical efficiency is a relative measure, experts must compare the hospitals by adjusting their production according to the type of patient treated: case-mix. The literature recommends using the Related Groups for Diagnosis system (DRG) to adjust hospitals' production. However, only 80 of the more than 195 public hospitals have implemented this system in Chile, limiting the evaluation of technical efficiency. The Ministry of Health of Chile (MINSAL) has proposed an administrative categorisation for the public hospitals: high, medium, and low complexity. Managers can use this classification to group the hospitals avoiding bias. However, how good is this classification according to the data science point of view? In this work, we evaluate the categorisation proposed by MINSAL by applying internal clustering indexes and input features associated with healthcare production related to case-mix, considering different clustering techniques and an ad-hoc NSGA-II strategy. After evaluating alternative partitions where the latter obtains the best quality scores, we propose a new classification for technical efficiency analyses.</t>
  </si>
  <si>
    <t>Villalobos-Cid, Manuel/AFK-0866-2022</t>
  </si>
  <si>
    <t>Giglio G., Juan/0009-0006-5333-9069; Villalobos-Cid, Manuel/0000-0002-1145-2016</t>
  </si>
  <si>
    <t>978-1-6654-0956-8</t>
  </si>
  <si>
    <t>10.1109/SCCC54552.2021.9650434</t>
  </si>
  <si>
    <t>WOS:000765927700043</t>
  </si>
  <si>
    <t>Fredes, P; Raff, U; Gramsch, E; Tarkowski, M</t>
  </si>
  <si>
    <t>Fredes, Pablo; Raff, Ulrich; Gramsch, Ernesto; Tarkowski, Marcelo</t>
  </si>
  <si>
    <t>Estimation of the Ultraviolet-C Doses from Mercury Lamps and Light-Emitting Diodes Required to Disinfect Surfaces</t>
  </si>
  <si>
    <t>JOURNAL OF RESEARCH OF THE NATIONAL INSTITUTE OF STANDARDS AND TECHNOLOGY</t>
  </si>
  <si>
    <t>Disinfection of surfaces by ultraviolet-C (UV-C) radiation is gaining importance in diverse applications. However, there is generally no accepted computational procedure to determine the minimum irradiation times and UV-C doses required for reliable and secure disinfection of surfaces. UV-C dose distributions must be comparable for devices presently on the market and future ones, as well as for the diverse surfaces of objects to be disinfected. A mathematical model is presented to estimate irradiance distributions. To this end, the relevant parameters are defined. These parameters are the optical properties of the UV-C light sources, such as wavelength and emitted optical power, as well as electrical features, like radiant efficiency and consumed power. Furthermore, the characteristics and geometry of the irradiated surfaces as well as the positions of the irradiated surfaces in relation to the UV-C light sources are considered. Because mercury (Hg) lamps are competitive with UV-C light-emitting diodes, a comparative analysis between these two light sources based on the simulation results is also discussed.</t>
  </si>
  <si>
    <t>Fredes, Pablo/0000-0002-4546-5245</t>
  </si>
  <si>
    <t>1044-677X</t>
  </si>
  <si>
    <t>2165-7254</t>
  </si>
  <si>
    <t>AUG 20</t>
  </si>
  <si>
    <t>10.6028/jres.126.025</t>
  </si>
  <si>
    <t>WOS:000687787700001</t>
  </si>
  <si>
    <t>Cabezas, R; Prieto, V; Plaza, A; Merlet, G; Quijada-Maldonado, E; Torres, A; Yáñez, M; Romero, J</t>
  </si>
  <si>
    <t>Cabezas, Rene; Prieto, Valentina; Plaza, Andrea; Merlet, Gaston; Quijada-Maldonado, Esteban; Torres, Alejandra; Yanez-S, Mauricio; Romero, Julio</t>
  </si>
  <si>
    <t>Extraction of Vanillin from Aqueous Matrices by Membrane-Based Supercritical Fluid Extraction: Effect of Operational Conditions on Its Performance</t>
  </si>
  <si>
    <t>INDUSTRIAL &amp; ENGINEERING CHEMISTRY RESEARCH</t>
  </si>
  <si>
    <t>Supercritical fluid extraction, using a hollow fiber membrane contactor (HFMC), is an attractive and feasible process for the food industry due to the controlled contact between the phases and the safety that the membrane processes allow. This research aimed at the extraction of vanillin from an aqueous solution with supercritical carbon dioxide (SCCO2). The highest extraction percentage and permeate flux of the system were established through the evaluation of operational parameters. The extraction was developed using an HFMC under steady-state conditions and by varying the vanillin concentration (70-500 ppm), temperature (35-50 degrees C) and pressure of the system (75-140 bar), aqueous solution flow rates (0.1-0.5 mL min(-1)), and SCCO2 flowrates (50-80 mL min(-1) in standard conditions).Experimental results showed the feasibility of extracting vanillin in one step, obtaining extraction percentages between 24.51 and 47.97%. Simultaneously, the mass transfer analysis of the HMFC by means of numerical simulation based on the theory of a resistancein-series model depicted the negative effect of the temperature on the extraction capacity of this system. In an overall analysis and for the changes in the pressure and temperature of the system, it was possible to demonstrate that the phase equilibrium established at the aqueous-SCCO2 interface was determinant in the separation performance of this membrane contactor process.</t>
  </si>
  <si>
    <t>Quijada-Maldonado, Esteban/0000-0003-1411-4327; Romero, Julio/0000-0002-1229-1592; Cabezas, Rene/0000-0002-4162-3429; Plaza, Andrea/0000-0001-9475-007X; Merlet Venturelli, Gaston/0000-0003-2602-6471</t>
  </si>
  <si>
    <t>0888-5885</t>
  </si>
  <si>
    <t>AUG 5</t>
  </si>
  <si>
    <t>10.1021/acs.iecr.0c01272</t>
  </si>
  <si>
    <t>WOS:000558791400023</t>
  </si>
  <si>
    <t>Herrera, F</t>
  </si>
  <si>
    <t>Herrera, Felipe</t>
  </si>
  <si>
    <t>Photochemistry with Quantum Optics from a Non-Adiabatic Quantum Trajectory Perspective</t>
  </si>
  <si>
    <t>CHEM</t>
  </si>
  <si>
    <t>Strong light-matter interaction with confined electromagnetic fields has emerged as a potential route to manipulate chemical reactivity and dynamics even in the absence of laser driving. In this issue of Chem, Fregoni et al. predict that the isomerization quantum yields of azobenzene can be enhanced inside a plasmonic nanocavity in comparison with free space, by performing a realistic non-adiabatic quantum trajectory study that does not neglect photonic dissipation. This prediction contradicts previous model calculations and thus may stimulate further experimental work.</t>
  </si>
  <si>
    <t>Herrera, Felipe/KHD-8453-2024</t>
  </si>
  <si>
    <t>2451-9294</t>
  </si>
  <si>
    <t>JAN 9</t>
  </si>
  <si>
    <t>10.1016/j.chempr.2019.12.025</t>
  </si>
  <si>
    <t>WOS:000506655500003</t>
  </si>
  <si>
    <t>Candia, JG; Cifuentes, JE; Salazar, YV</t>
  </si>
  <si>
    <t>Gonzalez Candia, Julio; Espinoza Cifuentes, Jennifer; Villavicencio Salazar, Yuri</t>
  </si>
  <si>
    <t>Reduction of the Labor Day in Chile: criteria to contribute to the discussion considering people's quality of life, the impact on employment and labor productivity</t>
  </si>
  <si>
    <t>A topic of interest to professionals involved in the workplace since its inception has been how one person distributes the time of their work and individual activities to achieve the reconciliation work/family or work/person understanding that the subjects develop and develop in different areas or dimensions and not exclusively in the workspace. However, a Chilean worker is currently subject to the demands of his or her role, which directly undermine the achievement of such a reconciliation, and therefore, his or her health. This is mainly attributed to the large number of hours devoted to productive activity. The objective of this paper is to generate approaches, with technical foundations, that allow contributing to the academic and professional discussion regarding the proposal to reduce working hours in Chile in the areas of the quality of life of people, impact on employment and labor productivity. On the other hand, and in a manner consistent with the objective presented, this chapter develops from four key axes: political conjuncture, quality of life, labour productivity and employment. To conclude with a proposal based on the arguments presented and a reflection on the proposed topic.</t>
  </si>
  <si>
    <t>WOS:000608874800009</t>
  </si>
  <si>
    <t>Pizarro, M; Contreras, RA; Köhler, H; Zúñiga, GE</t>
  </si>
  <si>
    <t>Pizarro, Marisol; Contreras, Rodrigo A.; Kohler, Hans; Zuniga, Gustavo E.</t>
  </si>
  <si>
    <t>Desiccation tolerance in the Antarctic moss Sanionia uncinata</t>
  </si>
  <si>
    <t>Background One of the most extreme environments on our planet is the Maritime Antarctic territory, due to its low-water availability, which restricts the development of plants. Sanionia uncinata Hedw. (Amblystegiaceae), the main colonizer of the Maritime Antarctic, has effective mechanisms to tolerate this environment. It has been described that the tolerance to desiccation is mediated by the hormone abscisic acid (ABA), antioxidants systems, accumulation of compatible solutes and proteins of the late embryogenesis abundant (LEA). However, to date, these mechanisms have not been described in S. uncinata. Therefore, in this work, we postulate that the tolerance to desiccation in the Antarctic moss S. uncinata is mediated by the accumulation of ABA, the osmolytes proline and glycine betaine, and dehydrins (an LEA class 11 proteins). To demonstrate our hypothesis, S. uncinata was subjected to desiccation for 24 h (loss in 95% of water content), and the effects on its physiological, photosynthetic, antioxidant and biochemical parameters were determined. Results Our results showed an accumulation of ABA in response to water loss, and the activation of protective responses that involves an increment in levels of proline and glycine betaine, an increment in the activity of antioxidant enzymes such as SOD, CAT, APX and POD, and the accumulation of dehydrins proteins. Conclusion The results showed, suggest that S. uncinata is a desiccation-tolerant moss, property mediated by high cellular plasticity regulated by ABA.</t>
  </si>
  <si>
    <t>Zuñiga, Gustavo/P-8306-2015; Contreras, Rodrigo/I-1871-2013</t>
  </si>
  <si>
    <t>AUG 21</t>
  </si>
  <si>
    <t>10.1186/s40659-019-0251-6</t>
  </si>
  <si>
    <t>WOS:000483028400001</t>
  </si>
  <si>
    <t>Córdoba, AG</t>
  </si>
  <si>
    <t>Algado, SS; Cordoba, AG; Oliver, FC; Galheigo, SM; Garcia-Ruiz, S</t>
  </si>
  <si>
    <t>Guajardo Cordoba, Alejandro</t>
  </si>
  <si>
    <t>Occupational Therapy in Chile</t>
  </si>
  <si>
    <t>TERAPIAS OCUPACIONALES DESDE EL SUR, 2 EDITION: Derechos Humanos, Ciudadania y Participacion. Human Rights, Citizenship and Participation</t>
  </si>
  <si>
    <t>978-956-303-416-5</t>
  </si>
  <si>
    <t>WOS:000887018400007</t>
  </si>
  <si>
    <t>Ordoñez, S; Palominos, P; Martínez, F; Fernández, H; Bustos, O; Lisboa, J</t>
  </si>
  <si>
    <t>Ordonez, Stella; Palominos, Pedro; Martinez, Francisco; Fernandez, Heydi; Bustos, Oscar; Lisboa, Jaime</t>
  </si>
  <si>
    <t>Microstructural evolution of aluminum-A356 alloy with and without SiC reinforcement submitted to mechanical milling</t>
  </si>
  <si>
    <t>MATERIA-RIO DE JANEIRO</t>
  </si>
  <si>
    <t>The effect of milling time on the crystallite size, microstrain and Vickers microhardness, of an aluminum alloy A356 (Al-7wt % Si) with and without SiC reinforcement (15 wt%) was studied. The metal alloy powders were obtained by the rotating electrode process (REP) from cylinders of the alloy, the obtained powders present spherical morphology with an average size of 150 mu m and an average microhardness of 94 HV0,1. The alloy with and without reinforcement was subjected to mechanical milling in a high energy mill SPEX 8000D with effective milling times of 3, 6, 9 and 12 hours. The microstructural evolution of the obtained samples was evaluated by X-ray diffraction, Vickers microhardness and optical microscopy. It is noted that the values of microhardness of the alloy with and without reinforcement milling for 3 hours are very similar; for higher milling times, samples reinforced with SiC reach higher values than the samples without reinforcement. This increase in the microhardness is achieved thanks to the uniform distribution of reinforcement particles, the strain hardening of the metal matrix and microstructural refinement produced by mechanical milling. It is appreciated that the composite reaches a crystallite size somewhat smaller than the alloy, although both show similar behavior. The crystallite size presents a rapid decrease in the early hours of milling and then remains almost constant.</t>
  </si>
  <si>
    <t>1517-7076</t>
  </si>
  <si>
    <t>e-12144</t>
  </si>
  <si>
    <t>10.1590/S1517-707620180002.0477</t>
  </si>
  <si>
    <t>WOS:000439159500153</t>
  </si>
  <si>
    <t>Bentancor, A; Clarke, D</t>
  </si>
  <si>
    <t>Bentancor, Andrea; Clarke, Damian</t>
  </si>
  <si>
    <t>Assessing Plan B: The Effect of the Morning After Pill on Children and Women</t>
  </si>
  <si>
    <t>We test whether the availability of the emergency contraceptive (morning after') pill in the absence of legalised abortion can have effects similar to those of other large-scale contraceptive reforms. To do so, we examine a quasi-experimental policy reform occurring in Chile in 2008. Using vital statistics covering all births and foetal deaths over the period 2006-12, we show that the availability of the emergency contraceptive pill reduces pregnancy and early gestation foetal death, which we argue proxies for illegal abortion. Our results suggest that in the context of Chile, a country with among the most restrictive abortion laws in the world, the emergency contraceptive pill had effects around a third as large as various abortion reforms observed in other contexts.</t>
  </si>
  <si>
    <t>bentancor, andrea/HKP-2371-2023; Clarke, Damian/Y-7318-2019</t>
  </si>
  <si>
    <t>10.1111/ecoj.12390</t>
  </si>
  <si>
    <t>WOS:000418100100001</t>
  </si>
  <si>
    <t>Albarrán-Arriagada, F; Barrios, GA; Cárdenas-López, FA; Romero, G; Retamal, JC</t>
  </si>
  <si>
    <t>Albarran-Arriagada, F.; Barrios, G. Alvarado; Cardenas-Lopez, F. A.; Romero, G.; Retamal, J. C.</t>
  </si>
  <si>
    <t>Generation of higher dimensional entangled states in quantum Rabi systems</t>
  </si>
  <si>
    <t>We present protocols for the generation of high-dimensional entangled states of anharmonic oscillators by means of coherent manipulation of light-matter systems in the ultrastrong coupling regime. Our protocols consider a pair of ultrastrong coupled qubit-cavity systems, each coupled to an ancilla qubit, and combine classical pulses plus the selection rules imposed by the parity symmetry. We study the robustness of the entangling protocols under dissipative effects. This proposal may have applications within state-of-art circuit quantum electrodynamics.</t>
  </si>
  <si>
    <t>Alvarado, Gabriel/GLS-6513-2022; Retamal, Juan/G-6425-2010; Cárdenas López, Francisco/IXN-4622-2023; Romero, Guillermo/C-8245-2009</t>
  </si>
  <si>
    <t>Cardenas, Francisco/0000-0002-2916-2826; Romero, Guillermo/0000-0003-2917-7814; Retamal Abarzua, Juan Carlos/0000-0002-7174-7879; /0000-0002-8684-4209; Albarran-Arriagada, Francisco/0000-0001-8899-3673</t>
  </si>
  <si>
    <t>MAY 5</t>
  </si>
  <si>
    <t>10.1088/1751-8121/aa66a0</t>
  </si>
  <si>
    <t>WOS:000398268700001</t>
  </si>
  <si>
    <t>Letelier, MF; Siginer, DA; Stockle, JS</t>
  </si>
  <si>
    <t>Letelier, Mario F.; Siginer, Dennis A.; Stockle, Juan S.</t>
  </si>
  <si>
    <t>Resonance modeling and control via magnetorheological dampers</t>
  </si>
  <si>
    <t>ZEITSCHRIFT FUR ANGEWANDTE MATHEMATIK UND PHYSIK</t>
  </si>
  <si>
    <t>A method to model and minimize resonant structural oscillations using magnetorheological dampers is presented. The response of the magnetorheological fluid flowing in a circular tube under a pressure gradient to the applied variable magnetic field is tailored to determine the optimum stress field in the fluid to mitigate resonance effects.</t>
  </si>
  <si>
    <t>0044-2275</t>
  </si>
  <si>
    <t>1420-9039</t>
  </si>
  <si>
    <t>10.1007/s00033-016-0674-7</t>
  </si>
  <si>
    <t>WOS:000381410100011</t>
  </si>
  <si>
    <t>Cortez-San Martin, M; Rivas-Aravena, A; Guajardo, S; Castillo, MT; Jashes, M; Sandino, AM; Spencer, E</t>
  </si>
  <si>
    <t>Cortez-San Martin, M.; Rivas-Aravena, A.; Guajardo, S.; Castillo, M. T.; Jashes, M.; Sandino, A. M.; Spencer, E.</t>
  </si>
  <si>
    <t>Simultaneous detection of the IPN and ISA viruses in outbreaks of clinical disease and mortality in farmed Atlantic salmon, Salmo salar L., in Chile</t>
  </si>
  <si>
    <t>Guajardo-Leiva, Sergio/GYD-4703-2022</t>
  </si>
  <si>
    <t>Guajardo-Leiva, Sergio/0000-0003-3083-4375; SANDINO, ANA MARIA/0000-0002-3862-3743; Spencer, Eugenio/0000-0001-6109-140X</t>
  </si>
  <si>
    <t>10.1111/j.1365-2761.2012.01359.x</t>
  </si>
  <si>
    <t>WOS:000303808300008</t>
  </si>
  <si>
    <t>Morales-Concha, C; Ossandón, M; Pereira, A; Altbir, D; Escrig, J</t>
  </si>
  <si>
    <t>Morales-Concha, C.; Ossandon, M.; Pereira, A.; Altbir, D.; Escrig, J.</t>
  </si>
  <si>
    <t>General approach to the magnetostatic force and interaction between cylindrically shaped nanoparticles</t>
  </si>
  <si>
    <t>56th Annual Conference on Magnetism and Magnetic Materials</t>
  </si>
  <si>
    <t>OCT 30-30, 2011</t>
  </si>
  <si>
    <t>Scottsdale, AZ</t>
  </si>
  <si>
    <t>In this paper we obtain analytical expressions for the magnetostatic interaction between cylindrical particles based on the assumption of a fixed uniform magnetization. Magnetostatic forces between the particles are established by these interactions. These general expressions allow the investigation of the magnetostatic interactions and forces between cylindrically shaped particles with different geometrical parameters like barcode-type magnetic nanostructures, multilayer nanotubes and nanowires, nanoparticles with modulated diameter, the ordering of nanoparticles on fluids, and others. (C) 2012 American Institute of Physics. [doi:10.1063/1.3680181]</t>
  </si>
  <si>
    <t>Pereira, Alejandro/X-7172-2018; Escrig, Juan/N-4304-2015; Altbir, Dora/R-6781-2018</t>
  </si>
  <si>
    <t>Pereira Abarca, Alejandro/0000-0002-4473-0852; Escrig, Juan/0000-0002-3958-8185; Altbir, Dora/0000-0002-2945-4909</t>
  </si>
  <si>
    <t>1089-7550</t>
  </si>
  <si>
    <t>07D131</t>
  </si>
  <si>
    <t>10.1063/1.3680181</t>
  </si>
  <si>
    <t>WOS:000303282401141</t>
  </si>
  <si>
    <t>Villablanca, ME; Nadal, JI; Bravo, MA</t>
  </si>
  <si>
    <t>Villablanca, Miguel E.; Nadal, Jorge I.; Bravo, Mauricio A.</t>
  </si>
  <si>
    <t>A 12-pulse AC-DC rectifier with high-quality input/output waveforms</t>
  </si>
  <si>
    <t>IEEE TRANSACTIONS ON POWER ELECTRONICS</t>
  </si>
  <si>
    <t>This paper describes an ac-dc rectifier, which draws sinusoidal current waveforms from the utility. Also, it can supply either a ripple-free current or voltage to the dc load by using a dc filter. The technology involves an accurate shaping of the dc current by using two forced-commutated switches (IGBTs). The shaping of the dc current is reflected back into the shaping of the input currents, which become pure sine waves. The resulting system is reliable and able to handle rapid load variations with a simple and robust control system. It also operates under rectification and inversion. Detailed analysis and a complete set of experimental results from a 380-V 20-kVA rectifier system are provided.</t>
  </si>
  <si>
    <t>0885-8993</t>
  </si>
  <si>
    <t>1941-0107</t>
  </si>
  <si>
    <t>10.1109/TPEL.2007.904185</t>
  </si>
  <si>
    <t>WOS:000249447700029</t>
  </si>
  <si>
    <t>Vinaccia, S; Winkler, MI</t>
  </si>
  <si>
    <t>Vinaccia, Stefano; Winkler, Maria Ines</t>
  </si>
  <si>
    <t>Alfredo Carmona (1930-1997): A Latin-American pioneer of the conditioning factor</t>
  </si>
  <si>
    <t>vinaccia, stefano/LTF-0788-2024</t>
  </si>
  <si>
    <t>WOS:000238985100022</t>
  </si>
  <si>
    <t>Vargas, C; Cifuentes, G; Navarro, P; Orrego, P</t>
  </si>
  <si>
    <t>Anodic behavior of zinc in thiosulphate media</t>
  </si>
  <si>
    <t>REVISTA DE METALURGIA</t>
  </si>
  <si>
    <t>In the last years, diverse studies about the cementation of gold with powder of zinc from thiosulphate and ammonia solutions have been carried out. The kinetic studies have concluded that during the process, the passivation of zinc particles takes place, causing the decrease of the gold cementation rate. For this reason, the anodic behavior of zinc in thiosulphate media was studied, using electrochemical techniques of linear potential sweep and potentiometry. The work was developed to different values of pH and thiosulphate concentrations, and the results were analyzed with scanning electronic microscopy. The polarization curves present 3 areas, an active dissolution area, a pseudo-passivation area and finally a reactivation area. The pseudo-passivation is caused by the formation of ZnS, which is dissolved for the action of OH ions, originating the reactivation area.</t>
  </si>
  <si>
    <t>0034-8570</t>
  </si>
  <si>
    <t>1988-4222</t>
  </si>
  <si>
    <t>10.3989/revmetalm.2004.v40.i2.249</t>
  </si>
  <si>
    <t>WOS:000223161000003</t>
  </si>
  <si>
    <t>Banados, M</t>
  </si>
  <si>
    <t>Constant curvature black holes</t>
  </si>
  <si>
    <t>Constant curvature black holes are constructed by identifying points in anti-de Sitter space. In n dimensions, the resulting topology is R(n-1)xS(1), as opposed to the usual R(2)xS(n-2) Schwarzschild black hole, and the corresponding causal structure is displayed by an (n-1)-dimensional picture, as opposed to the usual two-dimensional Kruskal diagram. The five-dimensional case, which can be embedded in a Chern-Simons supergravity theory, is analyzed in detail.</t>
  </si>
  <si>
    <t>10.1103/PhysRevD.57.1068</t>
  </si>
  <si>
    <t>WOS:000071671300038</t>
  </si>
  <si>
    <t>Banados, M; Gomberoff, A</t>
  </si>
  <si>
    <t>Black hole entropy in the Chern-Simons formulation of (2+1)-dimensional gravity</t>
  </si>
  <si>
    <t>We examine Carlip's derivation of the 2+1 Minkowskian black hole entropy. A simplified derivation of the boundary action, valid for any value of the level k, is given.</t>
  </si>
  <si>
    <t>Gomberoff, Andres/0000-0002-4899-4927</t>
  </si>
  <si>
    <t>10.1103/PhysRevD.55.6162</t>
  </si>
  <si>
    <t>WOS:A1997XA96900030</t>
  </si>
  <si>
    <t>Alam, MA; Muñoz, A</t>
  </si>
  <si>
    <t>Alam, Mohammad Ayaz; Munoz, Adolfo</t>
  </si>
  <si>
    <t>A critical evaluation of the role of a geothermal system in lithium enrichment of brines in the salt flats: A case study from Laguna Verde in the Atacama Region of Chile</t>
  </si>
  <si>
    <t>GEOTHERMICS</t>
  </si>
  <si>
    <t>The association between geothermal fluids and lithium -rich brines in salt flats has been evaluated in a unique natural laboratory in the Chilean Andes. The area encompasses Laguna Verde (LV), a hypersaline lake, and a salt flat (salar) within a closed basin surrounded by volcanoes. The predominant lithology consists of andesitic-dacitic rocks, with limited occurrences of rhyolitic rocks. The LV geothermal system exhibits surface manifestations, including over 20 hot springs reaching 47 C-degrees along the lake's southern margin. The upflow zone is represented by the fumarolic field in the Nevado Ojos del Salado volcano, 25 km southwest of LV. Lithium concentrations range from 2.76 to 4.46 mg/L in thermal water and 0.59 to 0.76 mg/L in the Penas Blancas river water, which feeds into LV after passing through a volcanic environment rich in lithium -bearing rocks. However, the thermal waters contribute over six times more lithium than non -thermal waters, highlighting their significance in releasing and transporting lithium from the source rocks to its eventual accumulation in LV. This natural laboratory at LV provides an excellent opportunity to evaluate the association between geothermal fluids and lithium -rich brines, offering valuable insights into the processes involved in lithium enrichment in similar geological and climatic conditions in other geographic areas.</t>
  </si>
  <si>
    <t>Alam, Mohammad Ayaz/B-7511-2009</t>
  </si>
  <si>
    <t>Alam, Mohammad Ayaz/0000-0002-3189-8744</t>
  </si>
  <si>
    <t>0375-6505</t>
  </si>
  <si>
    <t>1879-3576</t>
  </si>
  <si>
    <t>10.1016/j.geothermics.2024.102970</t>
  </si>
  <si>
    <t>MAR 2024</t>
  </si>
  <si>
    <t>WOS:001200755800001</t>
  </si>
  <si>
    <t>Cavieres, J; Inestrosa-Izurieta, MJ; Vasco, DA; Urzúa, J</t>
  </si>
  <si>
    <t>Cavieres, Jenifer; Jose Inestrosa-Izurieta, Maria; Vasco, Diego A.; Urzua, Julio, I</t>
  </si>
  <si>
    <t>Ionanofluids based on ionic liquid mixtures, a new approach as an alternative material for solar energy storage</t>
  </si>
  <si>
    <t>JOURNAL OF MOLECULAR LIQUIDS</t>
  </si>
  <si>
    <t>Hybrid materials based on ionic liquids (ILs) known as Ionanofluids (INFs) have shown exciting improvements in their thermophysical properties compared to their base fluids (BF). Within this group, INFs obtained using mixtures of ionic liquids as BFs have been virtually ignored until now. In this work, INFs composed of two equimolar mixtures of ILs, [Omim][PF6] + [Odmim][PF6] and [Omim] [PF6] + [Odmim][BF4] as base fluids and Multiwalled Carbon Nanotubes (MWCNTs) with weight percentages of 0.04, 0.06, 0.08, and 0.1 wt% were elaborated. Furthermore, the thermophysical properties of our proposed new materials were evaluated and compared to conventional materials currently used in solar energy storage systems. It was shown that the heat capacity (Cp) reaches increases of up to 3.7 and 3.2 times that of nitrated salts and the commercial fluid Therminol VP-1, which translates into a 9.4% and 284% higher thermal storage density (E), respectively, and even lower thermal diffusivity (a), which supports the preliminary idea of using these new materials for energy storage. (C) 2022 Elsevier B.V. All rights reserved.</t>
  </si>
  <si>
    <t>Vasco, Diego/Y-2934-2019; Inestrosa Izurieta, Maria Jose/I-1360-2015</t>
  </si>
  <si>
    <t>Urzua Pina, Julio Ignacio/0000-0003-4568-8788; Vasco, Diego Andres/0000-0001-7456-4683; Inestrosa Izurieta, Maria Jose/0000-0003-4225-7106</t>
  </si>
  <si>
    <t>0167-7322</t>
  </si>
  <si>
    <t>1873-3166</t>
  </si>
  <si>
    <t>10.1016/j.molliq.2022.118677</t>
  </si>
  <si>
    <t>WOS:000754540700008</t>
  </si>
  <si>
    <t>Cabrera, DIJ; Quiroz, AG</t>
  </si>
  <si>
    <t>Jimenez Cabrera, Diego Ignacio; Garrido Quiroz, Aldo</t>
  </si>
  <si>
    <t>The Exclusive Economic Zone: The Geopolitical Role of the International Court of Justice in the Peru-Chile and Nicaragua-Colombia Cases (2001-2014)</t>
  </si>
  <si>
    <t>GEOPOLITICAS-REVISTA DE ESTUDIOS SOBRE ESPACIO Y PODER</t>
  </si>
  <si>
    <t>The Exclusive Economic Zone (EEZ) is one of the few legal and geopolitical concepts built from the political south in international relations. In Latin America, understanding the role of the International Court of Justice (ICJ) as an agent that reinterprets the legal-geopolitical discourse of the litigating States, in order to later redistribute power, is essential to understand the dynamics of the maritime limits of the region. Our point is that the United Nations Convention on the Law of the Sea (UNCLOS) does not improve the security of maritime borders before the ICJ considering the close connection between international custom and the content of the treaty. Thus this research is developed from a comparative geopolitical analysis for the 1939-2014 period, and is built on the basis of a non-experimental qualitative methodology focused on the geopolitical analysis of discourse.</t>
  </si>
  <si>
    <t>2172-3958</t>
  </si>
  <si>
    <t>2172-7155</t>
  </si>
  <si>
    <t>10.5209/geop.74653</t>
  </si>
  <si>
    <t>WOS:000813312000004</t>
  </si>
  <si>
    <t>Wittwer, AS; Méndez, JF; Luna, JO</t>
  </si>
  <si>
    <t>Wittwer, Astrid Seperiza; Mendez, Jennyfer Florez; Luna, Jaime Ortiz</t>
  </si>
  <si>
    <t>The Blue Egg Festival. Rio Negro, Los Lagos Region, Chile</t>
  </si>
  <si>
    <t>The Blue Egg Festival is a festival held in the tenth region of the Lakes in Chile, in which it transcends the Mapuche worldview by safeguarding one of its most significant bird species such as the Mapuche Hen. This festival takes place under ritual activities and Mapuche culture, as well as gastronomy. The Mapuche chicken eggs, characteristic for their blue color in the shell, are an immense treasure of this culture and are highly appreciated by locals and foreigners due to their great nutritional va-lue. The objective of this work is to evoke the most important activities carried out in the framework of the festival, as well as to promote the preservation of the Ma-puche culture through the massification of their culture. In the same way, economic activities and projects around the celebration of the Blue Egg Festival are rescued.</t>
  </si>
  <si>
    <t>Luna, Jaime/HII-5788-2022</t>
  </si>
  <si>
    <t>10.35588/rivar.v8i24.5176</t>
  </si>
  <si>
    <t>WOS:000706749600007</t>
  </si>
  <si>
    <t>Social theory anew: From contesting modernity to revisiting our conceptual toolbox - the case of individualization</t>
  </si>
  <si>
    <t>CURRENT SOCIOLOGY</t>
  </si>
  <si>
    <t>This article argues why core classical sociological notions that are still extremely influential in global sociological thinking need to be reviewed and reconceptualized, as well as to present an example of how this might be done. The discussion is in two parts. First, the article outlines what the author suggests is a major problem of social and sociological theory: the common articulation between modernity, social theory and sociological research, and its negative effects for the production of knowledge in other regions, such as Latin America. The author considers some of the contemporary strategies devised to deal with the difficulties arising from this articulation and proposes a complementary way of overcoming the problem posed. Second, the author backs her argument with a critical analysis of the concept of individualization, one of the earliest and central notions of social theory, based on the results of three empirical studies carried out in Chile over the past decade.</t>
  </si>
  <si>
    <t>0011-3921</t>
  </si>
  <si>
    <t>1461-7064</t>
  </si>
  <si>
    <t>10.1177/0011392120931148</t>
  </si>
  <si>
    <t>WOS:000543760400001</t>
  </si>
  <si>
    <t>Aedo, MP; Peredo, S; Schaeffer, C</t>
  </si>
  <si>
    <t>Paz Aedo, Maria; Peredo, Santiago; Schaeffer, Colombina</t>
  </si>
  <si>
    <t>From an essential being to an actor's becoming: political ecology transformational learning experiences in adult education</t>
  </si>
  <si>
    <t>ENVIRONMENTAL EDUCATION RESEARCH</t>
  </si>
  <si>
    <t>Adult education in political ecology entails critically and constructively observing the interactions among the actors involved in socioecological conflicts at global and local scales. This definition invites transcending environmental education and education for sustainability's frontiers, examining the ontology, or the 'place', from where actors co-construct these conflicts. If actors don't question the reified and divided assumptions of the 'self' and 'reality' at the base of these conflicts, the creative and transformative potential of becoming together cannot unfold. The transformational learning approach is a coherent way of addressing this challenge, as it promotes an ontological change in actors and their worldview. The training experience offered by the University of Santiago provides insights into how transformational education's perspective can contribute to education in political ecology, inciting an acknowledgment of the self and the world as a complex and dynamic entanglement of actors.</t>
  </si>
  <si>
    <t>1350-4622</t>
  </si>
  <si>
    <t>1469-5871</t>
  </si>
  <si>
    <t>10.1080/13504622.2017.1408057</t>
  </si>
  <si>
    <t>WOS:000464582800003</t>
  </si>
  <si>
    <t>Arza, A; Elias, RG</t>
  </si>
  <si>
    <t>Arza, Ariel; Gabriel Elias, Ricardo</t>
  </si>
  <si>
    <t>Parametric resonance in quantum electrodynamics vacuum birefringence</t>
  </si>
  <si>
    <t>Vacuum magnetic birefringence is one of the most interesting nonlinear phenomena in quantum electrodynamics because it is a pure photon-photon result of the theory and it directly signalizes the violation of the classical superposition principle of electromagnetic fields in the full quantum theory. We perform analytical and numerical calculations when an electromagnetic wave interacts with an oscillating external magnetic field. We find that in an ideal cavity, when the external field frequency is around the electromagnetic wave frequency, the normal and parallel components of the wave suffer parametric resonance at different rates, producing a vacuum birefringence effect growing in time. We also study the case where there is no cavity and the oscillating magnetic field is spatially localized in a region of length L. In both cases we find also a rotation of the elliptical axis.</t>
  </si>
  <si>
    <t>Elias, Ricardo/F-2608-2012</t>
  </si>
  <si>
    <t>10.1103/PhysRevD.97.096005</t>
  </si>
  <si>
    <t>WOS:000432972700005</t>
  </si>
  <si>
    <t>Martínez-Gómez, F; Guerrero, J; Matsuhiro, B; Pavez, J</t>
  </si>
  <si>
    <t>Martinez-Gomez, Fabian; Guerrero, Juan; Matsuhiro, Betty; Pavez, Jorge</t>
  </si>
  <si>
    <t>Characterization of poly-D-mannuronate and poly-L-guluronate block fractions from sodium alginate and preparation of hydrogels with poly (vinylalcohol)</t>
  </si>
  <si>
    <t>INTERNATIONAL JOURNAL OF BIOLOGICAL MACROMOLECULES</t>
  </si>
  <si>
    <t>Sodium salts of homopoly-D-mannuronic acid (MM) and of homopoly-L-guluronic acid (GG) from sodium alginates were characterized by NMR relaxometry. Determination of NMR spin-lattice and spin-spin relaxation times of water proton in homopolymeric block solutions and hydrogels indicated differences in homopolymeric blocks tertiary structure. Hydrogels of MM or GG blocks and poly(vinyl alcohol) (PVA) were prepared by freeze thawing cycles method; their swelling properties and sensitivity to pH stimuli were assayed in control delivery of a model drug. MM/PVA hydrogels show better metformin release characteristics than GG/PVA hydrogels. It was found that release of the drug at pH 1.2 from hydrogels was minor to 5%. At the release equilibrium, 60 and 55% of the drug encapsulated were release from MM/PVA and GG/PVA hydrogels, respectively. Also, the release of metformin from hydrogels was studied by H-1 NMR spectroscopy showing that 40 and 36% of drug were released after 4 h from MM/PVA and GG/PVA hydrogels, respectively. (C) 2018 Elsevier B.V. All rights reserved.</t>
  </si>
  <si>
    <t>; PAVEZ, JORGE/K-6904-2014</t>
  </si>
  <si>
    <t>Martinez, Fabian/0000-0001-5802-9816; PAVEZ, JORGE/0000-0002-5100-6707</t>
  </si>
  <si>
    <t>0141-8130</t>
  </si>
  <si>
    <t>1879-0003</t>
  </si>
  <si>
    <t>10.1016/j.ijbiomac.2018.01.097</t>
  </si>
  <si>
    <t>WOS:000429391000105</t>
  </si>
  <si>
    <t>Munoz, PA; Correa-Llantén, DN; Blamey, JM</t>
  </si>
  <si>
    <t>Munoz, Patricio A.; Correa-Llanten, Daniela N.; Blamey, Jenny M.</t>
  </si>
  <si>
    <t>Ionic Liquids Increase the Catalytic Efficiency of a Lipase (Lip1) From an Antarctic Thermophilic Bacterium</t>
  </si>
  <si>
    <t>LIPIDS</t>
  </si>
  <si>
    <t>Lipases catalyze the hydrolysis and synthesis of triglycerides and their reactions are widely used in industry. The use of ionic liquids has been explored in order to improve their catalytic properties. However, the effect of these compounds on kinetic parameters of lipases has been poorly understood. A study of the kinetic parameters of Lip1, the most thermostable lipase from the supernatant of the strain ID17, a thermophilic bacterium isolated from Deception Island, Antarctica, and a member of the genus Geobacillus is presented. Kinetic parameters of Lip1 were modulated by the use of ionic liquids BmimPF6 and BmimBF4. The maximum reaction rate of Lip1 was improved in the presence of both salts. The highest effect was observed when BmimPF6 was added in the reaction mix, resulting in a higher hydrolytic activity and in a modulation of the catalytic efficiency of the enzyme. However, the catalytic efficiency did not change in the presence of BmimBF4. The increase of the reaction rates of Lip1 promoted by these ionic liquids could be related to possible changes in the Lip1 structure. This effect was measured by quenching of tryptophan fluorescence of the enzyme, when it was incubated with each liquid salt. In conclusion, the hydrolytic activity of Lip1 is modulated by the ionic liquids BmimBF4 and BmimPF6, improving the reaction rate and the catalytic efficiency of this enzyme when BmimPF6 was used. This effect is probably due to changes in the structure of Lip1 induced by the presence of these ionic liquids, stimulating its catalytic activity.</t>
  </si>
  <si>
    <t>Blamey, Jenny/M-2637-2014</t>
  </si>
  <si>
    <t>0024-4201</t>
  </si>
  <si>
    <t>1558-9307</t>
  </si>
  <si>
    <t>10.1007/s11745-014-3973-9</t>
  </si>
  <si>
    <t>WOS:000347285000006</t>
  </si>
  <si>
    <t>Olivares-Faúndez, VE; Mena-Miranda, L; Jélvez-Wilke, C; Macía-Sepúlveda, F</t>
  </si>
  <si>
    <t>Olivares-Faundez, Victor E.; Mena-Miranda, Luis; Jelvez-Wilke, Carolina; Macia-Sepulveda, Felipe</t>
  </si>
  <si>
    <t>Factorial Validity of Maslach Burnout Inventory Human Services (MBI-HSS) in Chilean Professionals</t>
  </si>
  <si>
    <t>The present study tested the factorial validity of an adjustment to the Spanish language of the Maslach Burnout Inventory in a sample of 957 professionals of Chilean services of different labour units. The reliability and factor structure of the MBI were investigated. Exploratory and confirmatory factors analysis indicated that the original three-factor model of the MBI fit well with both the data and the Root Mean Standar Error of Aproximation (RMSEA) value, although the items 12, 13, 14, 20 and 21 presented an inadequate behavior in the original factorial resultant, so they were eliminated. The internal consistency of the dimensions of the inventory was acceptable, although the Depersonalization subscale was relatively low. So far, the results obtained show that the questionnaire appears to be valid and reliable in the version adapted to the Spanish language.</t>
  </si>
  <si>
    <t>Olivares-Faundez, Victor/0000-0001-8884-6884</t>
  </si>
  <si>
    <t>WOS:000345097900013</t>
  </si>
  <si>
    <t>Aliaga, C; Torres, P; Silva, F</t>
  </si>
  <si>
    <t>Aliaga, Carolina; Torres, Paulina; Silva, Fernanda</t>
  </si>
  <si>
    <t>A simple method for the determination of the partitioning of nitroxide probes in microheterogeneous media</t>
  </si>
  <si>
    <t>MAGNETIC RESONANCE IN CHEMISTRY</t>
  </si>
  <si>
    <t>The use of the ESR g-factor of spin labels for the easy and clean assessment of their partitioning in microheterogeneous media is described. The method constitutes a valuable alternative in those cases where the classical BenesiHildebrand treatment, based on UVvisible measurements, is difficult or not feasible. Copyright (c) 2012 John Wiley &amp; Sons, Ltd.</t>
  </si>
  <si>
    <t>Torres, Paulina/AAA-6852-2020; Trombetta, Fernanda/E-2267-2015; Aliaga, Carolina/G-6024-2019</t>
  </si>
  <si>
    <t>0749-1581</t>
  </si>
  <si>
    <t>10.1002/mrc.3871</t>
  </si>
  <si>
    <t>WOS:000311378700001</t>
  </si>
  <si>
    <t>Plaza, S; Romero, N</t>
  </si>
  <si>
    <t>Plaza, Sergio; Romero, Natalia</t>
  </si>
  <si>
    <t>Attracting cycles for the relaxed Newton's method</t>
  </si>
  <si>
    <t>JOURNAL OF COMPUTATIONAL AND APPLIED MATHEMATICS</t>
  </si>
  <si>
    <t>We study the relaxed Newton's method applied to polynomials. In particular, we give a technique such that for any it &gt;= 2, we may construct a polynomial so that when the method is applied to a polynomial, the resulting rational function has an attracting cycle of period n. We show that when we use the method to extract radicals, the set consisting of the points at which the method fails to converge to the roots of the polynomial p(z) = z(m) - c (this set includes the Julia set) has zero Lebesgue measure. Consequently, iterate sequences under the relaxed Newton's method converge to the roots of he preceding polynomial with probability one. (C) 2011 Elsevier B.V. All rights reserved.</t>
  </si>
  <si>
    <t>ROMERO, NATALIA/LFS-0005-2024; Plata, Sergio/AAA-6144-2019</t>
  </si>
  <si>
    <t>Romero, Natalia/0000-0002-0653-560X</t>
  </si>
  <si>
    <t>0377-0427</t>
  </si>
  <si>
    <t>1879-1778</t>
  </si>
  <si>
    <t>10.1016/j.cam.2011.01.010</t>
  </si>
  <si>
    <t>WOS:000289020400012</t>
  </si>
  <si>
    <t>Reyes, A; Bustos, R; Vásquez, MB; Scheuermann, E</t>
  </si>
  <si>
    <t>Klemes, J</t>
  </si>
  <si>
    <t>Reyes, Alejandro; Bustos R, Ruben; Belen Vasquez, Maria; Scheuermann, Erick</t>
  </si>
  <si>
    <t>Optimization of murtilla berry drying in an atmospheric freeze dryer</t>
  </si>
  <si>
    <t>PRES'09: 12TH INTERNATIONAL CONFERENCE ON PROCESS INTEGRATION, MODELLING AND OPTIMISATION FOR ENERGY SAVING AND POLLUTION REDUCTION, PTS 1 AND 2</t>
  </si>
  <si>
    <t>12th Conference on Process Integration, Modelling and Optimisation for Energy Saving and Pollution Reduction</t>
  </si>
  <si>
    <t>FEB 10-MAY 13, 2009</t>
  </si>
  <si>
    <t>Italian Assoc Chem Engn</t>
  </si>
  <si>
    <t>'Murtilla', 'mutilla' or 'murta' (Ugni molinae Turcz) is a native Chilean species that produces a small berry fruit with a special aroma and a high antioxidant capacity. It is consumed raw, as jams, juices, canned products, confectioneries and liquors. The short production season demand application of preservation processes in order to enjoy the sensory and nutritional properties of this fruits during the whole year. Freeze drying is the technology that allows keeping such attributes almost indistinguishable from the fresh fruit, as consumers demand, however the high cost of conventional freeze drying (at high vacuum) preclude the mass utilization of this technology. In the present study the optimum conditions for the operation of an atmospheric freeze dryer in a pulsed fluidized bed were determined. Applying a 2(3) experimental design the effect of infrared radiation application, freezing rate and temperature on moisture content, drying time, polyphenols content and antioxidant capacity of dried murtilla fruits were determined. Drying times were equivalent to those observed for conventional freeze drying and the product obtained kept most of its sensory attributes but equipment and energy costs are significantly reduced.</t>
  </si>
  <si>
    <t>vasquez, maria/GVS-9518-2022; Scheuermann, Erick/J-6222-2013</t>
  </si>
  <si>
    <t>SCHEUERMANN, ERICK/0000-0002-6782-662X</t>
  </si>
  <si>
    <t>978-88-95608-04-4</t>
  </si>
  <si>
    <t>10.3303/CET0918028</t>
  </si>
  <si>
    <t>WOS:000271673200028</t>
  </si>
  <si>
    <t>Rubio, MA; Gramsch, E; Lissi, E; Villena, G</t>
  </si>
  <si>
    <t>Rubio, M. A.; Gramsch, E.; Lissi, E.; Villena, G.</t>
  </si>
  <si>
    <t>Seasonal dependence of peroxyacetylnitrate (PAN) concentrations in downtown Santiago, Chile</t>
  </si>
  <si>
    <t>ATMOSFERA</t>
  </si>
  <si>
    <t>Peroxyacetylnitrate (PAN) and ozone are considered typical photochemical secondary pollutants and, as such, are expected to reach higher concentrations in periods of high irradiance (summer). However, in Santiago, PAN highest values are reached in autumn. The average of daily maximums are: 4.0 +/- 1.7 ppb in autumn (May and June); 0.9 +/- 0.5 ppb in winter (July and August); 1.9 +/- 1.0 ppb in spring (October and November); 3.1 +/- 1.4 ppb in summer (January and March). In autumn the integrated daily values are also considerably higher than in other periods (averages of 38 ppb h in May and 13 ppb h in January). This behavior is related to a lower PAN's thermal stability in summer. This factor, together with an increased atmospheric stability and lower height of the mixing layer in autumn explains the high levels measured in periods of relatively low solar irradiance.</t>
  </si>
  <si>
    <t>Bajo, Maria/ABF-6991-2020; Gramsch, Ernesto/M-5507-2017</t>
  </si>
  <si>
    <t>0187-6236</t>
  </si>
  <si>
    <t>WOS:000250634100001</t>
  </si>
  <si>
    <t>Abuin, E; Lissi, E; Jara, P</t>
  </si>
  <si>
    <t>Abuin, E.; Lissi, E.; Jara, P.</t>
  </si>
  <si>
    <t>Effect of the organic solvent on the interfacial micropolarity of AOT-water reverse micelles</t>
  </si>
  <si>
    <t>A study has been made on the effect of the organic solvent upon the properties of the interface of reverse micelles formed by sodium his (2-ethylhexyl) sulfosuccinate (AOT) - water. The study has been performed using fluorescence and absorption spectroscopies. The probes considered were 8-anilinonaphtha lene-l-sulfonate (ANS(-)) and ruthenium tris[(bipyridine)](2+), [Ru (bpy)(3)](2+), in fluorescence spectroscopy, and E-T (30) in absorption spectroscopy. These probes were selected since its spectroscopic behaviour depends on the micro polarity of the medium. Furthermore, they have equal charge (ANS(-)), opposite charge [Ru(bpy)3](2+) than that of the micelle, or its nature is zwitterionic (E-T (30)), which allows for the sensing of the interfacial properties at different depths. The study has been performed at different W = [water]/[AOT] values ranging from ca. 1-2 up to saturation in the external solvent considered. Organic solvents employed were: n-heptane, n-hexane, isooctane, dodecane cyclohexane, benzene, toluene, cumene, chlorobenzene, dichlormethane (DCM), 1,2-dicholoroethane (1,2-DCE) and tetrachloroethylene (TCE), and the results are discussed taking n-heptane as reference solvent. For the three probes considered, n-hexane, isooctane, dodecane and cyclohexane behaves similarly to n-heptane over all the range of W values considered, irrespective of the probe employed. ANS(-) behaviour in benzene, toluene and TCE is similar to that observed in aliphatic hydrocarbons. Cumene, chlorobenzenc, DCM and 1,2 - DCE show a microenvironment more polar than that of aliphatic hydrocarbons. The behaviour of dichloromethane and 1,2 - DCE is similar for the three probes and very different than that observed in aliphatic hydrocarbons. The microenvironment that they offer in front of [Ru(bpy)(3)](2+) is considerably more polar than that corresponding to n-heptane, while in front of E-T(30) is less polar. The results obtained using [Ru(bpy)(3)](2+) are the more difficult to explain, since displacement towards more polar (in 1,2-DCE and DCM) or less polar (in benzene, cumene, TCE) media were observed.</t>
  </si>
  <si>
    <t>WOS:000244696800005</t>
  </si>
  <si>
    <t>Cruz, N; Martínez, C</t>
  </si>
  <si>
    <t>Cosmological scaling solutions of minimally coupled scalar fields in three dimensions</t>
  </si>
  <si>
    <t>CLASSICAL AND QUANTUM GRAVITY</t>
  </si>
  <si>
    <t>We examine Friedmann-Robertson-Walker models in three spacetime dimensions. The matter content of the models is composed of a perfect fluid, with a gamma-law equation of state, and a homogeneous scalar field minimally coupled to gravity with a self interacting potential whose energy density redshifts as a(-2 nu), where a denotes the scale factor. Cosmological solutions are presented for different ranges of values of gamma and nu. The potential required to agree with the above redshift for the scalar field energy density is also calculated.</t>
  </si>
  <si>
    <t>Martinez, Cristian/G-9899-2012</t>
  </si>
  <si>
    <t>Martinez, Cristian/0000-0002-7874-0602</t>
  </si>
  <si>
    <t>0264-9381</t>
  </si>
  <si>
    <t>1361-6382</t>
  </si>
  <si>
    <t>AUG 7</t>
  </si>
  <si>
    <t>10.1088/0264-9381/17/15/302</t>
  </si>
  <si>
    <t>WOS:000088928400005</t>
  </si>
  <si>
    <t>Contreras, M; Zanelli, J</t>
  </si>
  <si>
    <t>A note on the spin connection representation of gravity</t>
  </si>
  <si>
    <t>The formulation of gravity in 3 + 1 dimensions in which the spin connection is the basic field (omega-frame) leads to a theory with first- and second-class constraints. Here, the Dirac brackets for the second-class constraints are evaluated and the Dirac algebra of first-class constraints is found to be the usual algebra associated with spacetime reparametrizations and tangent space rotations. This establishes the classical equivalence with the vierbein approach (e-frame). The explicit form of the path integral for this theory is given and the quantum equivalence with the e-frame is also established.</t>
  </si>
  <si>
    <t>Contreras, Mauricio/0000-0001-6132-8032</t>
  </si>
  <si>
    <t>10.1088/0264-9381/16/6/334</t>
  </si>
  <si>
    <t>WOS:000080948200036</t>
  </si>
  <si>
    <t>Romay, C; Pascual, C; Lissi, EA</t>
  </si>
  <si>
    <t>The reaction between ABTS radical cation and antioxidants and its use to evaluate the antioxidant status of serum samples</t>
  </si>
  <si>
    <t>The 2,2'-azino-bis(3-ethylbenzthiazoline-6-sulfonic acid) (ABTS) radical cation can be generated by incubation of ABTS and 2,2'-azobis(2-amidinopropane) at 45 degrees C. The ABTS radical cation is stable for several minutes at room temperature and reacts quantitatively and instantaneously with several antioxidants, such as Trolox, ascorbic acid, uric acid, cysteine, glutathione and bilirubin. In contrast, the ABTS radical cation reacts slowly with albumin. When serum is added to a solution of the ABTS radical cation, the bleaching of the radical follows biphasic kinetics, with a fast decay followed by a slow decay that takes place within several minutes. The fast decay is primarily due to uric acid, while the slow decay is related to the protein content of the sample. We propose that this procedure can provide an independent and simultaneous evaluation of the low molecular weight and protein antioxidants present in biological samples such as serum.</t>
  </si>
  <si>
    <t>WOS:A1996TV30300002</t>
  </si>
  <si>
    <t>Medina, JC; Andrade, RR</t>
  </si>
  <si>
    <t>Rojas, I; Ortuno, F; Rojas, F; Herrera, LJ; Valenzuela, O</t>
  </si>
  <si>
    <t>Cabrera Medina, Johana; Rojas Andrade, Rodrigo</t>
  </si>
  <si>
    <t>Advancements in Artificial Intelligence for Health: A Rapid Review of AI-Based Mental Health Technologies Used in the Age of Large Language Models</t>
  </si>
  <si>
    <t>BIOINFORMATICS AND BIOMEDICAL ENGINEERING, PT I, IWBBIO 2024</t>
  </si>
  <si>
    <t>Lecture Notes in Bioinformatics</t>
  </si>
  <si>
    <t>11th International Work-Conference on Bioinformatics and Biomedical Engineering (IWBBIO)</t>
  </si>
  <si>
    <t>JUL 15-17, 2024</t>
  </si>
  <si>
    <t>Univ Granada, Meloneras, SPAIN</t>
  </si>
  <si>
    <t>Dept Comp Engn, Automat &amp; Robot,CITIC-UGR Univ Granada,Int Soc Comp Biol</t>
  </si>
  <si>
    <t>Univ Granada</t>
  </si>
  <si>
    <t>This paper aims to explore the advancements of AI technologies in mental health by conducting a rapid review of recent scientific literature and mass media outputs. The study focuses on identifying AI technologies used in mental health, outlining the types of interventions benefiting from these technologies, evaluating the scientific evidence on their safety and effectiveness, and assessing the existence of normative frameworks that ensure their ethical use. Employing a rapid review methodology, this research scrutinizes scientific studies and media reports selected based on explicit relevance to AI and mental health. The review integrates both scientific and grey evidence, providing a comprehensive overview of the current state and potential of AI applications in mental health care. The findings reveal significant utilization of AI in mental health diagnostics, treatment planning, and therapeutic interventions, facilitated by tools such as natural language processing, machine learning algorithms, and integrated AI systems, such as robots. The study also highlights the ethical, safety, and regulatory challenges emerging from the massive use of AI in this field, reflecting the need for stringent oversight and continuous evaluation.</t>
  </si>
  <si>
    <t>Cabrera Medina, Johana/IUO-1859-2023</t>
  </si>
  <si>
    <t>Cabrera-Medina, Johana/0000-0002-5444-688X</t>
  </si>
  <si>
    <t>2366-6323</t>
  </si>
  <si>
    <t>978-3-031-64628-7; 978-3-031-64629-4</t>
  </si>
  <si>
    <t>10.1007/978-3-031-64629-4_26</t>
  </si>
  <si>
    <t>WOS:001308626000026</t>
  </si>
  <si>
    <t>Objects should not touch: the experience of the disgusting as a limit of subjectivity</t>
  </si>
  <si>
    <t>NUEVO PENSAMIENTO-REVISTA DE FILOSOFIA</t>
  </si>
  <si>
    <t>The article aims to expose and analyze the displacement of subjectivity before the experience of the disgusting. For this, we will start the argumentation from a passage of Kant where disgust is presented as unrepresentable. From there, we review the relationship between the experience of disgust and embodied subjectivity, with special emphasis on the overflow of sensibility that characterizes this experience. Disgust, finally, finds meaning only as an event that invades subjectivity and disposes it affectively and perceptively.</t>
  </si>
  <si>
    <t>1853-7596</t>
  </si>
  <si>
    <t>WOS:001249098100004</t>
  </si>
  <si>
    <t>Maldonado, M; Ramos, I; Pinto, A; Gomez, CO</t>
  </si>
  <si>
    <t>Maldonado, Miguel; Ramos, Ignacio; Pinto, Alonso; Gomez, Cesar O.</t>
  </si>
  <si>
    <t>Effect of air profiling and frother concentration on a flotation bank performance</t>
  </si>
  <si>
    <t>The impact of air distribution on the metallurgical performance of a flotation bank operating with a mineral slurry having a moderate and high frother concentration is assessed. A flotation bank of two and three 5L Denver cells was implemented, and air flow was distributed down the bank as increasing and decreasing profiles. It was observed that when operating the bank configurations with a moderate frother concentration (10 ppm DF 400) the increasing profile provided the highest Cu enrichment ratio at the expense of a slight reduction in Cu recovery. This increase in selectivity was mainly due to a significant reduction in the water recovery and mass -pull in the first cell. When the bank operated with a high frother concentration, i.e., well beyond the CCC, a significant increase in water recovery was observed, producing a significant loss in selectivity that could not be compensated by air profiling.</t>
  </si>
  <si>
    <t>10.37190/ppmp/186274</t>
  </si>
  <si>
    <t>WOS:001245330700029</t>
  </si>
  <si>
    <t>Parada, R; Mendoza, L; Cotoras, M; Ortiz, C</t>
  </si>
  <si>
    <t>Parada, R.; Mendoza, L.; Cotoras, M.; Ortiz, C.</t>
  </si>
  <si>
    <t>Endophytic fungi isolated from plants present in a mine tailing facility show a differential growth response to lead</t>
  </si>
  <si>
    <t>LETTERS IN APPLIED MICROBIOLOGY</t>
  </si>
  <si>
    <t>Plants growing in metal-polluted sites can be a source of micro-organisms suitable for bio-assisted phytoremediation strategies. In this work, three endophytic fungi from the roots of Poa stuckertii and Poa pratensis, two grasses that naturally colonize a Lead-Zinc tailing storage facility in Southern Chile, were isolated and identified. The leachate of the tailing sands showed a Pb content of 1 center dot 36 +/- 0 center dot 71 ppm, and a pH of 7 center dot 3. By amplifying the ITS1/ITS4 region of fungal ribosomal DNA, the isolates were identified as Bjerkandera sp., Microdochium sp. and Sarocladium sp. When the growth media was supplemented with 50 ppm of Pb at pH 4 center dot 5, Microdochium sp. showed an 80% decrease in the biomass, but the biomass production of Bjerkandera sp. and Sarocladium sp. was not affected by the same treatment. The accumulation of Pb in Microdochium sp. increased as a function of the concentration of the metal in the growth media, between 48 center dot 3 and 241 center dot 3 mu mol l(-1). We showed that two Poaceae plants growing on a Lead-Zinc tailing storage facility are a source of endophyte fungi and that Pb had a differential effect on the growth of the isolated fungi independent of the plant of origin.</t>
  </si>
  <si>
    <t>parada, rodolfo/0000-0001-5344-0243</t>
  </si>
  <si>
    <t>0266-8254</t>
  </si>
  <si>
    <t>1472-765X</t>
  </si>
  <si>
    <t>10.1111/lam.13730</t>
  </si>
  <si>
    <t>MAY 2022</t>
  </si>
  <si>
    <t>WOS:000795655300001</t>
  </si>
  <si>
    <t>Loyola, CZ; Ureta-Zañartu, S; Zagal, JH; Tasca, F</t>
  </si>
  <si>
    <t>Zuniga Loyola, Cesar; Ureta-Zanartu, Soledad; Zagal, Jose H.; Tasca, F.</t>
  </si>
  <si>
    <t>Activity volcano plots for the oxygen reduction reaction using FeN4 complexes: From reported experimental data to the electrochemical meaning</t>
  </si>
  <si>
    <t>CURRENT OPINION IN ELECTROCHEMISTRY</t>
  </si>
  <si>
    <t>Electrochemistry and electrochemical experiments are powerful tools for obtaining information about the thermody-namics and kinetics of electrochemical reactions. In electro-catalysis, these two parameters are often framed together to improve the understanding of the interactions of a catalyst and a reactant. Generally, volcano-type correlations are composed to compare similar catalysts. In this type of corre-lation, kinetic versus thermodynamic parameters are juxtapose to identify the most active catalyst positioned at the top of the volcano trend. In this work, we delve into the obtaining of this type of correlations to clarify the significance and utility. In particular, the study of the oxygen reduction reaction (ORR) has been selected due to its importance in energy conversion devices such as fuel cells and metal-air batteries.</t>
  </si>
  <si>
    <t>Zúñiga-Loyola, César/AAN-5621-2021; zagal, jose/L-9648-2014; Tasca, Federico/J-4134-2015</t>
  </si>
  <si>
    <t>Zuniga-Loyola, Cesar/0000-0002-0894-3383; Tasca, Federico/0000-0002-4111-4624</t>
  </si>
  <si>
    <t>2451-9103</t>
  </si>
  <si>
    <t>10.1016/j.coelec.2021.100923</t>
  </si>
  <si>
    <t>WOS:000788053500018</t>
  </si>
  <si>
    <t>Zolorza, JA; Palma, JM; Barbosa, KA</t>
  </si>
  <si>
    <t>Zolorza, J. A.; Palma, J. M.; Barbosa, K. A.</t>
  </si>
  <si>
    <t>H∞ Gain-Scheduled Algorithm Design for Multi Coupled Tank</t>
  </si>
  <si>
    <t>This work deals with the four connected tanks' control and modeling with multiple operation points formulated as a lineal parameter variant (LPV) system. The first step is modeling the plant as a non-linear system and then using its linearization to develop an LPV system based on multiple operation points. Next, knowing the parameters' bounds, an H-infinity robust and an H-infinity gain-scheduling control is designed to the LPV model in order to minimize the perturbation effect in the system output. A numerical example based on a real academic plant is presented to show the proposed approach's effectiveness.</t>
  </si>
  <si>
    <t>Barbosa, Karina/A-2236-2014; Palma, Jose/L-3803-2014; Palma Olate, Jonathan Matias/B-8798-2019</t>
  </si>
  <si>
    <t>Palma Olate, Jonathan Matias/0000-0002-3924-1907; Barbosa, Karina A./0000-0001-7183-2662</t>
  </si>
  <si>
    <t>10.1109/ICAACCA51523.2021.9465300</t>
  </si>
  <si>
    <t>WOS:000855764500018</t>
  </si>
  <si>
    <t>Velásquez, E; Rojas, A; Piña, C; Galotto, MJ; de Dicastillo, CL</t>
  </si>
  <si>
    <t>Velasquez, Eliezer; Rojas, Adrian; Pina, Constanza; Jose Galotto, Maria; Lopez de Dicastillo, Carol</t>
  </si>
  <si>
    <t>Development of Bilayer Biodegradable Composites Containing Cellulose Nanocrystals with Antioxidant Properties</t>
  </si>
  <si>
    <t>The interest in the development of novel biodegradable composites has increased over last years, and multilayer composites allow the design of materials with functionality and improved properties. In this work, bilayer structures based on a coated zein layer containing quercetin and cellulose nanocrystals (CNC) over an extruded poly(lactic acid) (PLA) layer were developed and characterized. Bilayer composites were successfully obtained and presented a total thickness of approx. 90 mu m. The coated zein layer and quercetin gave a yellowish tone to the composites. The incorporation of the zein layer containing CNC decreased the volatile release rate during thermal degradation. Regarding to mechanical properties, bilayer composites presented lower brittleness and greater ductility evidenced by a lower Young's modulus and higher elongation values. Water permeability values of bilayer composites greatly increased with humidity and the zein coated layer containing quercetin increased this effect. Experimental data of quercetin release kinetics from bilayer structures indicated a higher release for an alcoholic food system, and the incorporation of cellulose nanocrystals did not influence the quercetin diffusion process.</t>
  </si>
  <si>
    <t>Rojas, Adrian/0000-0001-9253-1295; Lopez-de-Dicastillo, Carol/0000-0003-0067-9765; VELASQUEZ, ELIEZER/0000-0001-8858-8926</t>
  </si>
  <si>
    <t>10.3390/polym11121945</t>
  </si>
  <si>
    <t>WOS:000507624500038</t>
  </si>
  <si>
    <t>A convenient omitted variable bias formula for treatment effect models</t>
  </si>
  <si>
    <t>Generally, determining the size and magnitude of the omitted variable bias (OVB) in regression models is challenging when multiple included and omitted variables are present. Here, I describe a convenient OVB formula for treatment effect models with potentially many included and omitted variables. I show that in these circumstances it is simple to infer the direction, and potentially the magnitude, of the bias. In a simple setting, this OVB is based on mutually exclusive binary variables, however I provide an extension which loosens the need for mutual exclusivity of variables, deriving the bias in difference-in-differences style models with an arbitrary number of included and excluded treatment indicators. (C) 2018 Elsevier B.V. All rights reserved.</t>
  </si>
  <si>
    <t>10.1016/j.econlet.2018.10.035</t>
  </si>
  <si>
    <t>WOS:000456759700020</t>
  </si>
  <si>
    <t>Letelier, MF; Díaz, N; Siginer, D; Báez, E</t>
  </si>
  <si>
    <t>Letelier, Mario F.; Diaz, Nicolas; Siginer, Dennis; Baez, Ercio</t>
  </si>
  <si>
    <t>EFFECT OF ELASTICITY ON VISCOPLASTIC FLOW</t>
  </si>
  <si>
    <t>PROCEEDINGS OF THE ASME INTERNATIONAL MECHANICAL ENGINEERING CONGRESS AND EXPOSITION, 2016, VOL. 7</t>
  </si>
  <si>
    <t>ASME International Mechanical Engineering Congress and Exposition (IMECE2016)</t>
  </si>
  <si>
    <t>NOV 11-17, 2016</t>
  </si>
  <si>
    <t>Phoenix, AZ</t>
  </si>
  <si>
    <t>The effect of superimposing elasticity on a viscoplastic fluid (elasto-viscoplastic fluid) is investigated through a linear combination of the simplified Phan-Thien Tanner (SPIT) model of viscoelasticity and Bingham model of viscoplastic fluid. The equation of motion is solved for the case of parallel steady flow in tubes of non-circular cross-sections. The effect of elasticity on the evolution of plug and stagnant zones, and rate of flow in terms of the Weissenberg number, a material parameter in the SPIT model, and the Bingham number is investigated. We find that elasticity tends to enhance the rate of flow for given viscoplastic conditions.</t>
  </si>
  <si>
    <t>978-0-7918-5061-9</t>
  </si>
  <si>
    <t>V007T09A020</t>
  </si>
  <si>
    <t>WOS:000400877800020</t>
  </si>
  <si>
    <t>Castillo-Sepúlveda, S; Corona, RM; Altbir, D; Escrig, J</t>
  </si>
  <si>
    <t>Castillo-Sepulveda, S.; Corona, R. M.; Altbir, D.; Escrig, J.</t>
  </si>
  <si>
    <t>Magnetic properties of mosaic nanocomposites composed of nickel and cobalt nanowires</t>
  </si>
  <si>
    <t>Mosaic nanocomposites composed of nickel and cobalt nanowires arranged in different configurations were investigated using Monte Carlo simulations and a simple model that considers single-domain structures including length corrections due to the shape anisotropy. Our results showed that for an ordered array both the coercivity and the remanence decrease linearly as a function of the concentration of nickel nanowires. Besides, we obtained that the magnetic properties of an array of a certain hard magnetic material (cobalt) will not change, unless we have more than 50% of nanowires of other soft magnetic material (nickel) in the array. In principle the second material could be other soft magnetic material, but could also be a nonmagnetic material or could even be a situation in which some of the pore arrays were not filled by electrodeposition. Therefore, our results allow us to predict the behavior of magnetic mosaic nanocomposites that are promising candidates for functional electrodes, sensors, and model catalysts. (C) 2016 Elsevier B.V. All rights reserved.</t>
  </si>
  <si>
    <t>Altbir, Dora/R-6781-2018; Escrig, Juan/N-4304-2015</t>
  </si>
  <si>
    <t>Altbir, Dora/0000-0002-2945-4909; Castillo, Sebastian/0000-0001-7730-8773; Escrig, Juan/0000-0002-3958-8185; Corona, Rosa/0000-0001-6054-5019</t>
  </si>
  <si>
    <t>10.1016/j.jmmm.2016.04.083</t>
  </si>
  <si>
    <t>WOS:000377392100045</t>
  </si>
  <si>
    <t>Encinas, MV; Lissi, E; Vergara, C</t>
  </si>
  <si>
    <t>Encinas, Maria V.; Lissi, Eduardo; Vergara, Claudio</t>
  </si>
  <si>
    <t>Association of Valdecoxib, a Nonsteroidal Anti-Inflammatory Drug, with Human Serum Albumin</t>
  </si>
  <si>
    <t>Valdecoxib addition quenches the intrinsic human serum albumin (HSA) fluorescence. This allows an evaluation of the drug-protein association. However, both the number of binding sites and their affinity for the drug depend upon the methodology employed for their evaluation and the employed protein concentration. In this work, we measured the effect of valdecoxib on HSA fluorescence yield over a wide range of experimental conditions and discuss the validity of the binding parameters derived from the different data treatments: Stern-Volmer, Scatchard, double logarithmic, quadratic equation, Benesi-Hilderand, and Encinas-Lissi. It is proposed that a combination of Encinas-Lissi and Scatchard treatments of the data renders the most reliable results. From these data, it is concluded that HSA presents three high-affinity binding sites for valdecoxib (K-as=4.5x10(4)m(-1)) and several secondary sites of smaller activity.</t>
  </si>
  <si>
    <t>1751-1097</t>
  </si>
  <si>
    <t>10.1111/php.12158</t>
  </si>
  <si>
    <t>WOS:000326507100018</t>
  </si>
  <si>
    <t>Moreno, F; Gramsch, E; Oyola, P; Rubio, MA</t>
  </si>
  <si>
    <t>Moreno, Francisco; Gramsch, Ernesto; Oyola, Pedro; Angelica Rubio, Maria</t>
  </si>
  <si>
    <t>Modification in the Soil and Traffic-Related Sources of Particle Matter between 1998 and 2007 in Santiago de Chile</t>
  </si>
  <si>
    <t>JOURNAL OF THE AIR &amp; WASTE MANAGEMENT ASSOCIATION</t>
  </si>
  <si>
    <t>Santiago de Chile is one of the most polluted South American cities, concentrating its pollution episodes during winter. Daily PM2.5 (particulate matter [PM] &lt;= 2.5 mu m in aerodynamic diameter) concentrations over 80 mu g/m(3) have been reached frequently since 1998. Despite several regulations introduced over the past 20 yr to improve the air quality, PM concentration levels remain high. In this work, sampling in downtown Santiago was conducted from April 1998 to August 2007 for PM2.5 and from October 2003 to March 2006 for PM10-2.5 (PM between 2.5 and 10 mu m in aerodynamic diameter) with dichotomous samplers. Elemental analysis was performed on the samples with X-ray fluorescence. The resulting series of 859 samples and 216 elements identified were divided into semiannual periods and analyzed with factor analysis. Five factors are clearly discerned: soil, motor vehicles, residual oil, marine aerosols, and secondary sulfates. The soil factor in the fine fraction shows a clear increase from 2002 to 2006, whereas the coarse fraction of this factor shows a stable trend. The most probable cause for this trend is the growth in the number of vehicles in Santiago (6.5%/yr), which increases the resuspension of particles from the ground. Another cause for the increase is the growth in the construction activity (4.2%/yr). The motor vehicle factor in the fine fraction shows a decrease between 1998 and 2006. The decrease in the apportionment of this factor can be explained by the improvement in the vehicle fleet. In Santiago, the number of noncatalytic vehicles has been reduced from 389,000 in 2001 to 275,000 in 2006. The residual oil factor also shows a decrease between 1998 and 2006. The decrease could be attributed to the adoption of cleaner technologies and norms regarding gasoline and diesels.</t>
  </si>
  <si>
    <t>Gramsch, Ernesto/0000-0002-6787-7355; Moreno, Francisco/0000-0001-9637-0919</t>
  </si>
  <si>
    <t>1096-2247</t>
  </si>
  <si>
    <t>2162-2906</t>
  </si>
  <si>
    <t>10.3155/1047-3289.60.12.1410</t>
  </si>
  <si>
    <t>WOS:000285281900001</t>
  </si>
  <si>
    <t>Rezende, MC; Guerrero, J</t>
  </si>
  <si>
    <t>Caroli Rezende, Marcos; Guerrero, Juan</t>
  </si>
  <si>
    <t>Solvent and temperature effects on the conformational equilibria of a dihydrobenzo[h]quinolinium fluoroborate</t>
  </si>
  <si>
    <t>Spectra of the N-phenyl-5,6-dihydro-2,4-diphenylbenzo[h]quinoliniumtetrafluoroborate (1)and of the N-phenyl-5,6,8,9-tetrahydro-7-phenyidibenzo[c,h]acridinium tetrafluoroborate (2)were recorded in various solvents and temperatures. The analysis of the H-1-NMR spectra of the tetrafluoroborate salt 1, recorded in acetone, acetonitrile, 1,1,2,2-tetrachloroethane and chloroform, revealed the existence of an equilibrium between two conformers in solution. Tight ion-pairing in chloroform led to a smaller barrier for interconversion between the two conformers. In more polar solvents, where the dihydrobenzoquinolinium exists as a free cation, theoretical calculations predicted larger barriers. The spectra of 1 in 1,1,2,2-tetrachloroethane also varied with temperature, resembling at higher temperatures the spectrum in CDCl3 and at 300K spectra in more polar media. Spectra of 2 did not vary with the solvent or the temperature, in an indication of a much higher barrier to conformational interconversion, because of a greater steric hindrance between the N-phenyl substituent and the dihydrobenzo rings. Copyright (C) 2009 John Wiley &amp; Sons, Ltd.</t>
  </si>
  <si>
    <t>1097-458X</t>
  </si>
  <si>
    <t>10.1002/mrc.2424</t>
  </si>
  <si>
    <t>WOS:000266270200007</t>
  </si>
  <si>
    <t>Valdebenito, A.; Encinas, M. V.</t>
  </si>
  <si>
    <t>Chain transfer agents in vinyl polymerizations photo-induced by bimolecular photoinitiators</t>
  </si>
  <si>
    <t>The behavior of 2-mercaptoethanol and phenols as chain transfer agents in the polymerization of methyl methacrylate and acrylamide at 25 degrees C photoinitiated by bimolecular initiators based on xanthene dyes and aromatic ketones in the presence of an-tine was studied. Addition of millimolar concentrations of 2-mercaptoethanol or phenol to the methyl methacrylate polymerization reduced notably the polymer molecular weights, with minor changes of the polymerization rate. The photochemical behavior of the initiators in the polymerization media was analyzed. These studies allowed explaining the behavior of alkyl thiols and phenols as chain transfer agents in terms of the competition of the coinitiator and chain transfer agents to deactivate the triplet state of the photoinitiator, and the characteristics of the intermediates formed in the deactivation processes. Chain transfer constants were determined, and the values are similar to that obtained in the polymerization photoinduced by the alpha-cleavage of aliphatic azo compounds. (C) 2007 Elsevier B.V. All rights reserved.</t>
  </si>
  <si>
    <t>FEB 20</t>
  </si>
  <si>
    <t>10.1016/j.jphotochem.2007.08.012</t>
  </si>
  <si>
    <t>WOS:000253874200014</t>
  </si>
  <si>
    <t>Abuin, E; Lissi, E; Olivares, K</t>
  </si>
  <si>
    <t>Tetradecyltrimethylammonium bromide water-in-oil microemulsions: dependence of the minimum amount of alkanol required to produce a microemulsion with the alkanol and organic solvent topology</t>
  </si>
  <si>
    <t>The amount of alcohol required to produce a microemulsion in a quaternary water-in-oil system was evaluated for a series of alcohols and hydrocarbon solvents of different size or topology. It was observed that the amount of n-hexanol and n-decanol required was similar in all the solvents considered. On the other hand, considerably higher concentrations of the branched alcohols (2,4-dimethyl-3-pentanol and 3-ethyl-3-pentanol) were required to produce the microemulsion, irrespective of the solvent topology (n-hexane or 2,2,4-trimethylpentane). From an analysis of the change in the analytical alcohol concentration with the surfactant concentration the amounts of alcohol present at the microaggregates' surface at the point of microemulsion formation were obtained. It is concluded that the high amounts of branched alcohols required are due to both less efficient incorporation at the interface and the larger number of alcohol molecules per surfactant required to stabilize the microemulsion. (C) 2004 Elsevier Inc. All rights reserved.</t>
  </si>
  <si>
    <t>AUG 1</t>
  </si>
  <si>
    <t>10.1016/j.jcis.2004.03.026</t>
  </si>
  <si>
    <t>WOS:000222537800028</t>
  </si>
  <si>
    <t>Valdés, J; Veloso, F; Jedlicki, E; Holmes, D</t>
  </si>
  <si>
    <t>Metabolic reconstruction of sulfur assimilation in the extremophile Acidithiobacillus ferrooxidans based on genome analysis -: art. no. 51</t>
  </si>
  <si>
    <t>BMC GENOMICS</t>
  </si>
  <si>
    <t>Background: Acidithiobacillus ferrooxidans is a gamma-proteobacterium that lives at pH2 and obtains energy by the oxidation of sulfur and iron. It is used in the biomining industry for the recovery of metals and is one of the causative agents of acid mine drainage. Effective tools for the study of its genetics and physiology are not in widespread use and, despite considerable effort, an understanding of its unusual physiology remains at a rudimentary level. Nearly complete genome sequences of A. ferrooxidans are available from two public sources and we have exploited this information to reconstruct aspects of its sulfur metabolism. Results: Two candidate mechanisms for sulfate uptake from the environment were detected but both belong to large paralogous families of membrane transporters and their identification remains tentative. Prospective genes, pathways and regulatory mechanisms were identified that are likely to be involved in the assimilation of sulfate into cysteine and in the formation of Fe-S centers. Genes and regulatory networks were also uncovered that may link sulfur assimilation with nitrogen fixation, hydrogen utilization and sulfur reduction. Potential pathways were identified for sulfation of extracellular metabolites that may possibly be involved in cellular attachment to pyrite, sulfur and other solid substrates. Conclusions: A bioinformatic analysis of the genome sequence of A. ferrooxidans has revealed candidate genes, metabolic process and control mechanisms potentially involved in aspects of sulfur metabolism. Metabolic modeling provides an important preliminary step in understanding the unusual physiology of this extremophile especially given the severe difficulties involved in its genetic manipulation and biochemical analysis.</t>
  </si>
  <si>
    <t>Valdes, Jorge/AAL-2779-2021</t>
  </si>
  <si>
    <t>Holmes, David/0000-0001-9555-138X; Veloso, Felipe A./0000-0003-0206-9178</t>
  </si>
  <si>
    <t>1471-2164</t>
  </si>
  <si>
    <t>10.1186/1471-2164-4-51</t>
  </si>
  <si>
    <t>WOS:000188534000001</t>
  </si>
  <si>
    <t>Troncoso, R; Zanelli, J</t>
  </si>
  <si>
    <t>New gauge supergravity in seven and eleven dimensions - art. no. 101703</t>
  </si>
  <si>
    <t>Locally supersymmetric systems in odd dimensions whose Lagrangians are Chern-Simons forms for supersymmetric extensions of anti-de Sitter gravity are discussed. The construction is illustrated for D = 7 and 11. ln seven dimensions the theory is an N = 2 supergravity whose fields are the vielbein (e(mu)(a)), the spin connection (omega(mu)(ab)), two gravitini (psi(mu)(l)) and an sp(2) gauge connection (a(mu j)(i)). These fields form a connection for o sp(2\8). In eleven dimensions the theory is an N = 1 supergravity containing, apart from e(mu)(a) and omega(mu)(ab), one gravitino psi(mu) and a totally antisymmetric fifth rank Lorentz tensor one-form, b(mu)(abcde). These fields form a connection for o sp(32\1). The actions are by construction invariant under local supersymmetry and the algebra closes off shell without requiring auxiliary fields. The N = 2([D/2]) theory can be shown to have non-negative energy around an AdS background, which is a classical solution that saturates the Bogomol'nyi bound obtained from the superarlgebn, [S0556-2821(98)50522-X].</t>
  </si>
  <si>
    <t>Troncoso, Ricardo/H-5051-2013</t>
  </si>
  <si>
    <t>Troncoso, Ricardo/0000-0003-3659-1140</t>
  </si>
  <si>
    <t>10.1103/PhysRevD.58.101703</t>
  </si>
  <si>
    <t>WOS:000077106900003</t>
  </si>
  <si>
    <t>Gramsch, E; Avila, RE</t>
  </si>
  <si>
    <t>UV and blue-enhanced avalanche photodiodes for nuclear spectroscopy applications</t>
  </si>
  <si>
    <t>NUCLEAR INSTRUMENTS &amp; METHODS IN PHYSICS RESEARCH SECTION A-ACCELERATORS SPECTROMETERS DETECTORS AND ASSOCIATED EQUIPMENT</t>
  </si>
  <si>
    <t>Avalanche photodiodes of the bevel-edge type have been developed with improved blue and UV response. The detectors have been characterized for use in low-light level applications such as nuclear spectroscopy. An etching technique not used before in avalanche photodiodes has been used to obtain improved blue and UV response. Quantum efficiency up to 40% has been obtained above 200 nm. The gain and dark current are dependent on external voltage, and gains up to 400 are obtained at 1980 V without excess noise, and breakdown occurs at similar to 2000 V. The detector exhibits low noise and fast response, necessary for use in nuclear spectroscopy systems. The energy resolution from a Co-57 gamma-ray source was measured to be 942 eV (6.4 keV X-rays), which corresponds to 111 r.m.s. noise electrons at the input. We measured the energy resolution of the detector coupled with a 3 x 3 x 3 mm(3) EGO scintillator from a Na-22 gamma-ray source. The energy resolution at the 511 keV line was 12.5%, which is comparable to photomultiplier tubes coupled to a scintillator of the same size. The resolution with a 3 x 3 x 25 mm(3) LSO scintillator was also measured, the energy resolution at 511 keV was 12.1%. (C) 1998 Elsevier Science B.V. All rights reserved.</t>
  </si>
  <si>
    <t>Gramsch, Ernesto/0000-0002-6787-7355</t>
  </si>
  <si>
    <t>0168-9002</t>
  </si>
  <si>
    <t>SEP 11</t>
  </si>
  <si>
    <t>10.1016/S0168-9002(98)00478-1</t>
  </si>
  <si>
    <t>WOS:000076090100018</t>
  </si>
  <si>
    <t>WARD, J; VALDES, J</t>
  </si>
  <si>
    <t>ANALYSIS OF FUSED SAMPLES USING INFLUENCE COEFFICIENTS OBTAINED FROM SYNTHETIC STANDARDS</t>
  </si>
  <si>
    <t>X-RAY SPECTROMETRY</t>
  </si>
  <si>
    <t>Valdes, Jorge/IYJ-2578-2023</t>
  </si>
  <si>
    <t>Valdes Leyton, Jorge Eduardo/0000-0001-5465-7567</t>
  </si>
  <si>
    <t>0049-8246</t>
  </si>
  <si>
    <t>10.1002/xrs.1300160205</t>
  </si>
  <si>
    <t>WOS:A1987G587600003</t>
  </si>
  <si>
    <t>Vergara, PM; Zúñiga, AH; Fierro, A; Alaniz, AJ; Quiroz, M; Carvajal, MA; Hidalgo-Corrotea, CM; Moreira-arce, D; Borquez, C</t>
  </si>
  <si>
    <t>Vergara, Pablo M.; Zuniga, Alfredo H.; Fierro, Andres; Alaniz, Alberto J.; Quiroz, Madelaine; Carvajal, Mario A.; Hidalgo-Corrotea, Claudia M.; Moreira-arce, Dario; Borquez, Cristian</t>
  </si>
  <si>
    <t>Tree Cavities as Microhabitats Shared by Multiple Taxa: Understanding the Coexistence of an Arboreal Marsupial With Other Cavity-Dwelling Vertebrates in Southern Temperate Forests</t>
  </si>
  <si>
    <t>INTEGRATIVE ZOOLOGY</t>
  </si>
  <si>
    <t>Vergara, Pablo/F-2519-2010; Carvajal, Mario/GYU-2659-2022; Moreira-Arce, Dario/ABG-2898-2021; Quiroz, Madelaine/ACG-9162-2022; Alaniz, Alberto/MTC-1450-2025</t>
  </si>
  <si>
    <t>1749-4877</t>
  </si>
  <si>
    <t>1749-4869</t>
  </si>
  <si>
    <t>2025 FEB 10</t>
  </si>
  <si>
    <t>10.1111/1749-4877.12962</t>
  </si>
  <si>
    <t>WOS:001420877300001</t>
  </si>
  <si>
    <t>Pérez, LE; Pérez, AE; Vásquez, OC</t>
  </si>
  <si>
    <t>Perez, Lorena Espinoza; Perez, Andrea Espinoza; Vasquez, Oscar C.</t>
  </si>
  <si>
    <t>Evaluation of mitigation initiatives for simultaneous air pollution and municipal solid waste systems: A System Dynamics Approach</t>
  </si>
  <si>
    <t>SOCIO-ECONOMIC PLANNING SCIENCES</t>
  </si>
  <si>
    <t>Numerous policies have been implemented in the global effort to achieve sustainable development and improve the population's quality of life, such as those to reduce air pollution or manage municipal solid waste (MSW). However, these policies were designed disregarding their simultaneous impact on human health and ecosystem in the same city. This study implements system dynamics methodology to simulate coexisting air pollution and MSW management systems, as well as their corresponding policies and decontamination plans, to investigate their influence on human health and ecosystem and to propose policy improvements based on the specific setting of the study. The case study corresponds to Temuco and Padre Las Casas (TPLC). Results show that TPLC requires an integrated policy approach that includes increasing the equipment replacement and advanced technologies for MSW management to achieve reductions in human health impacts by approximately 10%.</t>
  </si>
  <si>
    <t>Espinoza Perez, Lorena/0000-0001-6737-8479; Vasquez, Oscar C./0000-0002-1393-4692; Espinoza Perez, Andrea Teresa/0000-0002-6362-9100</t>
  </si>
  <si>
    <t>0038-0121</t>
  </si>
  <si>
    <t>1873-6041</t>
  </si>
  <si>
    <t>10.1016/j.seps.2024.102010</t>
  </si>
  <si>
    <t>JUL 2024</t>
  </si>
  <si>
    <t>WOS:001270380800001</t>
  </si>
  <si>
    <t>Moraga, D; Melinao, F; Vidal, M; Aliaga, C; Domínguez, M</t>
  </si>
  <si>
    <t>Moraga, Daniela; Melinao, Fabian; Vidal, Matias; Aliaga, Carolina; Dominguez, Moises</t>
  </si>
  <si>
    <t>Curving the solvatochromic tendency of pyridinium phenolate sensors by increasing their sensitivity to solvent polarizability</t>
  </si>
  <si>
    <t>Three classic pyridinium-phenolate sensors exhibiting negative solvatochromism were modified by the addition of a 1,4-phenylene linker, resulting in three derivatives displaying inverted solvatochromism, with inversion points observed in polar solvents, such as DMSO. This study shows that the 1,4-phenylene linker is essential for the inverted solvatochromism of this sensor class. DFT calculations, multiparametric regressions, and molecular dynamics simulations in methanol suggest that the inversion is caused by increased sensitivity to the polarizability of the solvent and the loss of hydrogen bonds in solution. Finally, the present series presents a method for transforming negative solvatochromic pyridinium-phenolates into sensors displaying inverted solvatochromism by adding the 1,4-phenylene unit to the re-linker between the donor-acceptor pair.</t>
  </si>
  <si>
    <t>Vidal, Matias/0000-0003-4888-7926; Dominguez, Moises/0000-0002-8444-3065</t>
  </si>
  <si>
    <t>10.1016/j.molliq.2023.123846</t>
  </si>
  <si>
    <t>DEC 2023</t>
  </si>
  <si>
    <t>WOS:001165934200001</t>
  </si>
  <si>
    <t>The concept of civil society: a geographical/rhizomatic reflection</t>
  </si>
  <si>
    <t>WOS:001039476000002</t>
  </si>
  <si>
    <t>Garcia, MO; Scull, TS; Rocafull, YR; Alvarez, BD; Tonacca, LS</t>
  </si>
  <si>
    <t>Garcia, Marisel Ortega; Scull, Tomas Shagarodsky; Rocafull, Yoania Rios; Alvarez, Bernardo Dibut; Tonacca, Luis Saez</t>
  </si>
  <si>
    <t>Agronomic response of Cicer arietinum L. varieties in low fertility</t>
  </si>
  <si>
    <t>The prices of the foods and agricultural inputs increase in the world, for what Cuba de-velops strategies that allow the production of grains like in chickpea (Cicer arietinum L.) in agroecosystem of low fertility. For it is indispensable to know the agronomic answer of the varieties of the vegetable species in soils with these characteristics. In this study the chic-kpea varieties National-24, National-29, National-30, National-6 and JP-94 was sowed in a soil with low values of organic matter and means values of phosphorus and potassium. Under these conditions was better the variety National 29 over the rest of them because presenting higher number and weight fresh of nodule, longitude of the root, wide of the glass, number of sheaths for plant, weight of 100 seeds and yield for plant. The results allow intending this to cultivate to sow in Cuba in agroecosystem with the same characteristic and to have good yields.</t>
  </si>
  <si>
    <t>10.35588/rivar.v9i27.5674</t>
  </si>
  <si>
    <t>WOS:000860972900014</t>
  </si>
  <si>
    <t>Vidal-Silva, N; Tejo, F; Espejo, AP; Escrig, J</t>
  </si>
  <si>
    <t>Vidal-Silva, N.; Tejo, F.; Espejo, A. P.; Escrig, J.</t>
  </si>
  <si>
    <t>Current-driven domain wall motion in a planar nanowire with a square hole</t>
  </si>
  <si>
    <t>The current-driven domain wall motion in a planar nanowire with a square hole located at its center is studied by micromagnetic simulations. We show the existence of four regimes that depend both on the geometrical parameters of the hole and the nanowire, as well as on the applied current density. These regimes determine a pinning-depinning pattern characterized by: i) the domain wall remains pinned in its initial position; ii) the domain wall is released from its initial position and reaches the square hole, remaining pinned in that position; iii) the domain wall reaches the hole and passes it without major obstacles, reaching the other end of the wire; iv) the domain wall reaches the hole and suffers a series of complex transformations that annihilate it, giving rise to the nucleation of a new domain wall, which is what reaches the other end of the wire. Our finding could be of practical use in the engineering of logic devices based on the movement of domain walls.</t>
  </si>
  <si>
    <t>Tejo, Felipe/IUQ-0578-2023; Vidal Silva, Nicolas/IAN-0226-2023; Escrig, Juan/N-4304-2015</t>
  </si>
  <si>
    <t>Vidal Silva, Nicolas/0000-0002-3717-3816; Escrig, Juan/0000-0002-3958-8185; Tejo Lazo, Felipe Tejo/0000-0001-7457-7281</t>
  </si>
  <si>
    <t>10.1016/j.jmmm.2019.03.124</t>
  </si>
  <si>
    <t>WOS:000468443500018</t>
  </si>
  <si>
    <t>Canfora, F; Tallarita, G</t>
  </si>
  <si>
    <t>Canfora, Fabrizio; Tallarita, Gianni</t>
  </si>
  <si>
    <t>SU(N) BPS monopoles in M2 x S2</t>
  </si>
  <si>
    <t>We extend the investigation of BPS saturated 't Hooft-Polyakov monopoles in M-2 x S-2 to the general case of SU(N) gauge symmetry. This geometry causes the resulting N - 1 coupled nonlinear ordinary differential equations for the N - 1 monopole profiles to become autonomous. One can also define a flat limit in which the curvature of the background metric is arbitrarily small but the simplifications brought in by the geometry remain. We prove analytically that nontrivial solutions in which the profiles are not proportional can be found. Moreover, we construct numerical solutions for N = 2, 3 and 4. The presence of the parameter N allows one to take a smooth large N limit which greatly simplifies the treatment of the infinite number of profile function equations. We show that, in this limit, the system of infinitely many coupled ordinary differential equations for the monopole profiles reduces to a single two-dimensional nonlinear partial differential equation.</t>
  </si>
  <si>
    <t>Tallarita, Gianni/AAU-8079-2021; Tallarita, Gianni/J-5409-2018</t>
  </si>
  <si>
    <t>Tallarita, Gianni/0000-0001-9737-9050; , Fabrizio Canfora/0000-0002-4661-9875</t>
  </si>
  <si>
    <t>APR 23</t>
  </si>
  <si>
    <t>10.1103/PhysRevD.91.085033</t>
  </si>
  <si>
    <t>WOS:000353328500007</t>
  </si>
  <si>
    <t>Aliaga, C; Almodovar, I; Rezende, MC</t>
  </si>
  <si>
    <t>Aliaga, Carolina; Almodovar, Iriux; Caroli Rezende, Marcos</t>
  </si>
  <si>
    <t>A single theoretical descriptor for the bond-dissociation energy of substituted phenols</t>
  </si>
  <si>
    <t>Relative to the corresponding value of phenol, the bond-dissociation energies (BDE) of substituted phenols correlate well with a single descriptor: the Mulliken charge on the oxygen atom of the phenoxyl radical. However, the correlation fails for phenols ortho-substituted with polar groups. Internal reaction coordinates (IRC) for the model reaction of hydrogen abstraction by the hydroperoxyl radical from various 2- and 4-substituted phenols were calculated in order to investigate the role of intra-molecular hydrogen bonds and steric effects on the process. Calculations yielded theoretical values in good agreement with experimental Delta BDE values. The hydrogen-abstraction process was further analyzed in terms of density functional theory (DFT)-based reactivity indices such as local electrophilicity, the Fukui function for nucleophilic attack, and dual descriptor values of the phenolic hydroxyl oxygen along the IRC.</t>
  </si>
  <si>
    <t>Caroli, Marcos/H-3570-2019; Aliaga, Carolina/G-6024-2019</t>
  </si>
  <si>
    <t>Almodovar, Iriux/0000-0002-0692-0196; Rezende, Marcos/0000-0003-2040-9009; Aliaga, Carolina/0000-0002-1352-3164</t>
  </si>
  <si>
    <t>10.1007/s00894-015-2572-x</t>
  </si>
  <si>
    <t>WOS:000348306800018</t>
  </si>
  <si>
    <t>Rubio, MA; Eduardo, LG</t>
  </si>
  <si>
    <t>Rubio, Maria A.; Eduardo, Lissi G.</t>
  </si>
  <si>
    <t>TEMPERATURE AS THUMB RULE PREDICTOR OF OZONE LEVELS IN SANTIAGO DE CHILE GROUND AIR</t>
  </si>
  <si>
    <t>Ozone concentrations in the urban air of Santiago de Chile frequently surpass the air quality standard in summertime, particularly in the eastern part of the city (Las Condes). The main parameter that determines ozone episodes is the ground level daily maximum temperature. In the present work we propose that this single parameter can be employed as a simple predictor of the expected ozone levels. In particular, it is found that high ozone episodes takes place in Las Condes when the maximum daily temperature is higher than 30 degrees C. This single criterion applies during all the summer period (from December to March) and for weekdays and weekends. On the other hand, ozone episodes in downtown take place only when the maximum daily temperature reaches values higher than 32.5 degrees C. These simple relationships imply that weather forecast could be employed by the citizens to estimate the risk associated to carry out outdoors activities.</t>
  </si>
  <si>
    <t>10.4067/S0717-97072014000200006</t>
  </si>
  <si>
    <t>WOS:000342613100006</t>
  </si>
  <si>
    <t>Schwarze, JE; Balmaceda, J; Pommer, R</t>
  </si>
  <si>
    <t>Enrique Schwarze, Juan; Balmaceda, Jose; Pommer, Ricardo</t>
  </si>
  <si>
    <t>Cryopreservation in blastocyst stage effectively reduce the number of embryos cryopreserved</t>
  </si>
  <si>
    <t>Background: Multiple pregnancies are the main complication associated to assisted reproduction, due to the transfer of more than one embryo. Embryo cryopreservation allows the sequential transfer of all generated embryos, thus diminishing the risk of multiple pregnancies. However, it leads to accumulation of cryopreserved embryos. To reduce their accumulation in our unit, we started to preserve embryos as blastocysts, that have a rate of successful pregnancies of approximately 40%. Aim: To perform a sensitivity analysis of this change of policy on the accumulation of embryos. Material and Methods: Records of 571 cycles of in vitro fertilization since 2007 were reviewed, assuming a transference rate of two embryos in women aged less than 35 years and three embryos in older women. The number of embryos that would be preserved as zygotes, eight cell stage or blastocysts, was analyzed. Results: Multiple component logistic regression analysis showed a 20% reduction in the odds ratio of cryopreservation per year of age. There was a 95% reduction in the ratio, when comparing the preservation of third and first day embryos and a 99% reduction when comparing preservation of embryos in blastocyst stage and first day embryos. Conclusions: Cryopreservation at blastocyst stage effectively decreased the frequency of embryo cryopreservation. (Rev Med Chile 2012; 140: 45-49).</t>
  </si>
  <si>
    <t>Schwarze, Juan-Enrique/AAX-9580-2021</t>
  </si>
  <si>
    <t>10.4067/S0034-98872012000100006</t>
  </si>
  <si>
    <t>WOS:000301221700006</t>
  </si>
  <si>
    <t>Galotto, M; Rodriguez, F; Sepulveda, H; Bruna, J; Guarda, A</t>
  </si>
  <si>
    <t>Anonymous</t>
  </si>
  <si>
    <t>Galotto, Maria; Rodriguez, Francisco; Sepulveda, Hugo; Bruna, Julio; Guarda, Abel</t>
  </si>
  <si>
    <t>Development of Cellulose Eco-nanocomposites with Antimicrobial Properties Oriented for Food Packaging</t>
  </si>
  <si>
    <t>18TH IAPRI WORLD PACKAGING CONFERENCE</t>
  </si>
  <si>
    <t>18th IAPRI World Conference on Packaging</t>
  </si>
  <si>
    <t>JUN 17-21, 2012</t>
  </si>
  <si>
    <t>Calif Polytechn State Univ, Orfalea Coll Business, Packaging Program, San Luis Obispo, CA</t>
  </si>
  <si>
    <t>Int Assoc Packaging Res Inst,Lansmont,Innovated Packaging Co Inc,Packaging World,West,PTIS,Tobii,GREIF,Bay Cities,BEMIS,Anheuser Busch,Mitsubishi Electr,Ista,Corrugated Packaging Alliance,Morning Star,Fox Packaging,Packaging Fores Associates Inc,Mocon,Dow,Westpak Inc,Epson,Multisorb Technologies,Landsberg,Amcor</t>
  </si>
  <si>
    <t>Calif Polytechn State Univ, Orfalea Coll Business, Packaging Program</t>
  </si>
  <si>
    <t>Rodriguez, Francisco/A-5934-2019; bruna, julio/AAM-6867-2021</t>
  </si>
  <si>
    <t>978-1-60595-084-6</t>
  </si>
  <si>
    <t>WOS:000351916500037</t>
  </si>
  <si>
    <t>Zagal, JH; Ponce, I; Baez, D; Venegas, R; Pavez, J; Paez, M; Gulppi, M</t>
  </si>
  <si>
    <t>Zagal, Jose H.; Ponce, Ingrid; Baez, Daniela; Venegas, Ricardo; Pavez, Jorge; Paez, Maritza; Gulppi, Miguel</t>
  </si>
  <si>
    <t>A Possible Interpretation for the High Catalytic Activity of Heat-Treated Non-Precious Metal Nx/C Catalysts for O2 Reduction in Terms of Their Formal Potentials</t>
  </si>
  <si>
    <t>ELECTROCHEMICAL AND SOLID STATE LETTERS</t>
  </si>
  <si>
    <t>In this paper we compare the catalytic activitites of untouched metal macrocyclic and pyrolyzed catalysts for ORR in acid versus the formal potential of the catalyst and find in general that the catalysts reported in the literature exhibiting more positive formal potentials are more active for ORR. These trends observed could serve as a hint for the development more active non-precious metal catalysts for fuel cells. (C) 2012 The Electrochemical Society. [DOI: 10.1149/2.032206esl] All rights reserved.</t>
  </si>
  <si>
    <t>Venegas, Ricardo/U-6376-2019; Ponce, Ingrid/L-9679-2014; zagal, jose/L-9648-2014; Paez, Maritza/M-2010-2014; Gulppi, Miguel/KTA-6210-2024; PAVEZ, JORGE/K-6904-2014</t>
  </si>
  <si>
    <t>Gulppi, Miguel/0000-0001-6099-4463; Ponce Hormazabal, Ingrid/0000-0002-3896-9576; paez, maritza/0000-0001-5881-884X; Venegas, Ricardo/0000-0001-7440-484X; PAVEZ, JORGE/0000-0002-5100-6707</t>
  </si>
  <si>
    <t>1099-0062</t>
  </si>
  <si>
    <t>1944-8775</t>
  </si>
  <si>
    <t>B90</t>
  </si>
  <si>
    <t>B92</t>
  </si>
  <si>
    <t>10.1149/2.032206esl</t>
  </si>
  <si>
    <t>WOS:000306716000007</t>
  </si>
  <si>
    <t>Juangorena, M; Núñez-Acevedo, B; Vázquez, S; Luna, I; Gómez-Rial, J; Vidal, C</t>
  </si>
  <si>
    <t>Juangorena, M.; Nunez-Acevedo, B.; Vazquez, S.; Luna, I; Gomez-Rial, J.; Vidal, C.</t>
  </si>
  <si>
    <t>Systemic allergic reaction due to a 17 kDa hazelnut protein</t>
  </si>
  <si>
    <t>ALLERGY</t>
  </si>
  <si>
    <t>30th Congress of the European-Academy-of-Allergy-and-Clinical-Immunology (EAACI)</t>
  </si>
  <si>
    <t>JUN 11-15, 2011</t>
  </si>
  <si>
    <t>Istanbul, TURKEY</t>
  </si>
  <si>
    <t>European Acad Allergy &amp; Clin Immunol (EAACI)</t>
  </si>
  <si>
    <t>0105-4538</t>
  </si>
  <si>
    <t>1398-9995</t>
  </si>
  <si>
    <t>WOS:000329462202186</t>
  </si>
  <si>
    <t>Vecchiola, M</t>
  </si>
  <si>
    <t>Vecchiola H, Maggie</t>
  </si>
  <si>
    <t>Mycobacterium tuberculosis</t>
  </si>
  <si>
    <t>WOS:000285367000008</t>
  </si>
  <si>
    <t>Gutierrez, C; Guíñez, V; Castañeda, A</t>
  </si>
  <si>
    <t>Gutierrez, Carlos; Guinez, Victor; Castaneda, Alvaro</t>
  </si>
  <si>
    <t>QUARTIC DIFFERENTIAL FORMS AND TRANSVERSAL NETS WITH SINGULARITIES</t>
  </si>
  <si>
    <t>DISCRETE AND CONTINUOUS DYNAMICAL SYSTEMS</t>
  </si>
  <si>
    <t>We consider a class Q(M) consisting of smooth quartic differential forms which are defined on an oriented two-manifold All, to each of which we associate a pair of transversal nets with common singularities. These quartic forms are related to geometric objects such as curvature lines, asymptotic lines of surface's immersed in R-4. Local problems around the rank 2 singular points of the elements of Q(M), such as stability, normal forms, finite determinacy, versal unfoldings, are studied in [2]. Here we make a similar study for a rank-1 singular point, that is analogous to the saddle node singularity of vector fields.</t>
  </si>
  <si>
    <t>Castañeda, Álvaro/AAV-3238-2021; Castaneda, Alvaro/J-3972-2013</t>
  </si>
  <si>
    <t>Castaneda, Alvaro/0000-0002-8571-1578</t>
  </si>
  <si>
    <t>1078-0947</t>
  </si>
  <si>
    <t>1553-5231</t>
  </si>
  <si>
    <t>10.3934/dcds.2009.26.225</t>
  </si>
  <si>
    <t>WOS:000271091300010</t>
  </si>
  <si>
    <t>Dilaton gravity (with a Gauss-Bonnet term) derived from five-dimensional Chern-Simons gravity</t>
  </si>
  <si>
    <t>We study the problem of boundary terms and boundary conditions for Chern-Simons gravity in five dimensions. We show that under reasonable boundary conditions one finds an effective field theory at the four-dimensional boundary described by dilaton gravity with a Gauss-Bonnet term. The coupling of matter is also discussed.</t>
  </si>
  <si>
    <t>10.1103/PhysRevD.55.2051</t>
  </si>
  <si>
    <t>WOS:A1997WK49100037</t>
  </si>
  <si>
    <t>Aquino, J; Lizama, C; Prokopczyck, A</t>
  </si>
  <si>
    <t>Aquino, Joao; Lizama, Carlos; Prokopczyck, Andrea</t>
  </si>
  <si>
    <t>Well-posedness for strongly damped abstract Cauchy problems of fractional order</t>
  </si>
  <si>
    <t>Let X be a complex Banach space and B be a closed linear operator with domain $\mathcal{D}(B) \subset X,\,\, a,b,c,d\in\mathbb{R},$ and $0 \lt \beta \lt \alpha.$ We prove that the problem \begin{equation*} u(t) -(aB+bI)(g_{\alpha-\beta}\ast u)(t) -(cB+dI)(g_{\alpha}\ast u)(t) = h(t), \quad t\geq 0, \end{equation*}where $g_{\alpha}(t)=t&lt;^&gt;{\alpha-1}/\Gamma(\alpha)$ and $h:\mathbb{R}_+\to X$ is given, has a unique solution for any initial condition on $\mathcal{D}(B)\times X$ as long as the operator B generates an ad-hoc Laplace transformable and strongly continuous solution family $\{R_{\alpha,\beta}(t)\}_{t\geq 0} \subset \mathcal{L}(X).$ It is shown that such a solution family exists whenever the pair $(\alpha,\beta)$ belongs to a subset of the set $(1,2]\times(0,1]$ and B is the generator of a cosine family or a C0-semigroup in $X.$ In any case, it also depends on certain compatibility conditions on the real parameters $a,b,c,d$ that must be satisfied.</t>
  </si>
  <si>
    <t>2025 JAN 13</t>
  </si>
  <si>
    <t>10.1017/prm.2024.134</t>
  </si>
  <si>
    <t>WOS:001395419500001</t>
  </si>
  <si>
    <t>Duhart, F; Lacoste, P</t>
  </si>
  <si>
    <t>Duhart, Frederic; Lacoste, Pablo</t>
  </si>
  <si>
    <t>Changes in taste, and migrations during the Anglo-French blockade of Buenos Aires (1830-1850)</t>
  </si>
  <si>
    <t>At the outset of the Cold War, the Chilean magazine 'Se' examines the early shift in wine tastes in the Rio de la Plata region, following a shift from the Spanish-Creole paradigm to the French paradigm in the 1840s. The study focuses on the role of early French migration, half a century prior to the period of mass migration, and is based on both French and British sources, including commercial, diplomatic and political reports, with particular reference to debates in the French Parliament. It finds that the 15,000 French immigrants who settled in the Rio de la Plata (River Plate) region between 1835 and 1850, made certain French products fashionable, particularly wine, thus contributing to the process of changing people's tastes and consumption patterns. This phenomenon also had an impact on the subsequent development of the regional wine industry, with the gradual incorporation of the French model and the abandonment of the Spanish-Creole legacy, all within a context of growing Eurocentrism.</t>
  </si>
  <si>
    <t>Duhart, Frederic/AAE-2148-2020</t>
  </si>
  <si>
    <t>10.61303/07190948.v24i.1147</t>
  </si>
  <si>
    <t>WOS:001334779200002</t>
  </si>
  <si>
    <t>Vega, FLB</t>
  </si>
  <si>
    <t>Bravo Vega, Fabian Luis</t>
  </si>
  <si>
    <t>Tensions in the Chilean Protestant-Evangelical religious field. Young professionals and sociabilities in the processes of religious mobility</t>
  </si>
  <si>
    <t>The following article presents some results of an investigation that analyzes the Chilean protestant-evangelical religious field in the context of the deinstitutionalization of religion, a phenomenon characterized by a change in individual disposition towards authority and a greater distance from traditional institutional ties. This research proposed the manner in which the processes of individualization and pluralization, associated with the sociocultural transformations of recent years, affect the internal dynamics of this field. Mainly, this scenario leads to an opening to multiple modes of community belief and ascription. For this, the role of faith-based organizations in academia and their influence on young professionals is analyzed. The latter are understood as deregulatory communities of the religious field. They are also seen as spaces of resignification and creative agency that enrich community religiosity and are more effective in reading the sensibilities of the new generations. At the same time, these organizations are posed as disputed territories for religious capital with conventional churches. This has implications for the processes of religious diversification and mobility that structure the protestant-evangelical identity, characterized the presence of greater tensions between institutional expectations and claims to personal fulfillment. Afterwards, I propose a theoretical model of religious mobility seeking to establish the elements that are part of this transit. To this end, the proposal is based on the interweaving of structural factors, existential challenges, and experiences of rupture, that configure its conditions of possibility. Finally, it is concluded that the internal dynamics of intense traffic and movements within the evangelical world constitute phenomena that demand to be approached from new theoretical-analytical approaches that allow their complexity to be accounted for. The methodology consisted of a qualitative strategy, making use of the life stories method, participant observation technique, and semi structured open interviews.</t>
  </si>
  <si>
    <t>10.15446/rcs.v45n1.90224</t>
  </si>
  <si>
    <t>WOS:000745658900015</t>
  </si>
  <si>
    <t>Donoso, F; Sagredo, P; García-Huidobro, JP</t>
  </si>
  <si>
    <t>Donoso M, Francisca; Sagredo M, Pablo; Garcia-Huidobro T, J. Pablo</t>
  </si>
  <si>
    <t>D. Julius y A. Patapoutian. 2021 Nobel Prize Awardees discover new ionic channels that detect temperature and mechanical stimuli</t>
  </si>
  <si>
    <t>D. Julius was awarded the 2021 Medicine Nobel prize for the discovery of new cationic channels that detect temperatures either over 40 degrees C (TRPV1) or cold (TRPM8) ranging from 8-15 degrees C, followed by the latter identification of other channels that sense temperatures within other ranges. On the other hand, A. Patapoutian shared the 2021 Nobel prize for the independent and simultaneous co-discovery of the TRPM8 cationic channel. Furthermore, Patapoutian identified piezo 1 and 2 channels previously referred to as the cell mechanosensors related to the sense of touch and proprioception. These experimental findings indicate that these novel cationic channels localized in nerve endings of the skin, mouth, lips, bronchial tree, the nephron, plus a variety of tissues transduce physical stimuli into electrical activity that reach the brain sensory cortex to process these stimuli and elicit animal behavior. (Rev Med Chile 2022; 150: 88-92)</t>
  </si>
  <si>
    <t>WOS:000827225300010</t>
  </si>
  <si>
    <t>Quezada, LE; Aguilera, DE; Palominos, PI; Oddershede, AM</t>
  </si>
  <si>
    <t>Quezada, Luis E.; Aguilera, Daniel E.; Palominos, Pedro I.; Oddershede, Astrid M.</t>
  </si>
  <si>
    <t>An ANP Model to Generate Performance Indicators for Manufacturing Firms Under a Balanced Scorecard Approach</t>
  </si>
  <si>
    <t>ENGINEERING MANAGEMENT JOURNAL</t>
  </si>
  <si>
    <t>This paper presents a method that supports a process for the generation of performance indicators for manufacturing areas within companies. The existing literature in the area of performance management presents frameworks to guide the selection of performance indicators. Particularly, the literature shows the use of multicriteria decision making methods (MCDM) for selecting indicators from a set of predefined ones. This paper goes beyond by developing a method to support the generation of the performance indicators for the manufacturing area. This process is supported by the Analytic Network Process (ANP). The network model, which is based on a Balanced Scorecard (BSC) framework, includes nodes that are grouped into five clusters: long-term objectives, strategic business units, critical success factors, manufacturing decision areas, and human resource management. The proposed method consists of the following major steps: assigning weights to the manufacturing decision areas, diagnosing these areas, and generating performance indices ranked from high to low. The proposed method allows managers to define performance indicators for the manufacturing area that are aligned with the company's long-term strategic objectives. This is done by the use of an ANP model that captures the complex relationships that exist between the various strategic objectives of the strategy map of a company. As an illustration, an application in a company that produces pork-based food is described. The managers found that the proposed method was easy to understand and easy to follow, and that it was useful for defining performance measures.</t>
  </si>
  <si>
    <t>Quezada, Luis/W-8168-2019; Aguilera, Daniel/HCH-4182-2022</t>
  </si>
  <si>
    <t>1042-9247</t>
  </si>
  <si>
    <t>2377-0643</t>
  </si>
  <si>
    <t>10.1080/10429247.2020.1840877</t>
  </si>
  <si>
    <t>WOS:000613784100001</t>
  </si>
  <si>
    <t>Kaschel, H; Cordero, S; Costoya, E; Pandolfo, M</t>
  </si>
  <si>
    <t>Kaschel, Hector; Cordero, Sergio; Costoya, Eduardo; Pandolfo, Marcelo</t>
  </si>
  <si>
    <t>Radio Mobile assessment of Broadcasting Interference zones with unequal D/U Variabilities</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</si>
  <si>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</si>
  <si>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</si>
  <si>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</si>
  <si>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</si>
  <si>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Interference, as well as on any telecommunications network, plays an important role on stablishing the broadcasting frequency plan of a region or a country, being in most cases the available radio spectrum the limit on the number of TV Stations to be installed on a specific area. Upon the increasing on the number of stations, the location of additional terminals becomes an iterative role, needing a friendly tool to perform several simulations to establish or rearrange the plan. This is further increased by the need of assigning different variabilities to the desired and undesired terminals. The freeware Radio Mobile program provides a suitable tool for the purpose, but only for equal variabilities. This work analyses this shortcoming and proposes an easy way to properly calculate the interference with unequal variabilities. Finally, a procedure to correct this problem of coverage calculations with unequal variabilities is presented, providing a correction table to speed up the task. A real case of co-channel interference is also analyzed, this real case corresponds to a station D in C degrees Orocoipo in Rancagua, VI Region and station U located in C degrees San Cristobal covering the city of Santiago, Metropolitan Region in Chile.</t>
  </si>
  <si>
    <t>978-1-6654-0873-8</t>
  </si>
  <si>
    <t>10.1109/CHILECON54041.2021.9702939</t>
  </si>
  <si>
    <t>WOS:000788072700044</t>
  </si>
  <si>
    <t>Toledo, K; Kaschel, H; Torres, J</t>
  </si>
  <si>
    <t>Toledo, Karel; Kaschel, Hector; Torres, Jorge</t>
  </si>
  <si>
    <t>A stochastic approach for spectrum sensing and sensor selection in dynamic cognitive radio sensor networks</t>
  </si>
  <si>
    <t>PHYSICAL COMMUNICATION</t>
  </si>
  <si>
    <t>Cognitive Radio Sensor Networks (CRSN) is currently demanding to deal with spectrum scarcity through opportunistic spectrum access solutions. Opportunistic access to the available spectrum is achieved by determining spectrum holes, which in turn demands to run further signal processing operations on network nodes. Consequently, energy consumption to support these processing algorithms is increased and thus, it remains a major concern in CRSN. Some solutions address this issue via sensor selection during spectrum sensing in static CRSN. In this case, certain nodes participate in cooperative spectrum sensing (CSS) to guarantee proper performance, and the remaining nodes go to sleep to extend network battery lifetime. However, this strategy becomes difficult to apply to mobile sensor networks, where nodes change positions dynamically. This is the case of mobile nodes on Cognitive Radio Internet of Things (CR-IoT) networks, where sensor nodes consume significant energy to support CR operations. Due to the random displacement of nodes, new solutions must be developed in contrast to previous strategies based on on-off nodes from static CRSN, this to cooperate between nodes and also to reduce consumed energy. This paper reports a novel energy-efficient sensor selection technique applicable to dynamic CRSN. Stochastic approaches are developed to describe and determine the minimum total number of awake sensors to participate in CSS. This approach is particularly suited for solutions in which conditions, such as the position of nodes, change randomly. Proposed solution is obtained through the use of here-and-now approach considering statistic features of the random distance between each sensor node and a given fusion center. The methodology achieves energy consumption levels comparable to wait-and-see approach for networks of reduced size. Additionally, we provide further insights into the statistical nature of the problem to state a proper problem formulation, then to devise solutions accordingly. The analysis and performance of the proposed solution are discussed and illustrated with the aid of simulations. (c) 2019 Elsevier B.V. All rights reserved.</t>
  </si>
  <si>
    <t>Toledo de la Garza, Karel/V-5325-2019; Torres Gomez, Jorge/F-8061-2016</t>
  </si>
  <si>
    <t>Toledo de la Garza, Karel/0000-0001-9896-9570; Torres Gomez, Jorge/0000-0001-9523-048X; Kaschel, Hector/0000-0002-0868-7834</t>
  </si>
  <si>
    <t>1874-4907</t>
  </si>
  <si>
    <t>10.1016/j.phycom.2019.100879</t>
  </si>
  <si>
    <t>WOS:000498709000012</t>
  </si>
  <si>
    <t>Noni-Morales, D; Barros, D; Castro, SA; Ortiz, C</t>
  </si>
  <si>
    <t>Noni-Morales, Daniel; Barros, Daniel; Castro, Sergio A.; Ortiz, Claudia</t>
  </si>
  <si>
    <t>Germination and seedling growth of the Chilean native grass Polypogon australis in soil polluted with diesel oil</t>
  </si>
  <si>
    <t>INTERNATIONAL JOURNAL OF PHYTOREMEDIATION</t>
  </si>
  <si>
    <t>14th International Phytotechnologies Conference (IPC) on Phytotechnologies - New Sustainable Solutions for Environmental Challenges</t>
  </si>
  <si>
    <t>SEP 25-29, 2017</t>
  </si>
  <si>
    <t>Int Phytotechnol Soc,Space Life Montreal,Space Life Fdn,Tourism Montreal,Laval Univ, Fac Agr &amp; Food Sci,Minist Int Relat &amp; Francophonie Quebec,Nat &amp; Technologies Quebec Funds,Quebec Ctr Biodivers Sci,Off Res Serv &amp; Dev,Univ Montreal, Fac Arts &amp; Sci,Earthmaster Environm Strategies Inc,Friends Montreal Botan Garden,Consortium Quebec Ind Bioprocess Res Innovat,Enutech,Hydro Quebec,Metanor Resources Inc,AGAT,SEVE Ctr,Quebec Phytotechnol Soc,Armand Frappier Inst,Contemporary Econ Res Inst,Canadian Journal Biotechnol</t>
  </si>
  <si>
    <t>The purpose of this study was to evaluate the ability of Polypogon australis, a Chilean native grass that colonizes copper polluted sites, to germinate and grow in soil contaminated with diesel oil. The effect of increasing proportions of diesel in soil (0.5%, 1%, 2%, and 5%) on the cumulative germination and growth of plants was measured. The relative seed germination (RSG), relative root growth (RRG), germination index (GI), and the effective concentration (EC50) were calculated. The cumulative germination in soil polluted with 0%, 0.5%, 1%, and 2% of diesel oil in soil was 93.3%, 85.5%, 99%, and 78.5%, respectively, showing no significant differences between the treatments (p &gt; 0.05). A proportion of 5% of diesel in the soil reduced the germination of P. australis by 50%, compared to the control. The growth of leaves and roots of the plants germinated in 5% of diesel was reduced by 30% compared to the control, with a 34% survival rate observed on day 40. The calculated EC50 of diesel for P. australis was 4.5%. P. australis germinated and grew on all diesel concentration used in the experiments. The species was classified as a tolerant to diesel oil.</t>
  </si>
  <si>
    <t>1522-6514</t>
  </si>
  <si>
    <t>1549-7879</t>
  </si>
  <si>
    <t>10.1080/15226514.2018.1523868</t>
  </si>
  <si>
    <t>WOS:000461895900003</t>
  </si>
  <si>
    <t>Gárate, F; Pertusa, M; Arena, Y; Bernal, R</t>
  </si>
  <si>
    <t>Garate, Fernanda; Pertusa, Maria; Arena, Yahaira; Bernal, Roberto</t>
  </si>
  <si>
    <t>Non-invasive Neurite Mechanics in Differentiated PC12 Cells</t>
  </si>
  <si>
    <t>FRONTIERS IN CELLULAR NEUROSCIENCE</t>
  </si>
  <si>
    <t>Thermal Fluctuations Spectroscopy (TFS) in combination with novel optical-based instrumentation was used to study mechanical properties of cell-cultured neurites with a spatial resolution limited only by the light diffraction. The analysis of thermal fluctuations together with a physical model of cellular elasticity allow us to determine relevant mechanical properties of neurite as axial tension sigma, flexural rigidity B, plasma membrane tension., membrane bending rigidity K, and cytoskeleton to membrane-coupling rho(b)k, whose values are consistent with previously reported values measured using invasive approaches. The value obtained for the membrane-coupling parameter was used to estimate the average number of coupling elements between the plasma membrane and the cytoskeleton that fell in the range of 30 elements per area of the laser spot used to record the fluctuations. Furthermore, to expand the TFS analysis, we investigate the correlation between F-actin linear density and the mechanical features of PC12 neurites. Using a hybrid instrument that combines TFS and a simple fluorescent technique, our results show that the fluctuations are related with the F-actin concentration. These measurements have an advantage of not requiring the application of an external force, allowing as to directly establish a correlation between changes in the mechanical parameters and cytoskeleton-protein concentrations. The sensibility of our method was also tested by the application of TFS technique to PC12 neurite under Paraformaldehyde and Latrunculin-A effect. These results show a dramatic modification in the fluctuations that are consistent with the reported effect of these drugs, confirming the high sensitivity of this technique. Finally, the thermal fluctuation approach was applied to DRG axons to show that its utility is not limited to studies of PC12 neurites, but it is suitable to measure the general characteristic of various neuron-like cells.</t>
  </si>
  <si>
    <t>; Bernal, Roberto/E-5275-2011</t>
  </si>
  <si>
    <t>Pertusa, Maria/0000-0003-3856-9019; Bernal, Roberto/0000-0002-4295-270X</t>
  </si>
  <si>
    <t>1662-5102</t>
  </si>
  <si>
    <t>JUL 6</t>
  </si>
  <si>
    <t>10.3389/fncel.2018.00194</t>
  </si>
  <si>
    <t>WOS:000437720300001</t>
  </si>
  <si>
    <t>Bertramín, JB</t>
  </si>
  <si>
    <t>Vera, HV; Carrizo, JPA</t>
  </si>
  <si>
    <t>Brower Bertramin, Jorge</t>
  </si>
  <si>
    <t>Politics in Arendt: from theory to the world of action</t>
  </si>
  <si>
    <t>DEMOCRACIA, INFORMACION Y CIBERSOCIEDAD: UNA MIRADA DESDE CHILE</t>
  </si>
  <si>
    <t>978-956-8416-70-6</t>
  </si>
  <si>
    <t>WOS:000462868900003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</si>
</sst>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74</v>
      </c>
      <c r="AC2" s="1" t="s">
        <v>74</v>
      </c>
      <c r="AD2" s="1" t="s">
        <v>74</v>
      </c>
      <c r="AE2" s="1" t="s">
        <v>74</v>
      </c>
      <c r="AF2" s="1" t="s">
        <v>74</v>
      </c>
      <c r="AG2" s="1" t="s">
        <v>74</v>
      </c>
      <c r="AH2" s="1" t="s">
        <v>74</v>
      </c>
      <c r="AI2" s="1" t="s">
        <v>74</v>
      </c>
      <c r="AJ2" s="1" t="s">
        <v>74</v>
      </c>
      <c r="AK2" s="1" t="s">
        <v>74</v>
      </c>
      <c r="AL2" s="1" t="s">
        <v>74</v>
      </c>
      <c r="AM2" s="1" t="s">
        <v>74</v>
      </c>
      <c r="AN2" s="1" t="s">
        <v>74</v>
      </c>
      <c r="AO2" s="1" t="s">
        <v>80</v>
      </c>
      <c r="AP2" s="1" t="s">
        <v>81</v>
      </c>
      <c r="AQ2" s="1" t="s">
        <v>74</v>
      </c>
      <c r="AR2" s="1" t="s">
        <v>74</v>
      </c>
      <c r="AS2" s="1" t="s">
        <v>74</v>
      </c>
      <c r="AT2" s="1" t="s">
        <v>82</v>
      </c>
      <c r="AU2" s="1">
        <v>2021.0</v>
      </c>
      <c r="AV2" s="1">
        <v>14.0</v>
      </c>
      <c r="AW2" s="1">
        <v>12.0</v>
      </c>
      <c r="AX2" s="1" t="s">
        <v>74</v>
      </c>
      <c r="AY2" s="1" t="s">
        <v>74</v>
      </c>
      <c r="AZ2" s="1" t="s">
        <v>74</v>
      </c>
      <c r="BA2" s="1" t="s">
        <v>74</v>
      </c>
      <c r="BB2" s="1" t="s">
        <v>74</v>
      </c>
      <c r="BC2" s="1" t="s">
        <v>74</v>
      </c>
      <c r="BD2" s="1">
        <v>103455.0</v>
      </c>
      <c r="BE2" s="1" t="s">
        <v>83</v>
      </c>
      <c r="BF2" s="2" t="str">
        <f>HYPERLINK("http://dx.doi.org/10.1016/j.arabjc.2021.103455","http://dx.doi.org/10.1016/j.arabjc.2021.103455")</f>
        <v>http://dx.doi.org/10.1016/j.arabjc.2021.103455</v>
      </c>
      <c r="BG2" s="1" t="s">
        <v>74</v>
      </c>
      <c r="BH2" s="1" t="s">
        <v>84</v>
      </c>
      <c r="BI2" s="1" t="s">
        <v>74</v>
      </c>
      <c r="BJ2" s="1" t="s">
        <v>74</v>
      </c>
      <c r="BK2" s="1" t="s">
        <v>74</v>
      </c>
      <c r="BL2" s="1" t="s">
        <v>74</v>
      </c>
      <c r="BM2" s="1" t="s">
        <v>74</v>
      </c>
      <c r="BN2" s="1" t="s">
        <v>74</v>
      </c>
      <c r="BO2" s="1" t="s">
        <v>74</v>
      </c>
      <c r="BP2" s="1" t="s">
        <v>74</v>
      </c>
      <c r="BQ2" s="1" t="s">
        <v>74</v>
      </c>
      <c r="BR2" s="1" t="s">
        <v>74</v>
      </c>
      <c r="BS2" s="1" t="s">
        <v>85</v>
      </c>
      <c r="BT2" s="1" t="str">
        <f>HYPERLINK("https%3A%2F%2Fwww.webofscience.com%2Fwos%2Fwoscc%2Ffull-record%2FWOS:000725051800027","View Full Record in Web of Science")</f>
        <v>View Full Record in Web of Science</v>
      </c>
    </row>
    <row r="3" ht="12.75" customHeight="1">
      <c r="A3" s="1" t="s">
        <v>72</v>
      </c>
      <c r="B3" s="1" t="s">
        <v>86</v>
      </c>
      <c r="C3" s="1" t="s">
        <v>74</v>
      </c>
      <c r="D3" s="1" t="s">
        <v>74</v>
      </c>
      <c r="E3" s="1" t="s">
        <v>74</v>
      </c>
      <c r="F3" s="1" t="s">
        <v>87</v>
      </c>
      <c r="G3" s="1" t="s">
        <v>74</v>
      </c>
      <c r="H3" s="1" t="s">
        <v>74</v>
      </c>
      <c r="I3" s="1" t="s">
        <v>88</v>
      </c>
      <c r="J3" s="1" t="s">
        <v>89</v>
      </c>
      <c r="K3" s="1" t="s">
        <v>74</v>
      </c>
      <c r="L3" s="1" t="s">
        <v>74</v>
      </c>
      <c r="M3" s="1" t="s">
        <v>74</v>
      </c>
      <c r="N3" s="1" t="s">
        <v>74</v>
      </c>
      <c r="O3" s="1" t="s">
        <v>74</v>
      </c>
      <c r="P3" s="1" t="s">
        <v>74</v>
      </c>
      <c r="Q3" s="1" t="s">
        <v>74</v>
      </c>
      <c r="R3" s="1" t="s">
        <v>74</v>
      </c>
      <c r="S3" s="1" t="s">
        <v>74</v>
      </c>
      <c r="T3" s="1" t="s">
        <v>74</v>
      </c>
      <c r="U3" s="1" t="s">
        <v>74</v>
      </c>
      <c r="V3" s="1" t="s">
        <v>74</v>
      </c>
      <c r="W3" s="1" t="s">
        <v>74</v>
      </c>
      <c r="X3" s="1" t="s">
        <v>74</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74</v>
      </c>
      <c r="AN3" s="1" t="s">
        <v>74</v>
      </c>
      <c r="AO3" s="1" t="s">
        <v>90</v>
      </c>
      <c r="AP3" s="1" t="s">
        <v>74</v>
      </c>
      <c r="AQ3" s="1" t="s">
        <v>74</v>
      </c>
      <c r="AR3" s="1" t="s">
        <v>74</v>
      </c>
      <c r="AS3" s="1" t="s">
        <v>74</v>
      </c>
      <c r="AT3" s="1" t="s">
        <v>91</v>
      </c>
      <c r="AU3" s="1">
        <v>2021.0</v>
      </c>
      <c r="AV3" s="1" t="s">
        <v>74</v>
      </c>
      <c r="AW3" s="1">
        <v>523.0</v>
      </c>
      <c r="AX3" s="1" t="s">
        <v>74</v>
      </c>
      <c r="AY3" s="1" t="s">
        <v>74</v>
      </c>
      <c r="AZ3" s="1" t="s">
        <v>74</v>
      </c>
      <c r="BA3" s="1" t="s">
        <v>74</v>
      </c>
      <c r="BB3" s="1">
        <v>365.0</v>
      </c>
      <c r="BC3" s="1">
        <v>368.0</v>
      </c>
      <c r="BD3" s="1" t="s">
        <v>74</v>
      </c>
      <c r="BE3" s="1" t="s">
        <v>92</v>
      </c>
      <c r="BF3" s="2" t="str">
        <f>HYPERLINK("http://dx.doi.org/10.29393/At523-426CGAM10426","http://dx.doi.org/10.29393/At523-426CGAM10426")</f>
        <v>http://dx.doi.org/10.29393/At523-426CGAM10426</v>
      </c>
      <c r="BG3" s="1" t="s">
        <v>74</v>
      </c>
      <c r="BH3" s="1" t="s">
        <v>74</v>
      </c>
      <c r="BI3" s="1" t="s">
        <v>74</v>
      </c>
      <c r="BJ3" s="1" t="s">
        <v>74</v>
      </c>
      <c r="BK3" s="1" t="s">
        <v>74</v>
      </c>
      <c r="BL3" s="1" t="s">
        <v>74</v>
      </c>
      <c r="BM3" s="1" t="s">
        <v>74</v>
      </c>
      <c r="BN3" s="1" t="s">
        <v>74</v>
      </c>
      <c r="BO3" s="1" t="s">
        <v>74</v>
      </c>
      <c r="BP3" s="1" t="s">
        <v>74</v>
      </c>
      <c r="BQ3" s="1" t="s">
        <v>74</v>
      </c>
      <c r="BR3" s="1" t="s">
        <v>74</v>
      </c>
      <c r="BS3" s="1" t="s">
        <v>93</v>
      </c>
      <c r="BT3" s="1" t="str">
        <f>HYPERLINK("https%3A%2F%2Fwww.webofscience.com%2Fwos%2Fwoscc%2Ffull-record%2FWOS:000678083400020","View Full Record in Web of Science")</f>
        <v>View Full Record in Web of Science</v>
      </c>
    </row>
    <row r="4" ht="12.75" customHeight="1">
      <c r="A4" s="1" t="s">
        <v>72</v>
      </c>
      <c r="B4" s="1" t="s">
        <v>94</v>
      </c>
      <c r="C4" s="1" t="s">
        <v>74</v>
      </c>
      <c r="D4" s="1" t="s">
        <v>74</v>
      </c>
      <c r="E4" s="1" t="s">
        <v>74</v>
      </c>
      <c r="F4" s="1" t="s">
        <v>95</v>
      </c>
      <c r="G4" s="1" t="s">
        <v>74</v>
      </c>
      <c r="H4" s="1" t="s">
        <v>74</v>
      </c>
      <c r="I4" s="1" t="s">
        <v>96</v>
      </c>
      <c r="J4" s="1" t="s">
        <v>97</v>
      </c>
      <c r="K4" s="1" t="s">
        <v>74</v>
      </c>
      <c r="L4" s="1" t="s">
        <v>74</v>
      </c>
      <c r="M4" s="1" t="s">
        <v>74</v>
      </c>
      <c r="N4" s="1" t="s">
        <v>74</v>
      </c>
      <c r="O4" s="1" t="s">
        <v>74</v>
      </c>
      <c r="P4" s="1" t="s">
        <v>74</v>
      </c>
      <c r="Q4" s="1" t="s">
        <v>74</v>
      </c>
      <c r="R4" s="1" t="s">
        <v>74</v>
      </c>
      <c r="S4" s="1" t="s">
        <v>74</v>
      </c>
      <c r="T4" s="1" t="s">
        <v>74</v>
      </c>
      <c r="U4" s="1" t="s">
        <v>74</v>
      </c>
      <c r="V4" s="1" t="s">
        <v>98</v>
      </c>
      <c r="W4" s="1" t="s">
        <v>74</v>
      </c>
      <c r="X4" s="1" t="s">
        <v>74</v>
      </c>
      <c r="Y4" s="1" t="s">
        <v>74</v>
      </c>
      <c r="Z4" s="1" t="s">
        <v>74</v>
      </c>
      <c r="AA4" s="1" t="s">
        <v>99</v>
      </c>
      <c r="AB4" s="1" t="s">
        <v>100</v>
      </c>
      <c r="AC4" s="1" t="s">
        <v>74</v>
      </c>
      <c r="AD4" s="1" t="s">
        <v>74</v>
      </c>
      <c r="AE4" s="1" t="s">
        <v>74</v>
      </c>
      <c r="AF4" s="1" t="s">
        <v>74</v>
      </c>
      <c r="AG4" s="1" t="s">
        <v>74</v>
      </c>
      <c r="AH4" s="1" t="s">
        <v>74</v>
      </c>
      <c r="AI4" s="1" t="s">
        <v>74</v>
      </c>
      <c r="AJ4" s="1" t="s">
        <v>74</v>
      </c>
      <c r="AK4" s="1" t="s">
        <v>74</v>
      </c>
      <c r="AL4" s="1" t="s">
        <v>74</v>
      </c>
      <c r="AM4" s="1" t="s">
        <v>74</v>
      </c>
      <c r="AN4" s="1" t="s">
        <v>74</v>
      </c>
      <c r="AO4" s="1" t="s">
        <v>101</v>
      </c>
      <c r="AP4" s="1" t="s">
        <v>102</v>
      </c>
      <c r="AQ4" s="1" t="s">
        <v>74</v>
      </c>
      <c r="AR4" s="1" t="s">
        <v>74</v>
      </c>
      <c r="AS4" s="1" t="s">
        <v>74</v>
      </c>
      <c r="AT4" s="1" t="s">
        <v>74</v>
      </c>
      <c r="AU4" s="1">
        <v>2021.0</v>
      </c>
      <c r="AV4" s="1">
        <v>15.0</v>
      </c>
      <c r="AW4" s="1">
        <v>2.0</v>
      </c>
      <c r="AX4" s="1" t="s">
        <v>74</v>
      </c>
      <c r="AY4" s="1" t="s">
        <v>74</v>
      </c>
      <c r="AZ4" s="1" t="s">
        <v>74</v>
      </c>
      <c r="BA4" s="1" t="s">
        <v>74</v>
      </c>
      <c r="BB4" s="1">
        <v>607.0</v>
      </c>
      <c r="BC4" s="1">
        <v>638.0</v>
      </c>
      <c r="BD4" s="1" t="s">
        <v>74</v>
      </c>
      <c r="BE4" s="1" t="s">
        <v>103</v>
      </c>
      <c r="BF4" s="2" t="str">
        <f>HYPERLINK("http://dx.doi.org/10.4171/GGD/608","http://dx.doi.org/10.4171/GGD/608")</f>
        <v>http://dx.doi.org/10.4171/GGD/608</v>
      </c>
      <c r="BG4" s="1" t="s">
        <v>74</v>
      </c>
      <c r="BH4" s="1" t="s">
        <v>74</v>
      </c>
      <c r="BI4" s="1" t="s">
        <v>74</v>
      </c>
      <c r="BJ4" s="1" t="s">
        <v>74</v>
      </c>
      <c r="BK4" s="1" t="s">
        <v>74</v>
      </c>
      <c r="BL4" s="1" t="s">
        <v>74</v>
      </c>
      <c r="BM4" s="1" t="s">
        <v>74</v>
      </c>
      <c r="BN4" s="1" t="s">
        <v>74</v>
      </c>
      <c r="BO4" s="1" t="s">
        <v>74</v>
      </c>
      <c r="BP4" s="1" t="s">
        <v>74</v>
      </c>
      <c r="BQ4" s="1" t="s">
        <v>74</v>
      </c>
      <c r="BR4" s="1" t="s">
        <v>74</v>
      </c>
      <c r="BS4" s="1" t="s">
        <v>104</v>
      </c>
      <c r="BT4" s="1" t="str">
        <f>HYPERLINK("https%3A%2F%2Fwww.webofscience.com%2Fwos%2Fwoscc%2Ffull-record%2FWOS:000682199700008","View Full Record in Web of Science")</f>
        <v>View Full Record in Web of Science</v>
      </c>
    </row>
    <row r="5" ht="12.75" customHeight="1">
      <c r="A5" s="1" t="s">
        <v>105</v>
      </c>
      <c r="B5" s="1" t="s">
        <v>106</v>
      </c>
      <c r="C5" s="1" t="s">
        <v>106</v>
      </c>
      <c r="D5" s="1" t="s">
        <v>74</v>
      </c>
      <c r="E5" s="1" t="s">
        <v>74</v>
      </c>
      <c r="F5" s="1" t="s">
        <v>107</v>
      </c>
      <c r="G5" s="1" t="s">
        <v>106</v>
      </c>
      <c r="H5" s="1" t="s">
        <v>74</v>
      </c>
      <c r="I5" s="1" t="s">
        <v>108</v>
      </c>
      <c r="J5" s="1" t="s">
        <v>109</v>
      </c>
      <c r="K5" s="1" t="s">
        <v>110</v>
      </c>
      <c r="L5" s="1" t="s">
        <v>74</v>
      </c>
      <c r="M5" s="1" t="s">
        <v>74</v>
      </c>
      <c r="N5" s="1" t="s">
        <v>74</v>
      </c>
      <c r="O5" s="1" t="s">
        <v>74</v>
      </c>
      <c r="P5" s="1" t="s">
        <v>74</v>
      </c>
      <c r="Q5" s="1" t="s">
        <v>74</v>
      </c>
      <c r="R5" s="1" t="s">
        <v>74</v>
      </c>
      <c r="S5" s="1" t="s">
        <v>74</v>
      </c>
      <c r="T5" s="1" t="s">
        <v>74</v>
      </c>
      <c r="U5" s="1" t="s">
        <v>74</v>
      </c>
      <c r="V5" s="1" t="s">
        <v>74</v>
      </c>
      <c r="W5" s="1" t="s">
        <v>74</v>
      </c>
      <c r="X5" s="1" t="s">
        <v>74</v>
      </c>
      <c r="Y5" s="1" t="s">
        <v>74</v>
      </c>
      <c r="Z5" s="1" t="s">
        <v>74</v>
      </c>
      <c r="AA5" s="1" t="s">
        <v>74</v>
      </c>
      <c r="AB5" s="1" t="s">
        <v>74</v>
      </c>
      <c r="AC5" s="1" t="s">
        <v>74</v>
      </c>
      <c r="AD5" s="1" t="s">
        <v>74</v>
      </c>
      <c r="AE5" s="1" t="s">
        <v>74</v>
      </c>
      <c r="AF5" s="1" t="s">
        <v>74</v>
      </c>
      <c r="AG5" s="1" t="s">
        <v>74</v>
      </c>
      <c r="AH5" s="1" t="s">
        <v>74</v>
      </c>
      <c r="AI5" s="1" t="s">
        <v>74</v>
      </c>
      <c r="AJ5" s="1" t="s">
        <v>74</v>
      </c>
      <c r="AK5" s="1" t="s">
        <v>74</v>
      </c>
      <c r="AL5" s="1" t="s">
        <v>74</v>
      </c>
      <c r="AM5" s="1" t="s">
        <v>74</v>
      </c>
      <c r="AN5" s="1" t="s">
        <v>74</v>
      </c>
      <c r="AO5" s="1" t="s">
        <v>74</v>
      </c>
      <c r="AP5" s="1" t="s">
        <v>74</v>
      </c>
      <c r="AQ5" s="1" t="s">
        <v>111</v>
      </c>
      <c r="AR5" s="1" t="s">
        <v>74</v>
      </c>
      <c r="AS5" s="1" t="s">
        <v>74</v>
      </c>
      <c r="AT5" s="1" t="s">
        <v>74</v>
      </c>
      <c r="AU5" s="1">
        <v>2021.0</v>
      </c>
      <c r="AV5" s="1" t="s">
        <v>74</v>
      </c>
      <c r="AW5" s="1" t="s">
        <v>74</v>
      </c>
      <c r="AX5" s="1" t="s">
        <v>74</v>
      </c>
      <c r="AY5" s="1" t="s">
        <v>74</v>
      </c>
      <c r="AZ5" s="1" t="s">
        <v>74</v>
      </c>
      <c r="BA5" s="1" t="s">
        <v>74</v>
      </c>
      <c r="BB5" s="1">
        <v>128.0</v>
      </c>
      <c r="BC5" s="1">
        <v>175.0</v>
      </c>
      <c r="BD5" s="1" t="s">
        <v>74</v>
      </c>
      <c r="BE5" s="1" t="s">
        <v>74</v>
      </c>
      <c r="BF5" s="1" t="s">
        <v>74</v>
      </c>
      <c r="BG5" s="1" t="s">
        <v>112</v>
      </c>
      <c r="BH5" s="1" t="s">
        <v>74</v>
      </c>
      <c r="BI5" s="1" t="s">
        <v>74</v>
      </c>
      <c r="BJ5" s="1" t="s">
        <v>74</v>
      </c>
      <c r="BK5" s="1" t="s">
        <v>74</v>
      </c>
      <c r="BL5" s="1" t="s">
        <v>74</v>
      </c>
      <c r="BM5" s="1" t="s">
        <v>74</v>
      </c>
      <c r="BN5" s="1" t="s">
        <v>74</v>
      </c>
      <c r="BO5" s="1" t="s">
        <v>74</v>
      </c>
      <c r="BP5" s="1" t="s">
        <v>74</v>
      </c>
      <c r="BQ5" s="1" t="s">
        <v>74</v>
      </c>
      <c r="BR5" s="1" t="s">
        <v>74</v>
      </c>
      <c r="BS5" s="1" t="s">
        <v>113</v>
      </c>
      <c r="BT5" s="1" t="str">
        <f>HYPERLINK("https%3A%2F%2Fwww.webofscience.com%2Fwos%2Fwoscc%2Ffull-record%2FWOS:000807304300005","View Full Record in Web of Science")</f>
        <v>View Full Record in Web of Science</v>
      </c>
    </row>
    <row r="6" ht="12.75" customHeight="1">
      <c r="A6" s="1" t="s">
        <v>72</v>
      </c>
      <c r="B6" s="1" t="s">
        <v>114</v>
      </c>
      <c r="C6" s="1" t="s">
        <v>74</v>
      </c>
      <c r="D6" s="1" t="s">
        <v>74</v>
      </c>
      <c r="E6" s="1" t="s">
        <v>74</v>
      </c>
      <c r="F6" s="1" t="s">
        <v>115</v>
      </c>
      <c r="G6" s="1" t="s">
        <v>74</v>
      </c>
      <c r="H6" s="1" t="s">
        <v>74</v>
      </c>
      <c r="I6" s="1" t="s">
        <v>116</v>
      </c>
      <c r="J6" s="1" t="s">
        <v>117</v>
      </c>
      <c r="K6" s="1" t="s">
        <v>74</v>
      </c>
      <c r="L6" s="1" t="s">
        <v>74</v>
      </c>
      <c r="M6" s="1" t="s">
        <v>74</v>
      </c>
      <c r="N6" s="1" t="s">
        <v>74</v>
      </c>
      <c r="O6" s="1" t="s">
        <v>74</v>
      </c>
      <c r="P6" s="1" t="s">
        <v>74</v>
      </c>
      <c r="Q6" s="1" t="s">
        <v>74</v>
      </c>
      <c r="R6" s="1" t="s">
        <v>74</v>
      </c>
      <c r="S6" s="1" t="s">
        <v>74</v>
      </c>
      <c r="T6" s="1" t="s">
        <v>74</v>
      </c>
      <c r="U6" s="1" t="s">
        <v>74</v>
      </c>
      <c r="V6" s="1" t="s">
        <v>118</v>
      </c>
      <c r="W6" s="1" t="s">
        <v>74</v>
      </c>
      <c r="X6" s="1" t="s">
        <v>74</v>
      </c>
      <c r="Y6" s="1" t="s">
        <v>74</v>
      </c>
      <c r="Z6" s="1" t="s">
        <v>74</v>
      </c>
      <c r="AA6" s="1" t="s">
        <v>119</v>
      </c>
      <c r="AB6" s="1" t="s">
        <v>120</v>
      </c>
      <c r="AC6" s="1" t="s">
        <v>74</v>
      </c>
      <c r="AD6" s="1" t="s">
        <v>74</v>
      </c>
      <c r="AE6" s="1" t="s">
        <v>74</v>
      </c>
      <c r="AF6" s="1" t="s">
        <v>74</v>
      </c>
      <c r="AG6" s="1" t="s">
        <v>74</v>
      </c>
      <c r="AH6" s="1" t="s">
        <v>74</v>
      </c>
      <c r="AI6" s="1" t="s">
        <v>74</v>
      </c>
      <c r="AJ6" s="1" t="s">
        <v>74</v>
      </c>
      <c r="AK6" s="1" t="s">
        <v>74</v>
      </c>
      <c r="AL6" s="1" t="s">
        <v>74</v>
      </c>
      <c r="AM6" s="1" t="s">
        <v>74</v>
      </c>
      <c r="AN6" s="1" t="s">
        <v>74</v>
      </c>
      <c r="AO6" s="1" t="s">
        <v>121</v>
      </c>
      <c r="AP6" s="1" t="s">
        <v>122</v>
      </c>
      <c r="AQ6" s="1" t="s">
        <v>74</v>
      </c>
      <c r="AR6" s="1" t="s">
        <v>74</v>
      </c>
      <c r="AS6" s="1" t="s">
        <v>74</v>
      </c>
      <c r="AT6" s="1" t="s">
        <v>123</v>
      </c>
      <c r="AU6" s="1">
        <v>2021.0</v>
      </c>
      <c r="AV6" s="1">
        <v>89.0</v>
      </c>
      <c r="AW6" s="1" t="s">
        <v>74</v>
      </c>
      <c r="AX6" s="1">
        <v>2.0</v>
      </c>
      <c r="AY6" s="1" t="s">
        <v>74</v>
      </c>
      <c r="AZ6" s="1" t="s">
        <v>74</v>
      </c>
      <c r="BA6" s="1" t="s">
        <v>74</v>
      </c>
      <c r="BB6" s="1">
        <v>1640.0</v>
      </c>
      <c r="BC6" s="1">
        <v>1662.0</v>
      </c>
      <c r="BD6" s="1" t="s">
        <v>74</v>
      </c>
      <c r="BE6" s="1" t="s">
        <v>124</v>
      </c>
      <c r="BF6" s="2" t="str">
        <f>HYPERLINK("http://dx.doi.org/10.1016/j.apm.2020.08.033","http://dx.doi.org/10.1016/j.apm.2020.08.033")</f>
        <v>http://dx.doi.org/10.1016/j.apm.2020.08.033</v>
      </c>
      <c r="BG6" s="1" t="s">
        <v>74</v>
      </c>
      <c r="BH6" s="1" t="s">
        <v>74</v>
      </c>
      <c r="BI6" s="1" t="s">
        <v>74</v>
      </c>
      <c r="BJ6" s="1" t="s">
        <v>74</v>
      </c>
      <c r="BK6" s="1" t="s">
        <v>74</v>
      </c>
      <c r="BL6" s="1" t="s">
        <v>74</v>
      </c>
      <c r="BM6" s="1" t="s">
        <v>74</v>
      </c>
      <c r="BN6" s="1" t="s">
        <v>74</v>
      </c>
      <c r="BO6" s="1" t="s">
        <v>74</v>
      </c>
      <c r="BP6" s="1" t="s">
        <v>74</v>
      </c>
      <c r="BQ6" s="1" t="s">
        <v>74</v>
      </c>
      <c r="BR6" s="1" t="s">
        <v>74</v>
      </c>
      <c r="BS6" s="1" t="s">
        <v>125</v>
      </c>
      <c r="BT6" s="1" t="str">
        <f>HYPERLINK("https%3A%2F%2Fwww.webofscience.com%2Fwos%2Fwoscc%2Ffull-record%2FWOS:000591175200011","View Full Record in Web of Science")</f>
        <v>View Full Record in Web of Science</v>
      </c>
    </row>
    <row r="7" ht="12.75" customHeight="1">
      <c r="A7" s="1" t="s">
        <v>126</v>
      </c>
      <c r="B7" s="1" t="s">
        <v>127</v>
      </c>
      <c r="C7" s="1" t="s">
        <v>74</v>
      </c>
      <c r="D7" s="1" t="s">
        <v>74</v>
      </c>
      <c r="E7" s="1" t="s">
        <v>128</v>
      </c>
      <c r="F7" s="1" t="s">
        <v>129</v>
      </c>
      <c r="G7" s="1" t="s">
        <v>74</v>
      </c>
      <c r="H7" s="1" t="s">
        <v>74</v>
      </c>
      <c r="I7" s="1" t="s">
        <v>130</v>
      </c>
      <c r="J7" s="1" t="s">
        <v>131</v>
      </c>
      <c r="K7" s="1" t="s">
        <v>74</v>
      </c>
      <c r="L7" s="1" t="s">
        <v>74</v>
      </c>
      <c r="M7" s="1" t="s">
        <v>74</v>
      </c>
      <c r="N7" s="1" t="s">
        <v>74</v>
      </c>
      <c r="O7" s="1" t="s">
        <v>132</v>
      </c>
      <c r="P7" s="1" t="s">
        <v>133</v>
      </c>
      <c r="Q7" s="1" t="s">
        <v>134</v>
      </c>
      <c r="R7" s="1" t="s">
        <v>135</v>
      </c>
      <c r="S7" s="1" t="s">
        <v>74</v>
      </c>
      <c r="T7" s="1" t="s">
        <v>74</v>
      </c>
      <c r="U7" s="1" t="s">
        <v>74</v>
      </c>
      <c r="V7" s="1" t="s">
        <v>136</v>
      </c>
      <c r="W7" s="1" t="s">
        <v>74</v>
      </c>
      <c r="X7" s="1" t="s">
        <v>74</v>
      </c>
      <c r="Y7" s="1" t="s">
        <v>74</v>
      </c>
      <c r="Z7" s="1" t="s">
        <v>74</v>
      </c>
      <c r="AA7" s="1" t="s">
        <v>137</v>
      </c>
      <c r="AB7" s="1" t="s">
        <v>138</v>
      </c>
      <c r="AC7" s="1" t="s">
        <v>74</v>
      </c>
      <c r="AD7" s="1" t="s">
        <v>74</v>
      </c>
      <c r="AE7" s="1" t="s">
        <v>74</v>
      </c>
      <c r="AF7" s="1" t="s">
        <v>74</v>
      </c>
      <c r="AG7" s="1" t="s">
        <v>74</v>
      </c>
      <c r="AH7" s="1" t="s">
        <v>74</v>
      </c>
      <c r="AI7" s="1" t="s">
        <v>74</v>
      </c>
      <c r="AJ7" s="1" t="s">
        <v>74</v>
      </c>
      <c r="AK7" s="1" t="s">
        <v>74</v>
      </c>
      <c r="AL7" s="1" t="s">
        <v>74</v>
      </c>
      <c r="AM7" s="1" t="s">
        <v>74</v>
      </c>
      <c r="AN7" s="1" t="s">
        <v>74</v>
      </c>
      <c r="AO7" s="1" t="s">
        <v>74</v>
      </c>
      <c r="AP7" s="1" t="s">
        <v>74</v>
      </c>
      <c r="AQ7" s="1" t="s">
        <v>139</v>
      </c>
      <c r="AR7" s="1" t="s">
        <v>74</v>
      </c>
      <c r="AS7" s="1" t="s">
        <v>74</v>
      </c>
      <c r="AT7" s="1" t="s">
        <v>74</v>
      </c>
      <c r="AU7" s="1">
        <v>2021.0</v>
      </c>
      <c r="AV7" s="1" t="s">
        <v>74</v>
      </c>
      <c r="AW7" s="1" t="s">
        <v>74</v>
      </c>
      <c r="AX7" s="1" t="s">
        <v>74</v>
      </c>
      <c r="AY7" s="1" t="s">
        <v>74</v>
      </c>
      <c r="AZ7" s="1" t="s">
        <v>74</v>
      </c>
      <c r="BA7" s="1" t="s">
        <v>74</v>
      </c>
      <c r="BB7" s="1">
        <v>1.0</v>
      </c>
      <c r="BC7" s="1">
        <v>6.0</v>
      </c>
      <c r="BD7" s="1" t="s">
        <v>74</v>
      </c>
      <c r="BE7" s="1" t="s">
        <v>140</v>
      </c>
      <c r="BF7" s="2" t="str">
        <f>HYPERLINK("http://dx.doi.org/10.1109/SACVLC53127.2021.9652297","http://dx.doi.org/10.1109/SACVLC53127.2021.9652297")</f>
        <v>http://dx.doi.org/10.1109/SACVLC53127.2021.9652297</v>
      </c>
      <c r="BG7" s="1" t="s">
        <v>74</v>
      </c>
      <c r="BH7" s="1" t="s">
        <v>74</v>
      </c>
      <c r="BI7" s="1" t="s">
        <v>74</v>
      </c>
      <c r="BJ7" s="1" t="s">
        <v>74</v>
      </c>
      <c r="BK7" s="1" t="s">
        <v>74</v>
      </c>
      <c r="BL7" s="1" t="s">
        <v>74</v>
      </c>
      <c r="BM7" s="1" t="s">
        <v>74</v>
      </c>
      <c r="BN7" s="1" t="s">
        <v>74</v>
      </c>
      <c r="BO7" s="1" t="s">
        <v>74</v>
      </c>
      <c r="BP7" s="1" t="s">
        <v>74</v>
      </c>
      <c r="BQ7" s="1" t="s">
        <v>74</v>
      </c>
      <c r="BR7" s="1" t="s">
        <v>74</v>
      </c>
      <c r="BS7" s="1" t="s">
        <v>141</v>
      </c>
      <c r="BT7" s="1" t="str">
        <f>HYPERLINK("https%3A%2F%2Fwww.webofscience.com%2Fwos%2Fwoscc%2Ffull-record%2FWOS:000760247000001","View Full Record in Web of Science")</f>
        <v>View Full Record in Web of Science</v>
      </c>
    </row>
    <row r="8" ht="12.75" customHeight="1">
      <c r="A8" s="1" t="s">
        <v>72</v>
      </c>
      <c r="B8" s="1" t="s">
        <v>142</v>
      </c>
      <c r="C8" s="1" t="s">
        <v>74</v>
      </c>
      <c r="D8" s="1" t="s">
        <v>74</v>
      </c>
      <c r="E8" s="1" t="s">
        <v>74</v>
      </c>
      <c r="F8" s="1" t="s">
        <v>143</v>
      </c>
      <c r="G8" s="1" t="s">
        <v>74</v>
      </c>
      <c r="H8" s="1" t="s">
        <v>74</v>
      </c>
      <c r="I8" s="1" t="s">
        <v>144</v>
      </c>
      <c r="J8" s="1" t="s">
        <v>145</v>
      </c>
      <c r="K8" s="1" t="s">
        <v>74</v>
      </c>
      <c r="L8" s="1" t="s">
        <v>74</v>
      </c>
      <c r="M8" s="1" t="s">
        <v>74</v>
      </c>
      <c r="N8" s="1" t="s">
        <v>74</v>
      </c>
      <c r="O8" s="1" t="s">
        <v>74</v>
      </c>
      <c r="P8" s="1" t="s">
        <v>74</v>
      </c>
      <c r="Q8" s="1" t="s">
        <v>74</v>
      </c>
      <c r="R8" s="1" t="s">
        <v>74</v>
      </c>
      <c r="S8" s="1" t="s">
        <v>74</v>
      </c>
      <c r="T8" s="1" t="s">
        <v>74</v>
      </c>
      <c r="U8" s="1" t="s">
        <v>74</v>
      </c>
      <c r="V8" s="1" t="s">
        <v>146</v>
      </c>
      <c r="W8" s="1" t="s">
        <v>74</v>
      </c>
      <c r="X8" s="1" t="s">
        <v>74</v>
      </c>
      <c r="Y8" s="1" t="s">
        <v>74</v>
      </c>
      <c r="Z8" s="1" t="s">
        <v>74</v>
      </c>
      <c r="AA8" s="1" t="s">
        <v>74</v>
      </c>
      <c r="AB8" s="1" t="s">
        <v>74</v>
      </c>
      <c r="AC8" s="1" t="s">
        <v>74</v>
      </c>
      <c r="AD8" s="1" t="s">
        <v>74</v>
      </c>
      <c r="AE8" s="1" t="s">
        <v>74</v>
      </c>
      <c r="AF8" s="1" t="s">
        <v>74</v>
      </c>
      <c r="AG8" s="1" t="s">
        <v>74</v>
      </c>
      <c r="AH8" s="1" t="s">
        <v>74</v>
      </c>
      <c r="AI8" s="1" t="s">
        <v>74</v>
      </c>
      <c r="AJ8" s="1" t="s">
        <v>74</v>
      </c>
      <c r="AK8" s="1" t="s">
        <v>74</v>
      </c>
      <c r="AL8" s="1" t="s">
        <v>74</v>
      </c>
      <c r="AM8" s="1" t="s">
        <v>74</v>
      </c>
      <c r="AN8" s="1" t="s">
        <v>74</v>
      </c>
      <c r="AO8" s="1" t="s">
        <v>147</v>
      </c>
      <c r="AP8" s="1" t="s">
        <v>74</v>
      </c>
      <c r="AQ8" s="1" t="s">
        <v>74</v>
      </c>
      <c r="AR8" s="1" t="s">
        <v>74</v>
      </c>
      <c r="AS8" s="1" t="s">
        <v>74</v>
      </c>
      <c r="AT8" s="1" t="s">
        <v>148</v>
      </c>
      <c r="AU8" s="1">
        <v>2020.0</v>
      </c>
      <c r="AV8" s="1">
        <v>11.0</v>
      </c>
      <c r="AW8" s="1">
        <v>2.0</v>
      </c>
      <c r="AX8" s="1" t="s">
        <v>74</v>
      </c>
      <c r="AY8" s="1" t="s">
        <v>74</v>
      </c>
      <c r="AZ8" s="1" t="s">
        <v>74</v>
      </c>
      <c r="BA8" s="1" t="s">
        <v>74</v>
      </c>
      <c r="BB8" s="1">
        <v>1.0</v>
      </c>
      <c r="BC8" s="1">
        <v>22.0</v>
      </c>
      <c r="BD8" s="1" t="s">
        <v>74</v>
      </c>
      <c r="BE8" s="1" t="s">
        <v>74</v>
      </c>
      <c r="BF8" s="1" t="s">
        <v>74</v>
      </c>
      <c r="BG8" s="1" t="s">
        <v>74</v>
      </c>
      <c r="BH8" s="1" t="s">
        <v>74</v>
      </c>
      <c r="BI8" s="1" t="s">
        <v>74</v>
      </c>
      <c r="BJ8" s="1" t="s">
        <v>74</v>
      </c>
      <c r="BK8" s="1" t="s">
        <v>74</v>
      </c>
      <c r="BL8" s="1" t="s">
        <v>74</v>
      </c>
      <c r="BM8" s="1" t="s">
        <v>74</v>
      </c>
      <c r="BN8" s="1" t="s">
        <v>74</v>
      </c>
      <c r="BO8" s="1" t="s">
        <v>74</v>
      </c>
      <c r="BP8" s="1" t="s">
        <v>74</v>
      </c>
      <c r="BQ8" s="1" t="s">
        <v>74</v>
      </c>
      <c r="BR8" s="1" t="s">
        <v>74</v>
      </c>
      <c r="BS8" s="1" t="s">
        <v>149</v>
      </c>
      <c r="BT8" s="1" t="str">
        <f>HYPERLINK("https%3A%2F%2Fwww.webofscience.com%2Fwos%2Fwoscc%2Ffull-record%2FWOS:000606328800001","View Full Record in Web of Science")</f>
        <v>View Full Record in Web of Science</v>
      </c>
    </row>
    <row r="9" ht="12.75" customHeight="1">
      <c r="A9" s="1" t="s">
        <v>72</v>
      </c>
      <c r="B9" s="1" t="s">
        <v>150</v>
      </c>
      <c r="C9" s="1" t="s">
        <v>74</v>
      </c>
      <c r="D9" s="1" t="s">
        <v>74</v>
      </c>
      <c r="E9" s="1" t="s">
        <v>74</v>
      </c>
      <c r="F9" s="1" t="s">
        <v>151</v>
      </c>
      <c r="G9" s="1" t="s">
        <v>74</v>
      </c>
      <c r="H9" s="1" t="s">
        <v>74</v>
      </c>
      <c r="I9" s="1" t="s">
        <v>152</v>
      </c>
      <c r="J9" s="1" t="s">
        <v>153</v>
      </c>
      <c r="K9" s="1" t="s">
        <v>74</v>
      </c>
      <c r="L9" s="1" t="s">
        <v>74</v>
      </c>
      <c r="M9" s="1" t="s">
        <v>74</v>
      </c>
      <c r="N9" s="1" t="s">
        <v>74</v>
      </c>
      <c r="O9" s="1" t="s">
        <v>74</v>
      </c>
      <c r="P9" s="1" t="s">
        <v>74</v>
      </c>
      <c r="Q9" s="1" t="s">
        <v>74</v>
      </c>
      <c r="R9" s="1" t="s">
        <v>74</v>
      </c>
      <c r="S9" s="1" t="s">
        <v>74</v>
      </c>
      <c r="T9" s="1" t="s">
        <v>74</v>
      </c>
      <c r="U9" s="1" t="s">
        <v>74</v>
      </c>
      <c r="V9" s="1" t="s">
        <v>74</v>
      </c>
      <c r="W9" s="1" t="s">
        <v>74</v>
      </c>
      <c r="X9" s="1" t="s">
        <v>74</v>
      </c>
      <c r="Y9" s="1" t="s">
        <v>74</v>
      </c>
      <c r="Z9" s="1" t="s">
        <v>74</v>
      </c>
      <c r="AA9" s="1" t="s">
        <v>154</v>
      </c>
      <c r="AB9" s="1" t="s">
        <v>155</v>
      </c>
      <c r="AC9" s="1" t="s">
        <v>74</v>
      </c>
      <c r="AD9" s="1" t="s">
        <v>74</v>
      </c>
      <c r="AE9" s="1" t="s">
        <v>74</v>
      </c>
      <c r="AF9" s="1" t="s">
        <v>74</v>
      </c>
      <c r="AG9" s="1" t="s">
        <v>74</v>
      </c>
      <c r="AH9" s="1" t="s">
        <v>74</v>
      </c>
      <c r="AI9" s="1" t="s">
        <v>74</v>
      </c>
      <c r="AJ9" s="1" t="s">
        <v>74</v>
      </c>
      <c r="AK9" s="1" t="s">
        <v>74</v>
      </c>
      <c r="AL9" s="1" t="s">
        <v>74</v>
      </c>
      <c r="AM9" s="1" t="s">
        <v>74</v>
      </c>
      <c r="AN9" s="1" t="s">
        <v>74</v>
      </c>
      <c r="AO9" s="1" t="s">
        <v>156</v>
      </c>
      <c r="AP9" s="1" t="s">
        <v>157</v>
      </c>
      <c r="AQ9" s="1" t="s">
        <v>74</v>
      </c>
      <c r="AR9" s="1" t="s">
        <v>74</v>
      </c>
      <c r="AS9" s="1" t="s">
        <v>74</v>
      </c>
      <c r="AT9" s="1" t="s">
        <v>158</v>
      </c>
      <c r="AU9" s="1">
        <v>2020.0</v>
      </c>
      <c r="AV9" s="1">
        <v>24.0</v>
      </c>
      <c r="AW9" s="1">
        <v>9.0</v>
      </c>
      <c r="AX9" s="1" t="s">
        <v>74</v>
      </c>
      <c r="AY9" s="1" t="s">
        <v>74</v>
      </c>
      <c r="AZ9" s="1" t="s">
        <v>159</v>
      </c>
      <c r="BA9" s="1" t="s">
        <v>74</v>
      </c>
      <c r="BB9" s="1">
        <v>2195.0</v>
      </c>
      <c r="BC9" s="1">
        <v>2197.0</v>
      </c>
      <c r="BD9" s="1" t="s">
        <v>74</v>
      </c>
      <c r="BE9" s="1" t="s">
        <v>160</v>
      </c>
      <c r="BF9" s="2" t="str">
        <f>HYPERLINK("http://dx.doi.org/10.1007/s10008-020-04707-x","http://dx.doi.org/10.1007/s10008-020-04707-x")</f>
        <v>http://dx.doi.org/10.1007/s10008-020-04707-x</v>
      </c>
      <c r="BG9" s="1" t="s">
        <v>74</v>
      </c>
      <c r="BH9" s="1" t="s">
        <v>161</v>
      </c>
      <c r="BI9" s="1" t="s">
        <v>74</v>
      </c>
      <c r="BJ9" s="1" t="s">
        <v>74</v>
      </c>
      <c r="BK9" s="1" t="s">
        <v>74</v>
      </c>
      <c r="BL9" s="1" t="s">
        <v>74</v>
      </c>
      <c r="BM9" s="1" t="s">
        <v>74</v>
      </c>
      <c r="BN9" s="1" t="s">
        <v>74</v>
      </c>
      <c r="BO9" s="1" t="s">
        <v>74</v>
      </c>
      <c r="BP9" s="1" t="s">
        <v>74</v>
      </c>
      <c r="BQ9" s="1" t="s">
        <v>74</v>
      </c>
      <c r="BR9" s="1" t="s">
        <v>74</v>
      </c>
      <c r="BS9" s="1" t="s">
        <v>162</v>
      </c>
      <c r="BT9" s="1" t="str">
        <f>HYPERLINK("https%3A%2F%2Fwww.webofscience.com%2Fwos%2Fwoscc%2Ffull-record%2FWOS:000542733700002","View Full Record in Web of Science")</f>
        <v>View Full Record in Web of Science</v>
      </c>
    </row>
    <row r="10" ht="12.75" customHeight="1">
      <c r="A10" s="1" t="s">
        <v>72</v>
      </c>
      <c r="B10" s="1" t="s">
        <v>163</v>
      </c>
      <c r="C10" s="1" t="s">
        <v>74</v>
      </c>
      <c r="D10" s="1" t="s">
        <v>74</v>
      </c>
      <c r="E10" s="1" t="s">
        <v>74</v>
      </c>
      <c r="F10" s="1" t="s">
        <v>164</v>
      </c>
      <c r="G10" s="1" t="s">
        <v>74</v>
      </c>
      <c r="H10" s="1" t="s">
        <v>74</v>
      </c>
      <c r="I10" s="1" t="s">
        <v>165</v>
      </c>
      <c r="J10" s="1" t="s">
        <v>166</v>
      </c>
      <c r="K10" s="1" t="s">
        <v>74</v>
      </c>
      <c r="L10" s="1" t="s">
        <v>74</v>
      </c>
      <c r="M10" s="1" t="s">
        <v>74</v>
      </c>
      <c r="N10" s="1" t="s">
        <v>74</v>
      </c>
      <c r="O10" s="1" t="s">
        <v>74</v>
      </c>
      <c r="P10" s="1" t="s">
        <v>74</v>
      </c>
      <c r="Q10" s="1" t="s">
        <v>74</v>
      </c>
      <c r="R10" s="1" t="s">
        <v>74</v>
      </c>
      <c r="S10" s="1" t="s">
        <v>74</v>
      </c>
      <c r="T10" s="1" t="s">
        <v>74</v>
      </c>
      <c r="U10" s="1" t="s">
        <v>74</v>
      </c>
      <c r="V10" s="1" t="s">
        <v>74</v>
      </c>
      <c r="W10" s="1" t="s">
        <v>74</v>
      </c>
      <c r="X10" s="1" t="s">
        <v>74</v>
      </c>
      <c r="Y10" s="1" t="s">
        <v>74</v>
      </c>
      <c r="Z10" s="1" t="s">
        <v>74</v>
      </c>
      <c r="AA10" s="1" t="s">
        <v>167</v>
      </c>
      <c r="AB10" s="1" t="s">
        <v>168</v>
      </c>
      <c r="AC10" s="1" t="s">
        <v>74</v>
      </c>
      <c r="AD10" s="1" t="s">
        <v>74</v>
      </c>
      <c r="AE10" s="1" t="s">
        <v>74</v>
      </c>
      <c r="AF10" s="1" t="s">
        <v>74</v>
      </c>
      <c r="AG10" s="1" t="s">
        <v>74</v>
      </c>
      <c r="AH10" s="1" t="s">
        <v>74</v>
      </c>
      <c r="AI10" s="1" t="s">
        <v>74</v>
      </c>
      <c r="AJ10" s="1" t="s">
        <v>74</v>
      </c>
      <c r="AK10" s="1" t="s">
        <v>74</v>
      </c>
      <c r="AL10" s="1" t="s">
        <v>74</v>
      </c>
      <c r="AM10" s="1" t="s">
        <v>74</v>
      </c>
      <c r="AN10" s="1" t="s">
        <v>74</v>
      </c>
      <c r="AO10" s="1" t="s">
        <v>169</v>
      </c>
      <c r="AP10" s="1" t="s">
        <v>170</v>
      </c>
      <c r="AQ10" s="1" t="s">
        <v>74</v>
      </c>
      <c r="AR10" s="1" t="s">
        <v>74</v>
      </c>
      <c r="AS10" s="1" t="s">
        <v>74</v>
      </c>
      <c r="AT10" s="1" t="s">
        <v>171</v>
      </c>
      <c r="AU10" s="1">
        <v>2020.0</v>
      </c>
      <c r="AV10" s="1" t="s">
        <v>74</v>
      </c>
      <c r="AW10" s="1">
        <v>32.0</v>
      </c>
      <c r="AX10" s="1" t="s">
        <v>74</v>
      </c>
      <c r="AY10" s="1" t="s">
        <v>74</v>
      </c>
      <c r="AZ10" s="1" t="s">
        <v>74</v>
      </c>
      <c r="BA10" s="1" t="s">
        <v>74</v>
      </c>
      <c r="BB10" s="1">
        <v>95.0</v>
      </c>
      <c r="BC10" s="1">
        <v>98.0</v>
      </c>
      <c r="BD10" s="1" t="s">
        <v>74</v>
      </c>
      <c r="BE10" s="1" t="s">
        <v>74</v>
      </c>
      <c r="BF10" s="1" t="s">
        <v>74</v>
      </c>
      <c r="BG10" s="1" t="s">
        <v>74</v>
      </c>
      <c r="BH10" s="1" t="s">
        <v>74</v>
      </c>
      <c r="BI10" s="1" t="s">
        <v>74</v>
      </c>
      <c r="BJ10" s="1" t="s">
        <v>74</v>
      </c>
      <c r="BK10" s="1" t="s">
        <v>74</v>
      </c>
      <c r="BL10" s="1" t="s">
        <v>74</v>
      </c>
      <c r="BM10" s="1" t="s">
        <v>74</v>
      </c>
      <c r="BN10" s="1" t="s">
        <v>74</v>
      </c>
      <c r="BO10" s="1" t="s">
        <v>74</v>
      </c>
      <c r="BP10" s="1" t="s">
        <v>74</v>
      </c>
      <c r="BQ10" s="1" t="s">
        <v>74</v>
      </c>
      <c r="BR10" s="1" t="s">
        <v>74</v>
      </c>
      <c r="BS10" s="1" t="s">
        <v>172</v>
      </c>
      <c r="BT10" s="1" t="str">
        <f>HYPERLINK("https%3A%2F%2Fwww.webofscience.com%2Fwos%2Fwoscc%2Ffull-record%2FWOS:000552088400006","View Full Record in Web of Science")</f>
        <v>View Full Record in Web of Science</v>
      </c>
    </row>
    <row r="11" ht="12.75" customHeight="1">
      <c r="A11" s="1" t="s">
        <v>72</v>
      </c>
      <c r="B11" s="1" t="s">
        <v>173</v>
      </c>
      <c r="C11" s="1" t="s">
        <v>74</v>
      </c>
      <c r="D11" s="1" t="s">
        <v>74</v>
      </c>
      <c r="E11" s="1" t="s">
        <v>74</v>
      </c>
      <c r="F11" s="1" t="s">
        <v>174</v>
      </c>
      <c r="G11" s="1" t="s">
        <v>74</v>
      </c>
      <c r="H11" s="1" t="s">
        <v>74</v>
      </c>
      <c r="I11" s="1" t="s">
        <v>175</v>
      </c>
      <c r="J11" s="1" t="s">
        <v>176</v>
      </c>
      <c r="K11" s="1" t="s">
        <v>74</v>
      </c>
      <c r="L11" s="1" t="s">
        <v>74</v>
      </c>
      <c r="M11" s="1" t="s">
        <v>74</v>
      </c>
      <c r="N11" s="1" t="s">
        <v>74</v>
      </c>
      <c r="O11" s="1" t="s">
        <v>74</v>
      </c>
      <c r="P11" s="1" t="s">
        <v>74</v>
      </c>
      <c r="Q11" s="1" t="s">
        <v>74</v>
      </c>
      <c r="R11" s="1" t="s">
        <v>74</v>
      </c>
      <c r="S11" s="1" t="s">
        <v>74</v>
      </c>
      <c r="T11" s="1" t="s">
        <v>74</v>
      </c>
      <c r="U11" s="1" t="s">
        <v>74</v>
      </c>
      <c r="V11" s="1" t="s">
        <v>177</v>
      </c>
      <c r="W11" s="1" t="s">
        <v>74</v>
      </c>
      <c r="X11" s="1" t="s">
        <v>74</v>
      </c>
      <c r="Y11" s="1" t="s">
        <v>74</v>
      </c>
      <c r="Z11" s="1" t="s">
        <v>74</v>
      </c>
      <c r="AA11" s="1" t="s">
        <v>74</v>
      </c>
      <c r="AB11" s="1" t="s">
        <v>74</v>
      </c>
      <c r="AC11" s="1" t="s">
        <v>74</v>
      </c>
      <c r="AD11" s="1" t="s">
        <v>74</v>
      </c>
      <c r="AE11" s="1" t="s">
        <v>74</v>
      </c>
      <c r="AF11" s="1" t="s">
        <v>74</v>
      </c>
      <c r="AG11" s="1" t="s">
        <v>74</v>
      </c>
      <c r="AH11" s="1" t="s">
        <v>74</v>
      </c>
      <c r="AI11" s="1" t="s">
        <v>74</v>
      </c>
      <c r="AJ11" s="1" t="s">
        <v>74</v>
      </c>
      <c r="AK11" s="1" t="s">
        <v>74</v>
      </c>
      <c r="AL11" s="1" t="s">
        <v>74</v>
      </c>
      <c r="AM11" s="1" t="s">
        <v>74</v>
      </c>
      <c r="AN11" s="1" t="s">
        <v>74</v>
      </c>
      <c r="AO11" s="1" t="s">
        <v>178</v>
      </c>
      <c r="AP11" s="1" t="s">
        <v>74</v>
      </c>
      <c r="AQ11" s="1" t="s">
        <v>74</v>
      </c>
      <c r="AR11" s="1" t="s">
        <v>74</v>
      </c>
      <c r="AS11" s="1" t="s">
        <v>74</v>
      </c>
      <c r="AT11" s="1" t="s">
        <v>123</v>
      </c>
      <c r="AU11" s="1">
        <v>2020.0</v>
      </c>
      <c r="AV11" s="1">
        <v>49.0</v>
      </c>
      <c r="AW11" s="1" t="s">
        <v>74</v>
      </c>
      <c r="AX11" s="1" t="s">
        <v>74</v>
      </c>
      <c r="AY11" s="1" t="s">
        <v>74</v>
      </c>
      <c r="AZ11" s="1" t="s">
        <v>74</v>
      </c>
      <c r="BA11" s="1" t="s">
        <v>74</v>
      </c>
      <c r="BB11" s="1">
        <v>3067.0</v>
      </c>
      <c r="BC11" s="1">
        <v>3089.0</v>
      </c>
      <c r="BD11" s="1" t="s">
        <v>74</v>
      </c>
      <c r="BE11" s="1" t="s">
        <v>74</v>
      </c>
      <c r="BF11" s="1" t="s">
        <v>74</v>
      </c>
      <c r="BG11" s="1" t="s">
        <v>74</v>
      </c>
      <c r="BH11" s="1" t="s">
        <v>74</v>
      </c>
      <c r="BI11" s="1" t="s">
        <v>74</v>
      </c>
      <c r="BJ11" s="1" t="s">
        <v>74</v>
      </c>
      <c r="BK11" s="1" t="s">
        <v>74</v>
      </c>
      <c r="BL11" s="1" t="s">
        <v>74</v>
      </c>
      <c r="BM11" s="1" t="s">
        <v>74</v>
      </c>
      <c r="BN11" s="1" t="s">
        <v>74</v>
      </c>
      <c r="BO11" s="1" t="s">
        <v>74</v>
      </c>
      <c r="BP11" s="1" t="s">
        <v>74</v>
      </c>
      <c r="BQ11" s="1" t="s">
        <v>74</v>
      </c>
      <c r="BR11" s="1" t="s">
        <v>74</v>
      </c>
      <c r="BS11" s="1" t="s">
        <v>179</v>
      </c>
      <c r="BT11" s="1" t="str">
        <f>HYPERLINK("https%3A%2F%2Fwww.webofscience.com%2Fwos%2Fwoscc%2Ffull-record%2FWOS:000614864700005","View Full Record in Web of Science")</f>
        <v>View Full Record in Web of Science</v>
      </c>
    </row>
    <row r="12" ht="12.75" customHeight="1">
      <c r="A12" s="1" t="s">
        <v>72</v>
      </c>
      <c r="B12" s="1" t="s">
        <v>180</v>
      </c>
      <c r="C12" s="1" t="s">
        <v>74</v>
      </c>
      <c r="D12" s="1" t="s">
        <v>74</v>
      </c>
      <c r="E12" s="1" t="s">
        <v>74</v>
      </c>
      <c r="F12" s="1" t="s">
        <v>181</v>
      </c>
      <c r="G12" s="1" t="s">
        <v>74</v>
      </c>
      <c r="H12" s="1" t="s">
        <v>74</v>
      </c>
      <c r="I12" s="1" t="s">
        <v>182</v>
      </c>
      <c r="J12" s="1" t="s">
        <v>176</v>
      </c>
      <c r="K12" s="1" t="s">
        <v>74</v>
      </c>
      <c r="L12" s="1" t="s">
        <v>74</v>
      </c>
      <c r="M12" s="1" t="s">
        <v>74</v>
      </c>
      <c r="N12" s="1" t="s">
        <v>74</v>
      </c>
      <c r="O12" s="1" t="s">
        <v>74</v>
      </c>
      <c r="P12" s="1" t="s">
        <v>74</v>
      </c>
      <c r="Q12" s="1" t="s">
        <v>74</v>
      </c>
      <c r="R12" s="1" t="s">
        <v>74</v>
      </c>
      <c r="S12" s="1" t="s">
        <v>74</v>
      </c>
      <c r="T12" s="1" t="s">
        <v>74</v>
      </c>
      <c r="U12" s="1" t="s">
        <v>74</v>
      </c>
      <c r="V12" s="1" t="s">
        <v>183</v>
      </c>
      <c r="W12" s="1" t="s">
        <v>74</v>
      </c>
      <c r="X12" s="1" t="s">
        <v>74</v>
      </c>
      <c r="Y12" s="1" t="s">
        <v>74</v>
      </c>
      <c r="Z12" s="1" t="s">
        <v>74</v>
      </c>
      <c r="AA12" s="1" t="s">
        <v>74</v>
      </c>
      <c r="AB12" s="1" t="s">
        <v>74</v>
      </c>
      <c r="AC12" s="1" t="s">
        <v>74</v>
      </c>
      <c r="AD12" s="1" t="s">
        <v>74</v>
      </c>
      <c r="AE12" s="1" t="s">
        <v>74</v>
      </c>
      <c r="AF12" s="1" t="s">
        <v>74</v>
      </c>
      <c r="AG12" s="1" t="s">
        <v>74</v>
      </c>
      <c r="AH12" s="1" t="s">
        <v>74</v>
      </c>
      <c r="AI12" s="1" t="s">
        <v>74</v>
      </c>
      <c r="AJ12" s="1" t="s">
        <v>74</v>
      </c>
      <c r="AK12" s="1" t="s">
        <v>74</v>
      </c>
      <c r="AL12" s="1" t="s">
        <v>74</v>
      </c>
      <c r="AM12" s="1" t="s">
        <v>74</v>
      </c>
      <c r="AN12" s="1" t="s">
        <v>74</v>
      </c>
      <c r="AO12" s="1" t="s">
        <v>178</v>
      </c>
      <c r="AP12" s="1" t="s">
        <v>74</v>
      </c>
      <c r="AQ12" s="1" t="s">
        <v>74</v>
      </c>
      <c r="AR12" s="1" t="s">
        <v>74</v>
      </c>
      <c r="AS12" s="1" t="s">
        <v>74</v>
      </c>
      <c r="AT12" s="1" t="s">
        <v>123</v>
      </c>
      <c r="AU12" s="1">
        <v>2020.0</v>
      </c>
      <c r="AV12" s="1">
        <v>49.0</v>
      </c>
      <c r="AW12" s="1" t="s">
        <v>74</v>
      </c>
      <c r="AX12" s="1" t="s">
        <v>74</v>
      </c>
      <c r="AY12" s="1" t="s">
        <v>74</v>
      </c>
      <c r="AZ12" s="1" t="s">
        <v>74</v>
      </c>
      <c r="BA12" s="1" t="s">
        <v>74</v>
      </c>
      <c r="BB12" s="1">
        <v>123.0</v>
      </c>
      <c r="BC12" s="1">
        <v>140.0</v>
      </c>
      <c r="BD12" s="1" t="s">
        <v>74</v>
      </c>
      <c r="BE12" s="1" t="s">
        <v>74</v>
      </c>
      <c r="BF12" s="1" t="s">
        <v>74</v>
      </c>
      <c r="BG12" s="1" t="s">
        <v>74</v>
      </c>
      <c r="BH12" s="1" t="s">
        <v>74</v>
      </c>
      <c r="BI12" s="1" t="s">
        <v>74</v>
      </c>
      <c r="BJ12" s="1" t="s">
        <v>74</v>
      </c>
      <c r="BK12" s="1" t="s">
        <v>74</v>
      </c>
      <c r="BL12" s="1" t="s">
        <v>74</v>
      </c>
      <c r="BM12" s="1" t="s">
        <v>74</v>
      </c>
      <c r="BN12" s="1" t="s">
        <v>74</v>
      </c>
      <c r="BO12" s="1" t="s">
        <v>74</v>
      </c>
      <c r="BP12" s="1" t="s">
        <v>74</v>
      </c>
      <c r="BQ12" s="1" t="s">
        <v>74</v>
      </c>
      <c r="BR12" s="1" t="s">
        <v>74</v>
      </c>
      <c r="BS12" s="1" t="s">
        <v>184</v>
      </c>
      <c r="BT12" s="1" t="str">
        <f>HYPERLINK("https%3A%2F%2Fwww.webofscience.com%2Fwos%2Fwoscc%2Ffull-record%2FWOS:000451966900008","View Full Record in Web of Science")</f>
        <v>View Full Record in Web of Science</v>
      </c>
    </row>
    <row r="13" ht="12.75" customHeight="1">
      <c r="A13" s="1" t="s">
        <v>72</v>
      </c>
      <c r="B13" s="1" t="s">
        <v>185</v>
      </c>
      <c r="C13" s="1" t="s">
        <v>74</v>
      </c>
      <c r="D13" s="1" t="s">
        <v>74</v>
      </c>
      <c r="E13" s="1" t="s">
        <v>74</v>
      </c>
      <c r="F13" s="1" t="s">
        <v>186</v>
      </c>
      <c r="G13" s="1" t="s">
        <v>74</v>
      </c>
      <c r="H13" s="1" t="s">
        <v>74</v>
      </c>
      <c r="I13" s="1" t="s">
        <v>187</v>
      </c>
      <c r="J13" s="1" t="s">
        <v>188</v>
      </c>
      <c r="K13" s="1" t="s">
        <v>74</v>
      </c>
      <c r="L13" s="1" t="s">
        <v>74</v>
      </c>
      <c r="M13" s="1" t="s">
        <v>74</v>
      </c>
      <c r="N13" s="1" t="s">
        <v>74</v>
      </c>
      <c r="O13" s="1" t="s">
        <v>74</v>
      </c>
      <c r="P13" s="1" t="s">
        <v>74</v>
      </c>
      <c r="Q13" s="1" t="s">
        <v>74</v>
      </c>
      <c r="R13" s="1" t="s">
        <v>74</v>
      </c>
      <c r="S13" s="1" t="s">
        <v>74</v>
      </c>
      <c r="T13" s="1" t="s">
        <v>74</v>
      </c>
      <c r="U13" s="1" t="s">
        <v>74</v>
      </c>
      <c r="V13" s="1" t="s">
        <v>189</v>
      </c>
      <c r="W13" s="1" t="s">
        <v>74</v>
      </c>
      <c r="X13" s="1" t="s">
        <v>74</v>
      </c>
      <c r="Y13" s="1" t="s">
        <v>74</v>
      </c>
      <c r="Z13" s="1" t="s">
        <v>74</v>
      </c>
      <c r="AA13" s="1" t="s">
        <v>74</v>
      </c>
      <c r="AB13" s="1" t="s">
        <v>190</v>
      </c>
      <c r="AC13" s="1" t="s">
        <v>74</v>
      </c>
      <c r="AD13" s="1" t="s">
        <v>74</v>
      </c>
      <c r="AE13" s="1" t="s">
        <v>74</v>
      </c>
      <c r="AF13" s="1" t="s">
        <v>74</v>
      </c>
      <c r="AG13" s="1" t="s">
        <v>74</v>
      </c>
      <c r="AH13" s="1" t="s">
        <v>74</v>
      </c>
      <c r="AI13" s="1" t="s">
        <v>74</v>
      </c>
      <c r="AJ13" s="1" t="s">
        <v>74</v>
      </c>
      <c r="AK13" s="1" t="s">
        <v>74</v>
      </c>
      <c r="AL13" s="1" t="s">
        <v>74</v>
      </c>
      <c r="AM13" s="1" t="s">
        <v>74</v>
      </c>
      <c r="AN13" s="1" t="s">
        <v>74</v>
      </c>
      <c r="AO13" s="1" t="s">
        <v>191</v>
      </c>
      <c r="AP13" s="1" t="s">
        <v>192</v>
      </c>
      <c r="AQ13" s="1" t="s">
        <v>74</v>
      </c>
      <c r="AR13" s="1" t="s">
        <v>74</v>
      </c>
      <c r="AS13" s="1" t="s">
        <v>74</v>
      </c>
      <c r="AT13" s="1" t="s">
        <v>193</v>
      </c>
      <c r="AU13" s="1">
        <v>2019.0</v>
      </c>
      <c r="AV13" s="1">
        <v>38.0</v>
      </c>
      <c r="AW13" s="1">
        <v>2.0</v>
      </c>
      <c r="AX13" s="1" t="s">
        <v>74</v>
      </c>
      <c r="AY13" s="1" t="s">
        <v>74</v>
      </c>
      <c r="AZ13" s="1" t="s">
        <v>159</v>
      </c>
      <c r="BA13" s="1" t="s">
        <v>74</v>
      </c>
      <c r="BB13" s="1">
        <v>179.0</v>
      </c>
      <c r="BC13" s="1">
        <v>191.0</v>
      </c>
      <c r="BD13" s="1" t="s">
        <v>74</v>
      </c>
      <c r="BE13" s="1" t="s">
        <v>194</v>
      </c>
      <c r="BF13" s="2" t="str">
        <f>HYPERLINK("http://dx.doi.org/10.1111/blar.12836","http://dx.doi.org/10.1111/blar.12836")</f>
        <v>http://dx.doi.org/10.1111/blar.12836</v>
      </c>
      <c r="BG13" s="1" t="s">
        <v>74</v>
      </c>
      <c r="BH13" s="1" t="s">
        <v>74</v>
      </c>
      <c r="BI13" s="1" t="s">
        <v>74</v>
      </c>
      <c r="BJ13" s="1" t="s">
        <v>74</v>
      </c>
      <c r="BK13" s="1" t="s">
        <v>74</v>
      </c>
      <c r="BL13" s="1" t="s">
        <v>74</v>
      </c>
      <c r="BM13" s="1" t="s">
        <v>74</v>
      </c>
      <c r="BN13" s="1" t="s">
        <v>74</v>
      </c>
      <c r="BO13" s="1" t="s">
        <v>74</v>
      </c>
      <c r="BP13" s="1" t="s">
        <v>74</v>
      </c>
      <c r="BQ13" s="1" t="s">
        <v>74</v>
      </c>
      <c r="BR13" s="1" t="s">
        <v>74</v>
      </c>
      <c r="BS13" s="1" t="s">
        <v>195</v>
      </c>
      <c r="BT13" s="1" t="str">
        <f>HYPERLINK("https%3A%2F%2Fwww.webofscience.com%2Fwos%2Fwoscc%2Ffull-record%2FWOS:000471320100006","View Full Record in Web of Science")</f>
        <v>View Full Record in Web of Science</v>
      </c>
    </row>
    <row r="14" ht="12.75" customHeight="1">
      <c r="A14" s="1" t="s">
        <v>72</v>
      </c>
      <c r="B14" s="1" t="s">
        <v>196</v>
      </c>
      <c r="C14" s="1" t="s">
        <v>74</v>
      </c>
      <c r="D14" s="1" t="s">
        <v>74</v>
      </c>
      <c r="E14" s="1" t="s">
        <v>74</v>
      </c>
      <c r="F14" s="1" t="s">
        <v>197</v>
      </c>
      <c r="G14" s="1" t="s">
        <v>74</v>
      </c>
      <c r="H14" s="1" t="s">
        <v>74</v>
      </c>
      <c r="I14" s="1" t="s">
        <v>198</v>
      </c>
      <c r="J14" s="1" t="s">
        <v>199</v>
      </c>
      <c r="K14" s="1" t="s">
        <v>74</v>
      </c>
      <c r="L14" s="1" t="s">
        <v>74</v>
      </c>
      <c r="M14" s="1" t="s">
        <v>74</v>
      </c>
      <c r="N14" s="1" t="s">
        <v>74</v>
      </c>
      <c r="O14" s="1" t="s">
        <v>74</v>
      </c>
      <c r="P14" s="1" t="s">
        <v>74</v>
      </c>
      <c r="Q14" s="1" t="s">
        <v>74</v>
      </c>
      <c r="R14" s="1" t="s">
        <v>74</v>
      </c>
      <c r="S14" s="1" t="s">
        <v>74</v>
      </c>
      <c r="T14" s="1" t="s">
        <v>74</v>
      </c>
      <c r="U14" s="1" t="s">
        <v>74</v>
      </c>
      <c r="V14" s="1" t="s">
        <v>200</v>
      </c>
      <c r="W14" s="1" t="s">
        <v>74</v>
      </c>
      <c r="X14" s="1" t="s">
        <v>74</v>
      </c>
      <c r="Y14" s="1" t="s">
        <v>74</v>
      </c>
      <c r="Z14" s="1" t="s">
        <v>74</v>
      </c>
      <c r="AA14" s="1" t="s">
        <v>74</v>
      </c>
      <c r="AB14" s="1" t="s">
        <v>201</v>
      </c>
      <c r="AC14" s="1" t="s">
        <v>74</v>
      </c>
      <c r="AD14" s="1" t="s">
        <v>74</v>
      </c>
      <c r="AE14" s="1" t="s">
        <v>74</v>
      </c>
      <c r="AF14" s="1" t="s">
        <v>74</v>
      </c>
      <c r="AG14" s="1" t="s">
        <v>74</v>
      </c>
      <c r="AH14" s="1" t="s">
        <v>74</v>
      </c>
      <c r="AI14" s="1" t="s">
        <v>74</v>
      </c>
      <c r="AJ14" s="1" t="s">
        <v>74</v>
      </c>
      <c r="AK14" s="1" t="s">
        <v>74</v>
      </c>
      <c r="AL14" s="1" t="s">
        <v>74</v>
      </c>
      <c r="AM14" s="1" t="s">
        <v>74</v>
      </c>
      <c r="AN14" s="1" t="s">
        <v>74</v>
      </c>
      <c r="AO14" s="1" t="s">
        <v>202</v>
      </c>
      <c r="AP14" s="1" t="s">
        <v>74</v>
      </c>
      <c r="AQ14" s="1" t="s">
        <v>74</v>
      </c>
      <c r="AR14" s="1" t="s">
        <v>74</v>
      </c>
      <c r="AS14" s="1" t="s">
        <v>74</v>
      </c>
      <c r="AT14" s="1" t="s">
        <v>203</v>
      </c>
      <c r="AU14" s="1">
        <v>2019.0</v>
      </c>
      <c r="AV14" s="1" t="s">
        <v>74</v>
      </c>
      <c r="AW14" s="1">
        <v>79.0</v>
      </c>
      <c r="AX14" s="1" t="s">
        <v>74</v>
      </c>
      <c r="AY14" s="1" t="s">
        <v>74</v>
      </c>
      <c r="AZ14" s="1" t="s">
        <v>74</v>
      </c>
      <c r="BA14" s="1" t="s">
        <v>74</v>
      </c>
      <c r="BB14" s="1" t="s">
        <v>74</v>
      </c>
      <c r="BC14" s="1" t="s">
        <v>74</v>
      </c>
      <c r="BD14" s="1" t="s">
        <v>74</v>
      </c>
      <c r="BE14" s="1" t="s">
        <v>204</v>
      </c>
      <c r="BF14" s="2" t="str">
        <f>HYPERLINK("http://dx.doi.org/10.29101/crcs.v0i79.9496","http://dx.doi.org/10.29101/crcs.v0i79.9496")</f>
        <v>http://dx.doi.org/10.29101/crcs.v0i79.9496</v>
      </c>
      <c r="BG14" s="1" t="s">
        <v>74</v>
      </c>
      <c r="BH14" s="1" t="s">
        <v>74</v>
      </c>
      <c r="BI14" s="1" t="s">
        <v>74</v>
      </c>
      <c r="BJ14" s="1" t="s">
        <v>74</v>
      </c>
      <c r="BK14" s="1" t="s">
        <v>74</v>
      </c>
      <c r="BL14" s="1" t="s">
        <v>74</v>
      </c>
      <c r="BM14" s="1" t="s">
        <v>74</v>
      </c>
      <c r="BN14" s="1" t="s">
        <v>74</v>
      </c>
      <c r="BO14" s="1" t="s">
        <v>74</v>
      </c>
      <c r="BP14" s="1" t="s">
        <v>74</v>
      </c>
      <c r="BQ14" s="1" t="s">
        <v>74</v>
      </c>
      <c r="BR14" s="1" t="s">
        <v>74</v>
      </c>
      <c r="BS14" s="1" t="s">
        <v>205</v>
      </c>
      <c r="BT14" s="1" t="str">
        <f>HYPERLINK("https%3A%2F%2Fwww.webofscience.com%2Fwos%2Fwoscc%2Ffull-record%2FWOS:000452033300004","View Full Record in Web of Science")</f>
        <v>View Full Record in Web of Science</v>
      </c>
    </row>
    <row r="15" ht="12.75" customHeight="1">
      <c r="A15" s="1" t="s">
        <v>72</v>
      </c>
      <c r="B15" s="1" t="s">
        <v>206</v>
      </c>
      <c r="C15" s="1" t="s">
        <v>74</v>
      </c>
      <c r="D15" s="1" t="s">
        <v>74</v>
      </c>
      <c r="E15" s="1" t="s">
        <v>74</v>
      </c>
      <c r="F15" s="1" t="s">
        <v>207</v>
      </c>
      <c r="G15" s="1" t="s">
        <v>74</v>
      </c>
      <c r="H15" s="1" t="s">
        <v>74</v>
      </c>
      <c r="I15" s="1" t="s">
        <v>208</v>
      </c>
      <c r="J15" s="1" t="s">
        <v>209</v>
      </c>
      <c r="K15" s="1" t="s">
        <v>74</v>
      </c>
      <c r="L15" s="1" t="s">
        <v>74</v>
      </c>
      <c r="M15" s="1" t="s">
        <v>74</v>
      </c>
      <c r="N15" s="1" t="s">
        <v>74</v>
      </c>
      <c r="O15" s="1" t="s">
        <v>74</v>
      </c>
      <c r="P15" s="1" t="s">
        <v>74</v>
      </c>
      <c r="Q15" s="1" t="s">
        <v>74</v>
      </c>
      <c r="R15" s="1" t="s">
        <v>74</v>
      </c>
      <c r="S15" s="1" t="s">
        <v>74</v>
      </c>
      <c r="T15" s="1" t="s">
        <v>74</v>
      </c>
      <c r="U15" s="1" t="s">
        <v>74</v>
      </c>
      <c r="V15" s="1" t="s">
        <v>210</v>
      </c>
      <c r="W15" s="1" t="s">
        <v>74</v>
      </c>
      <c r="X15" s="1" t="s">
        <v>74</v>
      </c>
      <c r="Y15" s="1" t="s">
        <v>74</v>
      </c>
      <c r="Z15" s="1" t="s">
        <v>74</v>
      </c>
      <c r="AA15" s="1" t="s">
        <v>211</v>
      </c>
      <c r="AB15" s="1" t="s">
        <v>212</v>
      </c>
      <c r="AC15" s="1" t="s">
        <v>74</v>
      </c>
      <c r="AD15" s="1" t="s">
        <v>74</v>
      </c>
      <c r="AE15" s="1" t="s">
        <v>74</v>
      </c>
      <c r="AF15" s="1" t="s">
        <v>74</v>
      </c>
      <c r="AG15" s="1" t="s">
        <v>74</v>
      </c>
      <c r="AH15" s="1" t="s">
        <v>74</v>
      </c>
      <c r="AI15" s="1" t="s">
        <v>74</v>
      </c>
      <c r="AJ15" s="1" t="s">
        <v>74</v>
      </c>
      <c r="AK15" s="1" t="s">
        <v>74</v>
      </c>
      <c r="AL15" s="1" t="s">
        <v>74</v>
      </c>
      <c r="AM15" s="1" t="s">
        <v>74</v>
      </c>
      <c r="AN15" s="1" t="s">
        <v>74</v>
      </c>
      <c r="AO15" s="1" t="s">
        <v>213</v>
      </c>
      <c r="AP15" s="1" t="s">
        <v>214</v>
      </c>
      <c r="AQ15" s="1" t="s">
        <v>74</v>
      </c>
      <c r="AR15" s="1" t="s">
        <v>74</v>
      </c>
      <c r="AS15" s="1" t="s">
        <v>74</v>
      </c>
      <c r="AT15" s="1" t="s">
        <v>74</v>
      </c>
      <c r="AU15" s="1">
        <v>2019.0</v>
      </c>
      <c r="AV15" s="1">
        <v>195.0</v>
      </c>
      <c r="AW15" s="1">
        <v>794.0</v>
      </c>
      <c r="AX15" s="1" t="s">
        <v>74</v>
      </c>
      <c r="AY15" s="1" t="s">
        <v>74</v>
      </c>
      <c r="AZ15" s="1" t="s">
        <v>74</v>
      </c>
      <c r="BA15" s="1" t="s">
        <v>74</v>
      </c>
      <c r="BB15" s="1" t="s">
        <v>74</v>
      </c>
      <c r="BC15" s="1" t="s">
        <v>74</v>
      </c>
      <c r="BD15" s="1" t="s">
        <v>215</v>
      </c>
      <c r="BE15" s="1" t="s">
        <v>216</v>
      </c>
      <c r="BF15" s="2" t="str">
        <f>HYPERLINK("http://dx.doi.org/10.3989/arbor.2019.794n4004","http://dx.doi.org/10.3989/arbor.2019.794n4004")</f>
        <v>http://dx.doi.org/10.3989/arbor.2019.794n4004</v>
      </c>
      <c r="BG15" s="1" t="s">
        <v>74</v>
      </c>
      <c r="BH15" s="1" t="s">
        <v>74</v>
      </c>
      <c r="BI15" s="1" t="s">
        <v>74</v>
      </c>
      <c r="BJ15" s="1" t="s">
        <v>74</v>
      </c>
      <c r="BK15" s="1" t="s">
        <v>74</v>
      </c>
      <c r="BL15" s="1" t="s">
        <v>74</v>
      </c>
      <c r="BM15" s="1" t="s">
        <v>74</v>
      </c>
      <c r="BN15" s="1" t="s">
        <v>74</v>
      </c>
      <c r="BO15" s="1" t="s">
        <v>74</v>
      </c>
      <c r="BP15" s="1" t="s">
        <v>74</v>
      </c>
      <c r="BQ15" s="1" t="s">
        <v>74</v>
      </c>
      <c r="BR15" s="1" t="s">
        <v>74</v>
      </c>
      <c r="BS15" s="1" t="s">
        <v>217</v>
      </c>
      <c r="BT15" s="1" t="str">
        <f>HYPERLINK("https%3A%2F%2Fwww.webofscience.com%2Fwos%2Fwoscc%2Ffull-record%2FWOS:000503376400004","View Full Record in Web of Science")</f>
        <v>View Full Record in Web of Science</v>
      </c>
    </row>
    <row r="16" ht="12.75" customHeight="1">
      <c r="A16" s="1" t="s">
        <v>72</v>
      </c>
      <c r="B16" s="1" t="s">
        <v>218</v>
      </c>
      <c r="C16" s="1" t="s">
        <v>74</v>
      </c>
      <c r="D16" s="1" t="s">
        <v>74</v>
      </c>
      <c r="E16" s="1" t="s">
        <v>74</v>
      </c>
      <c r="F16" s="1" t="s">
        <v>219</v>
      </c>
      <c r="G16" s="1" t="s">
        <v>74</v>
      </c>
      <c r="H16" s="1" t="s">
        <v>74</v>
      </c>
      <c r="I16" s="1" t="s">
        <v>220</v>
      </c>
      <c r="J16" s="1" t="s">
        <v>221</v>
      </c>
      <c r="K16" s="1" t="s">
        <v>74</v>
      </c>
      <c r="L16" s="1" t="s">
        <v>74</v>
      </c>
      <c r="M16" s="1" t="s">
        <v>74</v>
      </c>
      <c r="N16" s="1" t="s">
        <v>74</v>
      </c>
      <c r="O16" s="1" t="s">
        <v>74</v>
      </c>
      <c r="P16" s="1" t="s">
        <v>74</v>
      </c>
      <c r="Q16" s="1" t="s">
        <v>74</v>
      </c>
      <c r="R16" s="1" t="s">
        <v>74</v>
      </c>
      <c r="S16" s="1" t="s">
        <v>74</v>
      </c>
      <c r="T16" s="1" t="s">
        <v>74</v>
      </c>
      <c r="U16" s="1" t="s">
        <v>74</v>
      </c>
      <c r="V16" s="1" t="s">
        <v>74</v>
      </c>
      <c r="W16" s="1" t="s">
        <v>74</v>
      </c>
      <c r="X16" s="1" t="s">
        <v>74</v>
      </c>
      <c r="Y16" s="1" t="s">
        <v>74</v>
      </c>
      <c r="Z16" s="1" t="s">
        <v>74</v>
      </c>
      <c r="AA16" s="1" t="s">
        <v>74</v>
      </c>
      <c r="AB16" s="1" t="s">
        <v>74</v>
      </c>
      <c r="AC16" s="1" t="s">
        <v>74</v>
      </c>
      <c r="AD16" s="1" t="s">
        <v>74</v>
      </c>
      <c r="AE16" s="1" t="s">
        <v>74</v>
      </c>
      <c r="AF16" s="1" t="s">
        <v>74</v>
      </c>
      <c r="AG16" s="1" t="s">
        <v>74</v>
      </c>
      <c r="AH16" s="1" t="s">
        <v>74</v>
      </c>
      <c r="AI16" s="1" t="s">
        <v>74</v>
      </c>
      <c r="AJ16" s="1" t="s">
        <v>74</v>
      </c>
      <c r="AK16" s="1" t="s">
        <v>74</v>
      </c>
      <c r="AL16" s="1" t="s">
        <v>74</v>
      </c>
      <c r="AM16" s="1" t="s">
        <v>74</v>
      </c>
      <c r="AN16" s="1" t="s">
        <v>74</v>
      </c>
      <c r="AO16" s="1" t="s">
        <v>222</v>
      </c>
      <c r="AP16" s="1" t="s">
        <v>223</v>
      </c>
      <c r="AQ16" s="1" t="s">
        <v>74</v>
      </c>
      <c r="AR16" s="1" t="s">
        <v>74</v>
      </c>
      <c r="AS16" s="1" t="s">
        <v>74</v>
      </c>
      <c r="AT16" s="1" t="s">
        <v>224</v>
      </c>
      <c r="AU16" s="1">
        <v>2018.0</v>
      </c>
      <c r="AV16" s="1">
        <v>50.0</v>
      </c>
      <c r="AW16" s="1">
        <v>2.0</v>
      </c>
      <c r="AX16" s="1" t="s">
        <v>74</v>
      </c>
      <c r="AY16" s="1" t="s">
        <v>74</v>
      </c>
      <c r="AZ16" s="1" t="s">
        <v>74</v>
      </c>
      <c r="BA16" s="1" t="s">
        <v>74</v>
      </c>
      <c r="BB16" s="1">
        <v>482.0</v>
      </c>
      <c r="BC16" s="1">
        <v>483.0</v>
      </c>
      <c r="BD16" s="1" t="s">
        <v>74</v>
      </c>
      <c r="BE16" s="1" t="s">
        <v>225</v>
      </c>
      <c r="BF16" s="2" t="str">
        <f>HYPERLINK("http://dx.doi.org/10.1017/S0022216X1800007X","http://dx.doi.org/10.1017/S0022216X1800007X")</f>
        <v>http://dx.doi.org/10.1017/S0022216X1800007X</v>
      </c>
      <c r="BG16" s="1" t="s">
        <v>74</v>
      </c>
      <c r="BH16" s="1" t="s">
        <v>74</v>
      </c>
      <c r="BI16" s="1" t="s">
        <v>74</v>
      </c>
      <c r="BJ16" s="1" t="s">
        <v>74</v>
      </c>
      <c r="BK16" s="1" t="s">
        <v>74</v>
      </c>
      <c r="BL16" s="1" t="s">
        <v>74</v>
      </c>
      <c r="BM16" s="1" t="s">
        <v>74</v>
      </c>
      <c r="BN16" s="1" t="s">
        <v>74</v>
      </c>
      <c r="BO16" s="1" t="s">
        <v>74</v>
      </c>
      <c r="BP16" s="1" t="s">
        <v>74</v>
      </c>
      <c r="BQ16" s="1" t="s">
        <v>74</v>
      </c>
      <c r="BR16" s="1" t="s">
        <v>74</v>
      </c>
      <c r="BS16" s="1" t="s">
        <v>226</v>
      </c>
      <c r="BT16" s="1" t="str">
        <f>HYPERLINK("https%3A%2F%2Fwww.webofscience.com%2Fwos%2Fwoscc%2Ffull-record%2FWOS:000430135400014","View Full Record in Web of Science")</f>
        <v>View Full Record in Web of Science</v>
      </c>
    </row>
    <row r="17" ht="12.75" customHeight="1">
      <c r="A17" s="1" t="s">
        <v>105</v>
      </c>
      <c r="B17" s="1" t="s">
        <v>227</v>
      </c>
      <c r="C17" s="1" t="s">
        <v>74</v>
      </c>
      <c r="D17" s="1" t="s">
        <v>74</v>
      </c>
      <c r="E17" s="1" t="s">
        <v>228</v>
      </c>
      <c r="F17" s="1" t="s">
        <v>229</v>
      </c>
      <c r="G17" s="1" t="s">
        <v>74</v>
      </c>
      <c r="H17" s="1" t="s">
        <v>74</v>
      </c>
      <c r="I17" s="1" t="s">
        <v>230</v>
      </c>
      <c r="J17" s="1" t="s">
        <v>231</v>
      </c>
      <c r="K17" s="1" t="s">
        <v>74</v>
      </c>
      <c r="L17" s="1" t="s">
        <v>74</v>
      </c>
      <c r="M17" s="1" t="s">
        <v>74</v>
      </c>
      <c r="N17" s="1" t="s">
        <v>74</v>
      </c>
      <c r="O17" s="1" t="s">
        <v>74</v>
      </c>
      <c r="P17" s="1" t="s">
        <v>74</v>
      </c>
      <c r="Q17" s="1" t="s">
        <v>74</v>
      </c>
      <c r="R17" s="1" t="s">
        <v>74</v>
      </c>
      <c r="S17" s="1" t="s">
        <v>74</v>
      </c>
      <c r="T17" s="1" t="s">
        <v>74</v>
      </c>
      <c r="U17" s="1" t="s">
        <v>74</v>
      </c>
      <c r="V17" s="1" t="s">
        <v>232</v>
      </c>
      <c r="W17" s="1" t="s">
        <v>74</v>
      </c>
      <c r="X17" s="1" t="s">
        <v>74</v>
      </c>
      <c r="Y17" s="1" t="s">
        <v>74</v>
      </c>
      <c r="Z17" s="1" t="s">
        <v>74</v>
      </c>
      <c r="AA17" s="1" t="s">
        <v>74</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74</v>
      </c>
      <c r="AP17" s="1" t="s">
        <v>74</v>
      </c>
      <c r="AQ17" s="1" t="s">
        <v>233</v>
      </c>
      <c r="AR17" s="1" t="s">
        <v>74</v>
      </c>
      <c r="AS17" s="1" t="s">
        <v>74</v>
      </c>
      <c r="AT17" s="1" t="s">
        <v>74</v>
      </c>
      <c r="AU17" s="1">
        <v>2018.0</v>
      </c>
      <c r="AV17" s="1" t="s">
        <v>74</v>
      </c>
      <c r="AW17" s="1" t="s">
        <v>74</v>
      </c>
      <c r="AX17" s="1" t="s">
        <v>74</v>
      </c>
      <c r="AY17" s="1" t="s">
        <v>74</v>
      </c>
      <c r="AZ17" s="1" t="s">
        <v>74</v>
      </c>
      <c r="BA17" s="1" t="s">
        <v>74</v>
      </c>
      <c r="BB17" s="1">
        <v>155.0</v>
      </c>
      <c r="BC17" s="1">
        <v>168.0</v>
      </c>
      <c r="BD17" s="1" t="s">
        <v>74</v>
      </c>
      <c r="BE17" s="1" t="s">
        <v>74</v>
      </c>
      <c r="BF17" s="1" t="s">
        <v>74</v>
      </c>
      <c r="BG17" s="1" t="s">
        <v>74</v>
      </c>
      <c r="BH17" s="1" t="s">
        <v>74</v>
      </c>
      <c r="BI17" s="1" t="s">
        <v>74</v>
      </c>
      <c r="BJ17" s="1" t="s">
        <v>74</v>
      </c>
      <c r="BK17" s="1" t="s">
        <v>74</v>
      </c>
      <c r="BL17" s="1" t="s">
        <v>74</v>
      </c>
      <c r="BM17" s="1" t="s">
        <v>74</v>
      </c>
      <c r="BN17" s="1" t="s">
        <v>74</v>
      </c>
      <c r="BO17" s="1" t="s">
        <v>74</v>
      </c>
      <c r="BP17" s="1" t="s">
        <v>74</v>
      </c>
      <c r="BQ17" s="1" t="s">
        <v>74</v>
      </c>
      <c r="BR17" s="1" t="s">
        <v>74</v>
      </c>
      <c r="BS17" s="1" t="s">
        <v>234</v>
      </c>
      <c r="BT17" s="1" t="str">
        <f>HYPERLINK("https%3A%2F%2Fwww.webofscience.com%2Fwos%2Fwoscc%2Ffull-record%2FWOS:000480327100011","View Full Record in Web of Science")</f>
        <v>View Full Record in Web of Science</v>
      </c>
    </row>
    <row r="18" ht="12.75" customHeight="1">
      <c r="A18" s="1" t="s">
        <v>72</v>
      </c>
      <c r="B18" s="1" t="s">
        <v>235</v>
      </c>
      <c r="C18" s="1" t="s">
        <v>74</v>
      </c>
      <c r="D18" s="1" t="s">
        <v>74</v>
      </c>
      <c r="E18" s="1" t="s">
        <v>74</v>
      </c>
      <c r="F18" s="1" t="s">
        <v>236</v>
      </c>
      <c r="G18" s="1" t="s">
        <v>74</v>
      </c>
      <c r="H18" s="1" t="s">
        <v>74</v>
      </c>
      <c r="I18" s="1" t="s">
        <v>237</v>
      </c>
      <c r="J18" s="1" t="s">
        <v>238</v>
      </c>
      <c r="K18" s="1" t="s">
        <v>74</v>
      </c>
      <c r="L18" s="1" t="s">
        <v>74</v>
      </c>
      <c r="M18" s="1" t="s">
        <v>74</v>
      </c>
      <c r="N18" s="1" t="s">
        <v>74</v>
      </c>
      <c r="O18" s="1" t="s">
        <v>74</v>
      </c>
      <c r="P18" s="1" t="s">
        <v>74</v>
      </c>
      <c r="Q18" s="1" t="s">
        <v>74</v>
      </c>
      <c r="R18" s="1" t="s">
        <v>74</v>
      </c>
      <c r="S18" s="1" t="s">
        <v>74</v>
      </c>
      <c r="T18" s="1" t="s">
        <v>74</v>
      </c>
      <c r="U18" s="1" t="s">
        <v>74</v>
      </c>
      <c r="V18" s="1" t="s">
        <v>239</v>
      </c>
      <c r="W18" s="1" t="s">
        <v>74</v>
      </c>
      <c r="X18" s="1" t="s">
        <v>74</v>
      </c>
      <c r="Y18" s="1" t="s">
        <v>74</v>
      </c>
      <c r="Z18" s="1" t="s">
        <v>74</v>
      </c>
      <c r="AA18" s="1" t="s">
        <v>240</v>
      </c>
      <c r="AB18" s="1" t="s">
        <v>241</v>
      </c>
      <c r="AC18" s="1" t="s">
        <v>74</v>
      </c>
      <c r="AD18" s="1" t="s">
        <v>74</v>
      </c>
      <c r="AE18" s="1" t="s">
        <v>74</v>
      </c>
      <c r="AF18" s="1" t="s">
        <v>74</v>
      </c>
      <c r="AG18" s="1" t="s">
        <v>74</v>
      </c>
      <c r="AH18" s="1" t="s">
        <v>74</v>
      </c>
      <c r="AI18" s="1" t="s">
        <v>74</v>
      </c>
      <c r="AJ18" s="1" t="s">
        <v>74</v>
      </c>
      <c r="AK18" s="1" t="s">
        <v>74</v>
      </c>
      <c r="AL18" s="1" t="s">
        <v>74</v>
      </c>
      <c r="AM18" s="1" t="s">
        <v>74</v>
      </c>
      <c r="AN18" s="1" t="s">
        <v>74</v>
      </c>
      <c r="AO18" s="1" t="s">
        <v>242</v>
      </c>
      <c r="AP18" s="1" t="s">
        <v>243</v>
      </c>
      <c r="AQ18" s="1" t="s">
        <v>74</v>
      </c>
      <c r="AR18" s="1" t="s">
        <v>74</v>
      </c>
      <c r="AS18" s="1" t="s">
        <v>74</v>
      </c>
      <c r="AT18" s="1" t="s">
        <v>244</v>
      </c>
      <c r="AU18" s="1">
        <v>2017.0</v>
      </c>
      <c r="AV18" s="1">
        <v>177.0</v>
      </c>
      <c r="AW18" s="1" t="s">
        <v>74</v>
      </c>
      <c r="AX18" s="1" t="s">
        <v>74</v>
      </c>
      <c r="AY18" s="1" t="s">
        <v>74</v>
      </c>
      <c r="AZ18" s="1" t="s">
        <v>74</v>
      </c>
      <c r="BA18" s="1" t="s">
        <v>74</v>
      </c>
      <c r="BB18" s="1">
        <v>200.0</v>
      </c>
      <c r="BC18" s="1">
        <v>206.0</v>
      </c>
      <c r="BD18" s="1" t="s">
        <v>74</v>
      </c>
      <c r="BE18" s="1" t="s">
        <v>245</v>
      </c>
      <c r="BF18" s="2" t="str">
        <f>HYPERLINK("http://dx.doi.org/10.1016/j.seppur.2016.12.045","http://dx.doi.org/10.1016/j.seppur.2016.12.045")</f>
        <v>http://dx.doi.org/10.1016/j.seppur.2016.12.045</v>
      </c>
      <c r="BG18" s="1" t="s">
        <v>74</v>
      </c>
      <c r="BH18" s="1" t="s">
        <v>74</v>
      </c>
      <c r="BI18" s="1" t="s">
        <v>74</v>
      </c>
      <c r="BJ18" s="1" t="s">
        <v>74</v>
      </c>
      <c r="BK18" s="1" t="s">
        <v>74</v>
      </c>
      <c r="BL18" s="1" t="s">
        <v>74</v>
      </c>
      <c r="BM18" s="1" t="s">
        <v>74</v>
      </c>
      <c r="BN18" s="1" t="s">
        <v>74</v>
      </c>
      <c r="BO18" s="1" t="s">
        <v>74</v>
      </c>
      <c r="BP18" s="1" t="s">
        <v>74</v>
      </c>
      <c r="BQ18" s="1" t="s">
        <v>74</v>
      </c>
      <c r="BR18" s="1" t="s">
        <v>74</v>
      </c>
      <c r="BS18" s="1" t="s">
        <v>246</v>
      </c>
      <c r="BT18" s="1" t="str">
        <f>HYPERLINK("https%3A%2F%2Fwww.webofscience.com%2Fwos%2Fwoscc%2Ffull-record%2FWOS:000393534600022","View Full Record in Web of Science")</f>
        <v>View Full Record in Web of Science</v>
      </c>
    </row>
    <row r="19" ht="12.75" customHeight="1">
      <c r="A19" s="1" t="s">
        <v>72</v>
      </c>
      <c r="B19" s="1" t="s">
        <v>247</v>
      </c>
      <c r="C19" s="1" t="s">
        <v>74</v>
      </c>
      <c r="D19" s="1" t="s">
        <v>74</v>
      </c>
      <c r="E19" s="1" t="s">
        <v>74</v>
      </c>
      <c r="F19" s="1" t="s">
        <v>248</v>
      </c>
      <c r="G19" s="1" t="s">
        <v>74</v>
      </c>
      <c r="H19" s="1" t="s">
        <v>74</v>
      </c>
      <c r="I19" s="1" t="s">
        <v>249</v>
      </c>
      <c r="J19" s="1" t="s">
        <v>250</v>
      </c>
      <c r="K19" s="1" t="s">
        <v>74</v>
      </c>
      <c r="L19" s="1" t="s">
        <v>74</v>
      </c>
      <c r="M19" s="1" t="s">
        <v>74</v>
      </c>
      <c r="N19" s="1" t="s">
        <v>74</v>
      </c>
      <c r="O19" s="1" t="s">
        <v>74</v>
      </c>
      <c r="P19" s="1" t="s">
        <v>74</v>
      </c>
      <c r="Q19" s="1" t="s">
        <v>74</v>
      </c>
      <c r="R19" s="1" t="s">
        <v>74</v>
      </c>
      <c r="S19" s="1" t="s">
        <v>74</v>
      </c>
      <c r="T19" s="1" t="s">
        <v>74</v>
      </c>
      <c r="U19" s="1" t="s">
        <v>74</v>
      </c>
      <c r="V19" s="1" t="s">
        <v>251</v>
      </c>
      <c r="W19" s="1" t="s">
        <v>74</v>
      </c>
      <c r="X19" s="1" t="s">
        <v>74</v>
      </c>
      <c r="Y19" s="1" t="s">
        <v>74</v>
      </c>
      <c r="Z19" s="1" t="s">
        <v>74</v>
      </c>
      <c r="AA19" s="1" t="s">
        <v>252</v>
      </c>
      <c r="AB19" s="1" t="s">
        <v>253</v>
      </c>
      <c r="AC19" s="1" t="s">
        <v>74</v>
      </c>
      <c r="AD19" s="1" t="s">
        <v>74</v>
      </c>
      <c r="AE19" s="1" t="s">
        <v>74</v>
      </c>
      <c r="AF19" s="1" t="s">
        <v>74</v>
      </c>
      <c r="AG19" s="1" t="s">
        <v>74</v>
      </c>
      <c r="AH19" s="1" t="s">
        <v>74</v>
      </c>
      <c r="AI19" s="1" t="s">
        <v>74</v>
      </c>
      <c r="AJ19" s="1" t="s">
        <v>74</v>
      </c>
      <c r="AK19" s="1" t="s">
        <v>74</v>
      </c>
      <c r="AL19" s="1" t="s">
        <v>74</v>
      </c>
      <c r="AM19" s="1" t="s">
        <v>74</v>
      </c>
      <c r="AN19" s="1" t="s">
        <v>74</v>
      </c>
      <c r="AO19" s="1" t="s">
        <v>254</v>
      </c>
      <c r="AP19" s="1" t="s">
        <v>255</v>
      </c>
      <c r="AQ19" s="1" t="s">
        <v>74</v>
      </c>
      <c r="AR19" s="1" t="s">
        <v>74</v>
      </c>
      <c r="AS19" s="1" t="s">
        <v>74</v>
      </c>
      <c r="AT19" s="1" t="s">
        <v>256</v>
      </c>
      <c r="AU19" s="1">
        <v>2017.0</v>
      </c>
      <c r="AV19" s="1">
        <v>93.0</v>
      </c>
      <c r="AW19" s="1">
        <v>3.0</v>
      </c>
      <c r="AX19" s="1" t="s">
        <v>74</v>
      </c>
      <c r="AY19" s="1" t="s">
        <v>74</v>
      </c>
      <c r="AZ19" s="1" t="s">
        <v>74</v>
      </c>
      <c r="BA19" s="1" t="s">
        <v>74</v>
      </c>
      <c r="BB19" s="1" t="s">
        <v>74</v>
      </c>
      <c r="BC19" s="1" t="s">
        <v>74</v>
      </c>
      <c r="BD19" s="1" t="s">
        <v>257</v>
      </c>
      <c r="BE19" s="1" t="s">
        <v>258</v>
      </c>
      <c r="BF19" s="2" t="str">
        <f>HYPERLINK("http://dx.doi.org/10.1093/femsec/fix001","http://dx.doi.org/10.1093/femsec/fix001")</f>
        <v>http://dx.doi.org/10.1093/femsec/fix001</v>
      </c>
      <c r="BG19" s="1" t="s">
        <v>74</v>
      </c>
      <c r="BH19" s="1" t="s">
        <v>74</v>
      </c>
      <c r="BI19" s="1" t="s">
        <v>74</v>
      </c>
      <c r="BJ19" s="1" t="s">
        <v>74</v>
      </c>
      <c r="BK19" s="1" t="s">
        <v>74</v>
      </c>
      <c r="BL19" s="1" t="s">
        <v>74</v>
      </c>
      <c r="BM19" s="1" t="s">
        <v>74</v>
      </c>
      <c r="BN19" s="1">
        <v>2.8087802E7</v>
      </c>
      <c r="BO19" s="1" t="s">
        <v>74</v>
      </c>
      <c r="BP19" s="1" t="s">
        <v>74</v>
      </c>
      <c r="BQ19" s="1" t="s">
        <v>74</v>
      </c>
      <c r="BR19" s="1" t="s">
        <v>74</v>
      </c>
      <c r="BS19" s="1" t="s">
        <v>259</v>
      </c>
      <c r="BT19" s="1" t="str">
        <f>HYPERLINK("https%3A%2F%2Fwww.webofscience.com%2Fwos%2Fwoscc%2Ffull-record%2FWOS:000397434400007","View Full Record in Web of Science")</f>
        <v>View Full Record in Web of Science</v>
      </c>
    </row>
    <row r="20" ht="12.75" customHeight="1">
      <c r="A20" s="1" t="s">
        <v>72</v>
      </c>
      <c r="B20" s="1" t="s">
        <v>260</v>
      </c>
      <c r="C20" s="1" t="s">
        <v>74</v>
      </c>
      <c r="D20" s="1" t="s">
        <v>74</v>
      </c>
      <c r="E20" s="1" t="s">
        <v>74</v>
      </c>
      <c r="F20" s="1" t="s">
        <v>261</v>
      </c>
      <c r="G20" s="1" t="s">
        <v>74</v>
      </c>
      <c r="H20" s="1" t="s">
        <v>74</v>
      </c>
      <c r="I20" s="1" t="s">
        <v>262</v>
      </c>
      <c r="J20" s="1" t="s">
        <v>263</v>
      </c>
      <c r="K20" s="1" t="s">
        <v>74</v>
      </c>
      <c r="L20" s="1" t="s">
        <v>74</v>
      </c>
      <c r="M20" s="1" t="s">
        <v>74</v>
      </c>
      <c r="N20" s="1" t="s">
        <v>74</v>
      </c>
      <c r="O20" s="1" t="s">
        <v>74</v>
      </c>
      <c r="P20" s="1" t="s">
        <v>74</v>
      </c>
      <c r="Q20" s="1" t="s">
        <v>74</v>
      </c>
      <c r="R20" s="1" t="s">
        <v>74</v>
      </c>
      <c r="S20" s="1" t="s">
        <v>74</v>
      </c>
      <c r="T20" s="1" t="s">
        <v>74</v>
      </c>
      <c r="U20" s="1" t="s">
        <v>74</v>
      </c>
      <c r="V20" s="1" t="s">
        <v>264</v>
      </c>
      <c r="W20" s="1" t="s">
        <v>74</v>
      </c>
      <c r="X20" s="1" t="s">
        <v>74</v>
      </c>
      <c r="Y20" s="1" t="s">
        <v>74</v>
      </c>
      <c r="Z20" s="1" t="s">
        <v>74</v>
      </c>
      <c r="AA20" s="1" t="s">
        <v>74</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265</v>
      </c>
      <c r="AP20" s="1" t="s">
        <v>266</v>
      </c>
      <c r="AQ20" s="1" t="s">
        <v>74</v>
      </c>
      <c r="AR20" s="1" t="s">
        <v>74</v>
      </c>
      <c r="AS20" s="1" t="s">
        <v>74</v>
      </c>
      <c r="AT20" s="1" t="s">
        <v>74</v>
      </c>
      <c r="AU20" s="1">
        <v>2017.0</v>
      </c>
      <c r="AV20" s="1">
        <v>43.0</v>
      </c>
      <c r="AW20" s="1">
        <v>5.0</v>
      </c>
      <c r="AX20" s="1" t="s">
        <v>74</v>
      </c>
      <c r="AY20" s="1" t="s">
        <v>74</v>
      </c>
      <c r="AZ20" s="1" t="s">
        <v>74</v>
      </c>
      <c r="BA20" s="1" t="s">
        <v>74</v>
      </c>
      <c r="BB20" s="1">
        <v>520.0</v>
      </c>
      <c r="BC20" s="1">
        <v>533.0</v>
      </c>
      <c r="BD20" s="1" t="s">
        <v>74</v>
      </c>
      <c r="BE20" s="1" t="s">
        <v>267</v>
      </c>
      <c r="BF20" s="2" t="str">
        <f>HYPERLINK("http://dx.doi.org/10.1080/02607476.2017.1355032","http://dx.doi.org/10.1080/02607476.2017.1355032")</f>
        <v>http://dx.doi.org/10.1080/02607476.2017.1355032</v>
      </c>
      <c r="BG20" s="1" t="s">
        <v>74</v>
      </c>
      <c r="BH20" s="1" t="s">
        <v>74</v>
      </c>
      <c r="BI20" s="1" t="s">
        <v>74</v>
      </c>
      <c r="BJ20" s="1" t="s">
        <v>74</v>
      </c>
      <c r="BK20" s="1" t="s">
        <v>74</v>
      </c>
      <c r="BL20" s="1" t="s">
        <v>74</v>
      </c>
      <c r="BM20" s="1" t="s">
        <v>74</v>
      </c>
      <c r="BN20" s="1" t="s">
        <v>74</v>
      </c>
      <c r="BO20" s="1" t="s">
        <v>74</v>
      </c>
      <c r="BP20" s="1" t="s">
        <v>74</v>
      </c>
      <c r="BQ20" s="1" t="s">
        <v>74</v>
      </c>
      <c r="BR20" s="1" t="s">
        <v>74</v>
      </c>
      <c r="BS20" s="1" t="s">
        <v>268</v>
      </c>
      <c r="BT20" s="1" t="str">
        <f>HYPERLINK("https%3A%2F%2Fwww.webofscience.com%2Fwos%2Fwoscc%2Ffull-record%2FWOS:000415636100003","View Full Record in Web of Science")</f>
        <v>View Full Record in Web of Science</v>
      </c>
    </row>
    <row r="21" ht="12.75" customHeight="1">
      <c r="A21" s="1" t="s">
        <v>72</v>
      </c>
      <c r="B21" s="1" t="s">
        <v>269</v>
      </c>
      <c r="C21" s="1" t="s">
        <v>74</v>
      </c>
      <c r="D21" s="1" t="s">
        <v>74</v>
      </c>
      <c r="E21" s="1" t="s">
        <v>74</v>
      </c>
      <c r="F21" s="1" t="s">
        <v>270</v>
      </c>
      <c r="G21" s="1" t="s">
        <v>74</v>
      </c>
      <c r="H21" s="1" t="s">
        <v>74</v>
      </c>
      <c r="I21" s="1" t="s">
        <v>271</v>
      </c>
      <c r="J21" s="1" t="s">
        <v>272</v>
      </c>
      <c r="K21" s="1" t="s">
        <v>74</v>
      </c>
      <c r="L21" s="1" t="s">
        <v>74</v>
      </c>
      <c r="M21" s="1" t="s">
        <v>74</v>
      </c>
      <c r="N21" s="1" t="s">
        <v>74</v>
      </c>
      <c r="O21" s="1" t="s">
        <v>74</v>
      </c>
      <c r="P21" s="1" t="s">
        <v>74</v>
      </c>
      <c r="Q21" s="1" t="s">
        <v>74</v>
      </c>
      <c r="R21" s="1" t="s">
        <v>74</v>
      </c>
      <c r="S21" s="1" t="s">
        <v>74</v>
      </c>
      <c r="T21" s="1" t="s">
        <v>74</v>
      </c>
      <c r="U21" s="1" t="s">
        <v>74</v>
      </c>
      <c r="V21" s="1" t="s">
        <v>273</v>
      </c>
      <c r="W21" s="1" t="s">
        <v>74</v>
      </c>
      <c r="X21" s="1" t="s">
        <v>74</v>
      </c>
      <c r="Y21" s="1" t="s">
        <v>74</v>
      </c>
      <c r="Z21" s="1" t="s">
        <v>74</v>
      </c>
      <c r="AA21" s="1" t="s">
        <v>74</v>
      </c>
      <c r="AB21" s="1" t="s">
        <v>74</v>
      </c>
      <c r="AC21" s="1" t="s">
        <v>74</v>
      </c>
      <c r="AD21" s="1" t="s">
        <v>74</v>
      </c>
      <c r="AE21" s="1" t="s">
        <v>74</v>
      </c>
      <c r="AF21" s="1" t="s">
        <v>74</v>
      </c>
      <c r="AG21" s="1" t="s">
        <v>74</v>
      </c>
      <c r="AH21" s="1" t="s">
        <v>74</v>
      </c>
      <c r="AI21" s="1" t="s">
        <v>74</v>
      </c>
      <c r="AJ21" s="1" t="s">
        <v>74</v>
      </c>
      <c r="AK21" s="1" t="s">
        <v>74</v>
      </c>
      <c r="AL21" s="1" t="s">
        <v>74</v>
      </c>
      <c r="AM21" s="1" t="s">
        <v>74</v>
      </c>
      <c r="AN21" s="1" t="s">
        <v>74</v>
      </c>
      <c r="AO21" s="1" t="s">
        <v>274</v>
      </c>
      <c r="AP21" s="1" t="s">
        <v>275</v>
      </c>
      <c r="AQ21" s="1" t="s">
        <v>74</v>
      </c>
      <c r="AR21" s="1" t="s">
        <v>74</v>
      </c>
      <c r="AS21" s="1" t="s">
        <v>74</v>
      </c>
      <c r="AT21" s="1" t="s">
        <v>276</v>
      </c>
      <c r="AU21" s="1">
        <v>2016.0</v>
      </c>
      <c r="AV21" s="1">
        <v>354.0</v>
      </c>
      <c r="AW21" s="1">
        <v>10.0</v>
      </c>
      <c r="AX21" s="1" t="s">
        <v>74</v>
      </c>
      <c r="AY21" s="1" t="s">
        <v>74</v>
      </c>
      <c r="AZ21" s="1" t="s">
        <v>74</v>
      </c>
      <c r="BA21" s="1" t="s">
        <v>74</v>
      </c>
      <c r="BB21" s="1">
        <v>976.0</v>
      </c>
      <c r="BC21" s="1">
        <v>979.0</v>
      </c>
      <c r="BD21" s="1" t="s">
        <v>74</v>
      </c>
      <c r="BE21" s="1" t="s">
        <v>277</v>
      </c>
      <c r="BF21" s="2" t="str">
        <f>HYPERLINK("http://dx.doi.org/10.1016/j.crma.2016.08.010","http://dx.doi.org/10.1016/j.crma.2016.08.010")</f>
        <v>http://dx.doi.org/10.1016/j.crma.2016.08.010</v>
      </c>
      <c r="BG21" s="1" t="s">
        <v>74</v>
      </c>
      <c r="BH21" s="1" t="s">
        <v>74</v>
      </c>
      <c r="BI21" s="1" t="s">
        <v>74</v>
      </c>
      <c r="BJ21" s="1" t="s">
        <v>74</v>
      </c>
      <c r="BK21" s="1" t="s">
        <v>74</v>
      </c>
      <c r="BL21" s="1" t="s">
        <v>74</v>
      </c>
      <c r="BM21" s="1" t="s">
        <v>74</v>
      </c>
      <c r="BN21" s="1" t="s">
        <v>74</v>
      </c>
      <c r="BO21" s="1" t="s">
        <v>74</v>
      </c>
      <c r="BP21" s="1" t="s">
        <v>74</v>
      </c>
      <c r="BQ21" s="1" t="s">
        <v>74</v>
      </c>
      <c r="BR21" s="1" t="s">
        <v>74</v>
      </c>
      <c r="BS21" s="1" t="s">
        <v>278</v>
      </c>
      <c r="BT21" s="1" t="str">
        <f>HYPERLINK("https%3A%2F%2Fwww.webofscience.com%2Fwos%2Fwoscc%2Ffull-record%2FWOS:000385849400003","View Full Record in Web of Science")</f>
        <v>View Full Record in Web of Science</v>
      </c>
    </row>
    <row r="22" ht="12.75" customHeight="1">
      <c r="A22" s="1" t="s">
        <v>72</v>
      </c>
      <c r="B22" s="1" t="s">
        <v>279</v>
      </c>
      <c r="C22" s="1" t="s">
        <v>74</v>
      </c>
      <c r="D22" s="1" t="s">
        <v>74</v>
      </c>
      <c r="E22" s="1" t="s">
        <v>74</v>
      </c>
      <c r="F22" s="1" t="s">
        <v>280</v>
      </c>
      <c r="G22" s="1" t="s">
        <v>74</v>
      </c>
      <c r="H22" s="1" t="s">
        <v>74</v>
      </c>
      <c r="I22" s="1" t="s">
        <v>281</v>
      </c>
      <c r="J22" s="1" t="s">
        <v>282</v>
      </c>
      <c r="K22" s="1" t="s">
        <v>74</v>
      </c>
      <c r="L22" s="1" t="s">
        <v>74</v>
      </c>
      <c r="M22" s="1" t="s">
        <v>74</v>
      </c>
      <c r="N22" s="1" t="s">
        <v>74</v>
      </c>
      <c r="O22" s="1" t="s">
        <v>74</v>
      </c>
      <c r="P22" s="1" t="s">
        <v>74</v>
      </c>
      <c r="Q22" s="1" t="s">
        <v>74</v>
      </c>
      <c r="R22" s="1" t="s">
        <v>74</v>
      </c>
      <c r="S22" s="1" t="s">
        <v>74</v>
      </c>
      <c r="T22" s="1" t="s">
        <v>74</v>
      </c>
      <c r="U22" s="1" t="s">
        <v>74</v>
      </c>
      <c r="V22" s="1" t="s">
        <v>283</v>
      </c>
      <c r="W22" s="1" t="s">
        <v>74</v>
      </c>
      <c r="X22" s="1" t="s">
        <v>74</v>
      </c>
      <c r="Y22" s="1" t="s">
        <v>74</v>
      </c>
      <c r="Z22" s="1" t="s">
        <v>74</v>
      </c>
      <c r="AA22" s="1" t="s">
        <v>284</v>
      </c>
      <c r="AB22" s="1" t="s">
        <v>285</v>
      </c>
      <c r="AC22" s="1" t="s">
        <v>74</v>
      </c>
      <c r="AD22" s="1" t="s">
        <v>74</v>
      </c>
      <c r="AE22" s="1" t="s">
        <v>74</v>
      </c>
      <c r="AF22" s="1" t="s">
        <v>74</v>
      </c>
      <c r="AG22" s="1" t="s">
        <v>74</v>
      </c>
      <c r="AH22" s="1" t="s">
        <v>74</v>
      </c>
      <c r="AI22" s="1" t="s">
        <v>74</v>
      </c>
      <c r="AJ22" s="1" t="s">
        <v>74</v>
      </c>
      <c r="AK22" s="1" t="s">
        <v>74</v>
      </c>
      <c r="AL22" s="1" t="s">
        <v>74</v>
      </c>
      <c r="AM22" s="1" t="s">
        <v>74</v>
      </c>
      <c r="AN22" s="1" t="s">
        <v>74</v>
      </c>
      <c r="AO22" s="1" t="s">
        <v>286</v>
      </c>
      <c r="AP22" s="1" t="s">
        <v>287</v>
      </c>
      <c r="AQ22" s="1" t="s">
        <v>74</v>
      </c>
      <c r="AR22" s="1" t="s">
        <v>74</v>
      </c>
      <c r="AS22" s="1" t="s">
        <v>74</v>
      </c>
      <c r="AT22" s="1" t="s">
        <v>158</v>
      </c>
      <c r="AU22" s="1">
        <v>2016.0</v>
      </c>
      <c r="AV22" s="1">
        <v>91.0</v>
      </c>
      <c r="AW22" s="1" t="s">
        <v>74</v>
      </c>
      <c r="AX22" s="1" t="s">
        <v>74</v>
      </c>
      <c r="AY22" s="1" t="s">
        <v>74</v>
      </c>
      <c r="AZ22" s="1" t="s">
        <v>74</v>
      </c>
      <c r="BA22" s="1" t="s">
        <v>74</v>
      </c>
      <c r="BB22" s="1">
        <v>266.0</v>
      </c>
      <c r="BC22" s="1">
        <v>275.0</v>
      </c>
      <c r="BD22" s="1" t="s">
        <v>74</v>
      </c>
      <c r="BE22" s="1" t="s">
        <v>288</v>
      </c>
      <c r="BF22" s="2" t="str">
        <f>HYPERLINK("http://dx.doi.org/10.1016/j.measurement.2016.05.055","http://dx.doi.org/10.1016/j.measurement.2016.05.055")</f>
        <v>http://dx.doi.org/10.1016/j.measurement.2016.05.055</v>
      </c>
      <c r="BG22" s="1" t="s">
        <v>74</v>
      </c>
      <c r="BH22" s="1" t="s">
        <v>74</v>
      </c>
      <c r="BI22" s="1" t="s">
        <v>74</v>
      </c>
      <c r="BJ22" s="1" t="s">
        <v>74</v>
      </c>
      <c r="BK22" s="1" t="s">
        <v>74</v>
      </c>
      <c r="BL22" s="1" t="s">
        <v>74</v>
      </c>
      <c r="BM22" s="1" t="s">
        <v>74</v>
      </c>
      <c r="BN22" s="1" t="s">
        <v>74</v>
      </c>
      <c r="BO22" s="1" t="s">
        <v>74</v>
      </c>
      <c r="BP22" s="1" t="s">
        <v>74</v>
      </c>
      <c r="BQ22" s="1" t="s">
        <v>74</v>
      </c>
      <c r="BR22" s="1" t="s">
        <v>74</v>
      </c>
      <c r="BS22" s="1" t="s">
        <v>289</v>
      </c>
      <c r="BT22" s="1" t="str">
        <f>HYPERLINK("https%3A%2F%2Fwww.webofscience.com%2Fwos%2Fwoscc%2Ffull-record%2FWOS:000379507400032","View Full Record in Web of Science")</f>
        <v>View Full Record in Web of Science</v>
      </c>
    </row>
    <row r="23" ht="12.75" customHeight="1">
      <c r="A23" s="1" t="s">
        <v>126</v>
      </c>
      <c r="B23" s="1" t="s">
        <v>290</v>
      </c>
      <c r="C23" s="1" t="s">
        <v>74</v>
      </c>
      <c r="D23" s="1" t="s">
        <v>291</v>
      </c>
      <c r="E23" s="1" t="s">
        <v>74</v>
      </c>
      <c r="F23" s="1" t="s">
        <v>292</v>
      </c>
      <c r="G23" s="1" t="s">
        <v>74</v>
      </c>
      <c r="H23" s="1" t="s">
        <v>74</v>
      </c>
      <c r="I23" s="1" t="s">
        <v>293</v>
      </c>
      <c r="J23" s="1" t="s">
        <v>294</v>
      </c>
      <c r="K23" s="1" t="s">
        <v>74</v>
      </c>
      <c r="L23" s="1" t="s">
        <v>74</v>
      </c>
      <c r="M23" s="1" t="s">
        <v>74</v>
      </c>
      <c r="N23" s="1" t="s">
        <v>74</v>
      </c>
      <c r="O23" s="1" t="s">
        <v>295</v>
      </c>
      <c r="P23" s="1" t="s">
        <v>296</v>
      </c>
      <c r="Q23" s="1" t="s">
        <v>297</v>
      </c>
      <c r="R23" s="1" t="s">
        <v>298</v>
      </c>
      <c r="S23" s="1" t="s">
        <v>74</v>
      </c>
      <c r="T23" s="1" t="s">
        <v>74</v>
      </c>
      <c r="U23" s="1" t="s">
        <v>74</v>
      </c>
      <c r="V23" s="1" t="s">
        <v>299</v>
      </c>
      <c r="W23" s="1" t="s">
        <v>74</v>
      </c>
      <c r="X23" s="1" t="s">
        <v>74</v>
      </c>
      <c r="Y23" s="1" t="s">
        <v>74</v>
      </c>
      <c r="Z23" s="1" t="s">
        <v>74</v>
      </c>
      <c r="AA23" s="1" t="s">
        <v>74</v>
      </c>
      <c r="AB23" s="1" t="s">
        <v>74</v>
      </c>
      <c r="AC23" s="1" t="s">
        <v>74</v>
      </c>
      <c r="AD23" s="1" t="s">
        <v>74</v>
      </c>
      <c r="AE23" s="1" t="s">
        <v>74</v>
      </c>
      <c r="AF23" s="1" t="s">
        <v>74</v>
      </c>
      <c r="AG23" s="1" t="s">
        <v>74</v>
      </c>
      <c r="AH23" s="1" t="s">
        <v>74</v>
      </c>
      <c r="AI23" s="1" t="s">
        <v>74</v>
      </c>
      <c r="AJ23" s="1" t="s">
        <v>74</v>
      </c>
      <c r="AK23" s="1" t="s">
        <v>74</v>
      </c>
      <c r="AL23" s="1" t="s">
        <v>74</v>
      </c>
      <c r="AM23" s="1" t="s">
        <v>74</v>
      </c>
      <c r="AN23" s="1" t="s">
        <v>74</v>
      </c>
      <c r="AO23" s="1" t="s">
        <v>74</v>
      </c>
      <c r="AP23" s="1" t="s">
        <v>74</v>
      </c>
      <c r="AQ23" s="1" t="s">
        <v>300</v>
      </c>
      <c r="AR23" s="1" t="s">
        <v>74</v>
      </c>
      <c r="AS23" s="1" t="s">
        <v>74</v>
      </c>
      <c r="AT23" s="1" t="s">
        <v>74</v>
      </c>
      <c r="AU23" s="1">
        <v>2016.0</v>
      </c>
      <c r="AV23" s="1" t="s">
        <v>74</v>
      </c>
      <c r="AW23" s="1" t="s">
        <v>74</v>
      </c>
      <c r="AX23" s="1" t="s">
        <v>74</v>
      </c>
      <c r="AY23" s="1" t="s">
        <v>74</v>
      </c>
      <c r="AZ23" s="1" t="s">
        <v>74</v>
      </c>
      <c r="BA23" s="1" t="s">
        <v>74</v>
      </c>
      <c r="BB23" s="1" t="s">
        <v>74</v>
      </c>
      <c r="BC23" s="1" t="s">
        <v>74</v>
      </c>
      <c r="BD23" s="1" t="s">
        <v>74</v>
      </c>
      <c r="BE23" s="1" t="s">
        <v>74</v>
      </c>
      <c r="BF23" s="1" t="s">
        <v>74</v>
      </c>
      <c r="BG23" s="1" t="s">
        <v>74</v>
      </c>
      <c r="BH23" s="1" t="s">
        <v>74</v>
      </c>
      <c r="BI23" s="1" t="s">
        <v>74</v>
      </c>
      <c r="BJ23" s="1" t="s">
        <v>74</v>
      </c>
      <c r="BK23" s="1" t="s">
        <v>74</v>
      </c>
      <c r="BL23" s="1" t="s">
        <v>74</v>
      </c>
      <c r="BM23" s="1" t="s">
        <v>74</v>
      </c>
      <c r="BN23" s="1" t="s">
        <v>74</v>
      </c>
      <c r="BO23" s="1" t="s">
        <v>74</v>
      </c>
      <c r="BP23" s="1" t="s">
        <v>74</v>
      </c>
      <c r="BQ23" s="1" t="s">
        <v>74</v>
      </c>
      <c r="BR23" s="1" t="s">
        <v>74</v>
      </c>
      <c r="BS23" s="1" t="s">
        <v>301</v>
      </c>
      <c r="BT23" s="1" t="str">
        <f>HYPERLINK("https%3A%2F%2Fwww.webofscience.com%2Fwos%2Fwoscc%2Ffull-record%2FWOS:000402174700025","View Full Record in Web of Science")</f>
        <v>View Full Record in Web of Science</v>
      </c>
    </row>
    <row r="24" ht="12.75" customHeight="1">
      <c r="A24" s="1" t="s">
        <v>72</v>
      </c>
      <c r="B24" s="1" t="s">
        <v>302</v>
      </c>
      <c r="C24" s="1" t="s">
        <v>74</v>
      </c>
      <c r="D24" s="1" t="s">
        <v>74</v>
      </c>
      <c r="E24" s="1" t="s">
        <v>74</v>
      </c>
      <c r="F24" s="1" t="s">
        <v>303</v>
      </c>
      <c r="G24" s="1" t="s">
        <v>74</v>
      </c>
      <c r="H24" s="1" t="s">
        <v>74</v>
      </c>
      <c r="I24" s="1" t="s">
        <v>304</v>
      </c>
      <c r="J24" s="1" t="s">
        <v>305</v>
      </c>
      <c r="K24" s="1" t="s">
        <v>74</v>
      </c>
      <c r="L24" s="1" t="s">
        <v>74</v>
      </c>
      <c r="M24" s="1" t="s">
        <v>74</v>
      </c>
      <c r="N24" s="1" t="s">
        <v>74</v>
      </c>
      <c r="O24" s="1" t="s">
        <v>74</v>
      </c>
      <c r="P24" s="1" t="s">
        <v>74</v>
      </c>
      <c r="Q24" s="1" t="s">
        <v>74</v>
      </c>
      <c r="R24" s="1" t="s">
        <v>74</v>
      </c>
      <c r="S24" s="1" t="s">
        <v>74</v>
      </c>
      <c r="T24" s="1" t="s">
        <v>74</v>
      </c>
      <c r="U24" s="1" t="s">
        <v>74</v>
      </c>
      <c r="V24" s="1" t="s">
        <v>306</v>
      </c>
      <c r="W24" s="1" t="s">
        <v>74</v>
      </c>
      <c r="X24" s="1" t="s">
        <v>74</v>
      </c>
      <c r="Y24" s="1" t="s">
        <v>74</v>
      </c>
      <c r="Z24" s="1" t="s">
        <v>74</v>
      </c>
      <c r="AA24" s="1" t="s">
        <v>74</v>
      </c>
      <c r="AB24" s="1" t="s">
        <v>74</v>
      </c>
      <c r="AC24" s="1" t="s">
        <v>74</v>
      </c>
      <c r="AD24" s="1" t="s">
        <v>74</v>
      </c>
      <c r="AE24" s="1" t="s">
        <v>74</v>
      </c>
      <c r="AF24" s="1" t="s">
        <v>74</v>
      </c>
      <c r="AG24" s="1" t="s">
        <v>74</v>
      </c>
      <c r="AH24" s="1" t="s">
        <v>74</v>
      </c>
      <c r="AI24" s="1" t="s">
        <v>74</v>
      </c>
      <c r="AJ24" s="1" t="s">
        <v>74</v>
      </c>
      <c r="AK24" s="1" t="s">
        <v>74</v>
      </c>
      <c r="AL24" s="1" t="s">
        <v>74</v>
      </c>
      <c r="AM24" s="1" t="s">
        <v>74</v>
      </c>
      <c r="AN24" s="1" t="s">
        <v>74</v>
      </c>
      <c r="AO24" s="1" t="s">
        <v>307</v>
      </c>
      <c r="AP24" s="1" t="s">
        <v>308</v>
      </c>
      <c r="AQ24" s="1" t="s">
        <v>74</v>
      </c>
      <c r="AR24" s="1" t="s">
        <v>74</v>
      </c>
      <c r="AS24" s="1" t="s">
        <v>74</v>
      </c>
      <c r="AT24" s="1" t="s">
        <v>158</v>
      </c>
      <c r="AU24" s="1">
        <v>2015.0</v>
      </c>
      <c r="AV24" s="1">
        <v>39.0</v>
      </c>
      <c r="AW24" s="1" t="s">
        <v>74</v>
      </c>
      <c r="AX24" s="1" t="s">
        <v>74</v>
      </c>
      <c r="AY24" s="1" t="s">
        <v>74</v>
      </c>
      <c r="AZ24" s="1" t="s">
        <v>74</v>
      </c>
      <c r="BA24" s="1" t="s">
        <v>74</v>
      </c>
      <c r="BB24" s="1">
        <v>411.0</v>
      </c>
      <c r="BC24" s="1">
        <v>427.0</v>
      </c>
      <c r="BD24" s="1" t="s">
        <v>74</v>
      </c>
      <c r="BE24" s="1" t="s">
        <v>309</v>
      </c>
      <c r="BF24" s="2" t="str">
        <f>HYPERLINK("http://dx.doi.org/10.1016/j.iref.2015.07.008","http://dx.doi.org/10.1016/j.iref.2015.07.008")</f>
        <v>http://dx.doi.org/10.1016/j.iref.2015.07.008</v>
      </c>
      <c r="BG24" s="1" t="s">
        <v>74</v>
      </c>
      <c r="BH24" s="1" t="s">
        <v>74</v>
      </c>
      <c r="BI24" s="1" t="s">
        <v>74</v>
      </c>
      <c r="BJ24" s="1" t="s">
        <v>74</v>
      </c>
      <c r="BK24" s="1" t="s">
        <v>74</v>
      </c>
      <c r="BL24" s="1" t="s">
        <v>74</v>
      </c>
      <c r="BM24" s="1" t="s">
        <v>74</v>
      </c>
      <c r="BN24" s="1" t="s">
        <v>74</v>
      </c>
      <c r="BO24" s="1" t="s">
        <v>74</v>
      </c>
      <c r="BP24" s="1" t="s">
        <v>74</v>
      </c>
      <c r="BQ24" s="1" t="s">
        <v>74</v>
      </c>
      <c r="BR24" s="1" t="s">
        <v>74</v>
      </c>
      <c r="BS24" s="1" t="s">
        <v>310</v>
      </c>
      <c r="BT24" s="1" t="str">
        <f>HYPERLINK("https%3A%2F%2Fwww.webofscience.com%2Fwos%2Fwoscc%2Ffull-record%2FWOS:000362148400029","View Full Record in Web of Science")</f>
        <v>View Full Record in Web of Science</v>
      </c>
    </row>
    <row r="25" ht="12.75" customHeight="1">
      <c r="A25" s="1" t="s">
        <v>72</v>
      </c>
      <c r="B25" s="1" t="s">
        <v>311</v>
      </c>
      <c r="C25" s="1" t="s">
        <v>74</v>
      </c>
      <c r="D25" s="1" t="s">
        <v>74</v>
      </c>
      <c r="E25" s="1" t="s">
        <v>74</v>
      </c>
      <c r="F25" s="1" t="s">
        <v>312</v>
      </c>
      <c r="G25" s="1" t="s">
        <v>74</v>
      </c>
      <c r="H25" s="1" t="s">
        <v>74</v>
      </c>
      <c r="I25" s="1" t="s">
        <v>313</v>
      </c>
      <c r="J25" s="1" t="s">
        <v>314</v>
      </c>
      <c r="K25" s="1" t="s">
        <v>74</v>
      </c>
      <c r="L25" s="1" t="s">
        <v>74</v>
      </c>
      <c r="M25" s="1" t="s">
        <v>74</v>
      </c>
      <c r="N25" s="1" t="s">
        <v>74</v>
      </c>
      <c r="O25" s="1" t="s">
        <v>74</v>
      </c>
      <c r="P25" s="1" t="s">
        <v>74</v>
      </c>
      <c r="Q25" s="1" t="s">
        <v>74</v>
      </c>
      <c r="R25" s="1" t="s">
        <v>74</v>
      </c>
      <c r="S25" s="1" t="s">
        <v>74</v>
      </c>
      <c r="T25" s="1" t="s">
        <v>74</v>
      </c>
      <c r="U25" s="1" t="s">
        <v>74</v>
      </c>
      <c r="V25" s="1" t="s">
        <v>315</v>
      </c>
      <c r="W25" s="1" t="s">
        <v>74</v>
      </c>
      <c r="X25" s="1" t="s">
        <v>74</v>
      </c>
      <c r="Y25" s="1" t="s">
        <v>74</v>
      </c>
      <c r="Z25" s="1" t="s">
        <v>74</v>
      </c>
      <c r="AA25" s="1" t="s">
        <v>74</v>
      </c>
      <c r="AB25" s="1" t="s">
        <v>74</v>
      </c>
      <c r="AC25" s="1" t="s">
        <v>74</v>
      </c>
      <c r="AD25" s="1" t="s">
        <v>74</v>
      </c>
      <c r="AE25" s="1" t="s">
        <v>74</v>
      </c>
      <c r="AF25" s="1" t="s">
        <v>74</v>
      </c>
      <c r="AG25" s="1" t="s">
        <v>74</v>
      </c>
      <c r="AH25" s="1" t="s">
        <v>74</v>
      </c>
      <c r="AI25" s="1" t="s">
        <v>74</v>
      </c>
      <c r="AJ25" s="1" t="s">
        <v>74</v>
      </c>
      <c r="AK25" s="1" t="s">
        <v>74</v>
      </c>
      <c r="AL25" s="1" t="s">
        <v>74</v>
      </c>
      <c r="AM25" s="1" t="s">
        <v>74</v>
      </c>
      <c r="AN25" s="1" t="s">
        <v>74</v>
      </c>
      <c r="AO25" s="1" t="s">
        <v>316</v>
      </c>
      <c r="AP25" s="1" t="s">
        <v>74</v>
      </c>
      <c r="AQ25" s="1" t="s">
        <v>74</v>
      </c>
      <c r="AR25" s="1" t="s">
        <v>74</v>
      </c>
      <c r="AS25" s="1" t="s">
        <v>74</v>
      </c>
      <c r="AT25" s="1" t="s">
        <v>224</v>
      </c>
      <c r="AU25" s="1">
        <v>2015.0</v>
      </c>
      <c r="AV25" s="1">
        <v>13.0</v>
      </c>
      <c r="AW25" s="1">
        <v>5.0</v>
      </c>
      <c r="AX25" s="1" t="s">
        <v>74</v>
      </c>
      <c r="AY25" s="1" t="s">
        <v>74</v>
      </c>
      <c r="AZ25" s="1" t="s">
        <v>74</v>
      </c>
      <c r="BA25" s="1" t="s">
        <v>74</v>
      </c>
      <c r="BB25" s="1">
        <v>1383.0</v>
      </c>
      <c r="BC25" s="1">
        <v>1391.0</v>
      </c>
      <c r="BD25" s="1" t="s">
        <v>74</v>
      </c>
      <c r="BE25" s="1" t="s">
        <v>317</v>
      </c>
      <c r="BF25" s="2" t="str">
        <f>HYPERLINK("http://dx.doi.org/10.1109/TLA.2015.7111993","http://dx.doi.org/10.1109/TLA.2015.7111993")</f>
        <v>http://dx.doi.org/10.1109/TLA.2015.7111993</v>
      </c>
      <c r="BG25" s="1" t="s">
        <v>74</v>
      </c>
      <c r="BH25" s="1" t="s">
        <v>74</v>
      </c>
      <c r="BI25" s="1" t="s">
        <v>74</v>
      </c>
      <c r="BJ25" s="1" t="s">
        <v>74</v>
      </c>
      <c r="BK25" s="1" t="s">
        <v>74</v>
      </c>
      <c r="BL25" s="1" t="s">
        <v>74</v>
      </c>
      <c r="BM25" s="1" t="s">
        <v>74</v>
      </c>
      <c r="BN25" s="1" t="s">
        <v>74</v>
      </c>
      <c r="BO25" s="1" t="s">
        <v>74</v>
      </c>
      <c r="BP25" s="1" t="s">
        <v>74</v>
      </c>
      <c r="BQ25" s="1" t="s">
        <v>74</v>
      </c>
      <c r="BR25" s="1" t="s">
        <v>74</v>
      </c>
      <c r="BS25" s="1" t="s">
        <v>318</v>
      </c>
      <c r="BT25" s="1" t="str">
        <f>HYPERLINK("https%3A%2F%2Fwww.webofscience.com%2Fwos%2Fwoscc%2Ffull-record%2FWOS:000355213400019","View Full Record in Web of Science")</f>
        <v>View Full Record in Web of Science</v>
      </c>
    </row>
    <row r="26" ht="12.75" customHeight="1">
      <c r="A26" s="1" t="s">
        <v>72</v>
      </c>
      <c r="B26" s="1" t="s">
        <v>319</v>
      </c>
      <c r="C26" s="1" t="s">
        <v>74</v>
      </c>
      <c r="D26" s="1" t="s">
        <v>74</v>
      </c>
      <c r="E26" s="1" t="s">
        <v>74</v>
      </c>
      <c r="F26" s="1" t="s">
        <v>320</v>
      </c>
      <c r="G26" s="1" t="s">
        <v>74</v>
      </c>
      <c r="H26" s="1" t="s">
        <v>74</v>
      </c>
      <c r="I26" s="1" t="s">
        <v>321</v>
      </c>
      <c r="J26" s="1" t="s">
        <v>322</v>
      </c>
      <c r="K26" s="1" t="s">
        <v>74</v>
      </c>
      <c r="L26" s="1" t="s">
        <v>74</v>
      </c>
      <c r="M26" s="1" t="s">
        <v>74</v>
      </c>
      <c r="N26" s="1" t="s">
        <v>74</v>
      </c>
      <c r="O26" s="1" t="s">
        <v>74</v>
      </c>
      <c r="P26" s="1" t="s">
        <v>74</v>
      </c>
      <c r="Q26" s="1" t="s">
        <v>74</v>
      </c>
      <c r="R26" s="1" t="s">
        <v>74</v>
      </c>
      <c r="S26" s="1" t="s">
        <v>74</v>
      </c>
      <c r="T26" s="1" t="s">
        <v>74</v>
      </c>
      <c r="U26" s="1" t="s">
        <v>74</v>
      </c>
      <c r="V26" s="1" t="s">
        <v>323</v>
      </c>
      <c r="W26" s="1" t="s">
        <v>74</v>
      </c>
      <c r="X26" s="1" t="s">
        <v>74</v>
      </c>
      <c r="Y26" s="1" t="s">
        <v>74</v>
      </c>
      <c r="Z26" s="1" t="s">
        <v>74</v>
      </c>
      <c r="AA26" s="1" t="s">
        <v>74</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324</v>
      </c>
      <c r="AP26" s="1" t="s">
        <v>325</v>
      </c>
      <c r="AQ26" s="1" t="s">
        <v>74</v>
      </c>
      <c r="AR26" s="1" t="s">
        <v>74</v>
      </c>
      <c r="AS26" s="1" t="s">
        <v>74</v>
      </c>
      <c r="AT26" s="1" t="s">
        <v>326</v>
      </c>
      <c r="AU26" s="1">
        <v>2014.0</v>
      </c>
      <c r="AV26" s="1">
        <v>29.0</v>
      </c>
      <c r="AW26" s="1">
        <v>40.0</v>
      </c>
      <c r="AX26" s="1" t="s">
        <v>74</v>
      </c>
      <c r="AY26" s="1" t="s">
        <v>74</v>
      </c>
      <c r="AZ26" s="1" t="s">
        <v>74</v>
      </c>
      <c r="BA26" s="1" t="s">
        <v>74</v>
      </c>
      <c r="BB26" s="1" t="s">
        <v>74</v>
      </c>
      <c r="BC26" s="1" t="s">
        <v>74</v>
      </c>
      <c r="BD26" s="1">
        <v>1450212.0</v>
      </c>
      <c r="BE26" s="1" t="s">
        <v>327</v>
      </c>
      <c r="BF26" s="2" t="str">
        <f>HYPERLINK("http://dx.doi.org/10.1142/S0217732314502125","http://dx.doi.org/10.1142/S0217732314502125")</f>
        <v>http://dx.doi.org/10.1142/S0217732314502125</v>
      </c>
      <c r="BG26" s="1" t="s">
        <v>74</v>
      </c>
      <c r="BH26" s="1" t="s">
        <v>74</v>
      </c>
      <c r="BI26" s="1" t="s">
        <v>74</v>
      </c>
      <c r="BJ26" s="1" t="s">
        <v>74</v>
      </c>
      <c r="BK26" s="1" t="s">
        <v>74</v>
      </c>
      <c r="BL26" s="1" t="s">
        <v>74</v>
      </c>
      <c r="BM26" s="1" t="s">
        <v>74</v>
      </c>
      <c r="BN26" s="1" t="s">
        <v>74</v>
      </c>
      <c r="BO26" s="1" t="s">
        <v>74</v>
      </c>
      <c r="BP26" s="1" t="s">
        <v>74</v>
      </c>
      <c r="BQ26" s="1" t="s">
        <v>74</v>
      </c>
      <c r="BR26" s="1" t="s">
        <v>74</v>
      </c>
      <c r="BS26" s="1" t="s">
        <v>328</v>
      </c>
      <c r="BT26" s="1" t="str">
        <f>HYPERLINK("https%3A%2F%2Fwww.webofscience.com%2Fwos%2Fwoscc%2Ffull-record%2FWOS:000347073800003","View Full Record in Web of Science")</f>
        <v>View Full Record in Web of Science</v>
      </c>
    </row>
    <row r="27" ht="12.75" customHeight="1">
      <c r="A27" s="1" t="s">
        <v>72</v>
      </c>
      <c r="B27" s="1" t="s">
        <v>329</v>
      </c>
      <c r="C27" s="1" t="s">
        <v>74</v>
      </c>
      <c r="D27" s="1" t="s">
        <v>74</v>
      </c>
      <c r="E27" s="1" t="s">
        <v>74</v>
      </c>
      <c r="F27" s="1" t="s">
        <v>330</v>
      </c>
      <c r="G27" s="1" t="s">
        <v>74</v>
      </c>
      <c r="H27" s="1" t="s">
        <v>74</v>
      </c>
      <c r="I27" s="1" t="s">
        <v>331</v>
      </c>
      <c r="J27" s="1" t="s">
        <v>322</v>
      </c>
      <c r="K27" s="1" t="s">
        <v>74</v>
      </c>
      <c r="L27" s="1" t="s">
        <v>74</v>
      </c>
      <c r="M27" s="1" t="s">
        <v>74</v>
      </c>
      <c r="N27" s="1" t="s">
        <v>74</v>
      </c>
      <c r="O27" s="1" t="s">
        <v>74</v>
      </c>
      <c r="P27" s="1" t="s">
        <v>74</v>
      </c>
      <c r="Q27" s="1" t="s">
        <v>74</v>
      </c>
      <c r="R27" s="1" t="s">
        <v>74</v>
      </c>
      <c r="S27" s="1" t="s">
        <v>74</v>
      </c>
      <c r="T27" s="1" t="s">
        <v>74</v>
      </c>
      <c r="U27" s="1" t="s">
        <v>74</v>
      </c>
      <c r="V27" s="1" t="s">
        <v>332</v>
      </c>
      <c r="W27" s="1" t="s">
        <v>74</v>
      </c>
      <c r="X27" s="1" t="s">
        <v>74</v>
      </c>
      <c r="Y27" s="1" t="s">
        <v>74</v>
      </c>
      <c r="Z27" s="1" t="s">
        <v>74</v>
      </c>
      <c r="AA27" s="1" t="s">
        <v>333</v>
      </c>
      <c r="AB27" s="1" t="s">
        <v>334</v>
      </c>
      <c r="AC27" s="1" t="s">
        <v>74</v>
      </c>
      <c r="AD27" s="1" t="s">
        <v>74</v>
      </c>
      <c r="AE27" s="1" t="s">
        <v>74</v>
      </c>
      <c r="AF27" s="1" t="s">
        <v>74</v>
      </c>
      <c r="AG27" s="1" t="s">
        <v>74</v>
      </c>
      <c r="AH27" s="1" t="s">
        <v>74</v>
      </c>
      <c r="AI27" s="1" t="s">
        <v>74</v>
      </c>
      <c r="AJ27" s="1" t="s">
        <v>74</v>
      </c>
      <c r="AK27" s="1" t="s">
        <v>74</v>
      </c>
      <c r="AL27" s="1" t="s">
        <v>74</v>
      </c>
      <c r="AM27" s="1" t="s">
        <v>74</v>
      </c>
      <c r="AN27" s="1" t="s">
        <v>74</v>
      </c>
      <c r="AO27" s="1" t="s">
        <v>324</v>
      </c>
      <c r="AP27" s="1" t="s">
        <v>325</v>
      </c>
      <c r="AQ27" s="1" t="s">
        <v>74</v>
      </c>
      <c r="AR27" s="1" t="s">
        <v>74</v>
      </c>
      <c r="AS27" s="1" t="s">
        <v>74</v>
      </c>
      <c r="AT27" s="1" t="s">
        <v>335</v>
      </c>
      <c r="AU27" s="1">
        <v>2014.0</v>
      </c>
      <c r="AV27" s="1">
        <v>29.0</v>
      </c>
      <c r="AW27" s="1">
        <v>39.0</v>
      </c>
      <c r="AX27" s="1" t="s">
        <v>74</v>
      </c>
      <c r="AY27" s="1" t="s">
        <v>74</v>
      </c>
      <c r="AZ27" s="1" t="s">
        <v>74</v>
      </c>
      <c r="BA27" s="1" t="s">
        <v>74</v>
      </c>
      <c r="BB27" s="1" t="s">
        <v>74</v>
      </c>
      <c r="BC27" s="1" t="s">
        <v>74</v>
      </c>
      <c r="BD27" s="1">
        <v>1450209.0</v>
      </c>
      <c r="BE27" s="1" t="s">
        <v>336</v>
      </c>
      <c r="BF27" s="2" t="str">
        <f>HYPERLINK("http://dx.doi.org/10.1142/S0217732314502095","http://dx.doi.org/10.1142/S0217732314502095")</f>
        <v>http://dx.doi.org/10.1142/S0217732314502095</v>
      </c>
      <c r="BG27" s="1" t="s">
        <v>74</v>
      </c>
      <c r="BH27" s="1" t="s">
        <v>74</v>
      </c>
      <c r="BI27" s="1" t="s">
        <v>74</v>
      </c>
      <c r="BJ27" s="1" t="s">
        <v>74</v>
      </c>
      <c r="BK27" s="1" t="s">
        <v>74</v>
      </c>
      <c r="BL27" s="1" t="s">
        <v>74</v>
      </c>
      <c r="BM27" s="1" t="s">
        <v>74</v>
      </c>
      <c r="BN27" s="1" t="s">
        <v>74</v>
      </c>
      <c r="BO27" s="1" t="s">
        <v>74</v>
      </c>
      <c r="BP27" s="1" t="s">
        <v>74</v>
      </c>
      <c r="BQ27" s="1" t="s">
        <v>74</v>
      </c>
      <c r="BR27" s="1" t="s">
        <v>74</v>
      </c>
      <c r="BS27" s="1" t="s">
        <v>337</v>
      </c>
      <c r="BT27" s="1" t="str">
        <f>HYPERLINK("https%3A%2F%2Fwww.webofscience.com%2Fwos%2Fwoscc%2Ffull-record%2FWOS:000346706200007","View Full Record in Web of Science")</f>
        <v>View Full Record in Web of Science</v>
      </c>
    </row>
    <row r="28" ht="12.75" customHeight="1">
      <c r="A28" s="1" t="s">
        <v>72</v>
      </c>
      <c r="B28" s="1" t="s">
        <v>338</v>
      </c>
      <c r="C28" s="1" t="s">
        <v>74</v>
      </c>
      <c r="D28" s="1" t="s">
        <v>74</v>
      </c>
      <c r="E28" s="1" t="s">
        <v>74</v>
      </c>
      <c r="F28" s="1" t="s">
        <v>339</v>
      </c>
      <c r="G28" s="1" t="s">
        <v>74</v>
      </c>
      <c r="H28" s="1" t="s">
        <v>74</v>
      </c>
      <c r="I28" s="1" t="s">
        <v>340</v>
      </c>
      <c r="J28" s="1" t="s">
        <v>341</v>
      </c>
      <c r="K28" s="1" t="s">
        <v>74</v>
      </c>
      <c r="L28" s="1" t="s">
        <v>74</v>
      </c>
      <c r="M28" s="1" t="s">
        <v>74</v>
      </c>
      <c r="N28" s="1" t="s">
        <v>74</v>
      </c>
      <c r="O28" s="1" t="s">
        <v>74</v>
      </c>
      <c r="P28" s="1" t="s">
        <v>74</v>
      </c>
      <c r="Q28" s="1" t="s">
        <v>74</v>
      </c>
      <c r="R28" s="1" t="s">
        <v>74</v>
      </c>
      <c r="S28" s="1" t="s">
        <v>74</v>
      </c>
      <c r="T28" s="1" t="s">
        <v>74</v>
      </c>
      <c r="U28" s="1" t="s">
        <v>74</v>
      </c>
      <c r="V28" s="1" t="s">
        <v>342</v>
      </c>
      <c r="W28" s="1" t="s">
        <v>74</v>
      </c>
      <c r="X28" s="1" t="s">
        <v>74</v>
      </c>
      <c r="Y28" s="1" t="s">
        <v>74</v>
      </c>
      <c r="Z28" s="1" t="s">
        <v>74</v>
      </c>
      <c r="AA28" s="1" t="s">
        <v>343</v>
      </c>
      <c r="AB28" s="1" t="s">
        <v>344</v>
      </c>
      <c r="AC28" s="1" t="s">
        <v>74</v>
      </c>
      <c r="AD28" s="1" t="s">
        <v>74</v>
      </c>
      <c r="AE28" s="1" t="s">
        <v>74</v>
      </c>
      <c r="AF28" s="1" t="s">
        <v>74</v>
      </c>
      <c r="AG28" s="1" t="s">
        <v>74</v>
      </c>
      <c r="AH28" s="1" t="s">
        <v>74</v>
      </c>
      <c r="AI28" s="1" t="s">
        <v>74</v>
      </c>
      <c r="AJ28" s="1" t="s">
        <v>74</v>
      </c>
      <c r="AK28" s="1" t="s">
        <v>74</v>
      </c>
      <c r="AL28" s="1" t="s">
        <v>74</v>
      </c>
      <c r="AM28" s="1" t="s">
        <v>74</v>
      </c>
      <c r="AN28" s="1" t="s">
        <v>74</v>
      </c>
      <c r="AO28" s="1" t="s">
        <v>345</v>
      </c>
      <c r="AP28" s="1" t="s">
        <v>74</v>
      </c>
      <c r="AQ28" s="1" t="s">
        <v>74</v>
      </c>
      <c r="AR28" s="1" t="s">
        <v>74</v>
      </c>
      <c r="AS28" s="1" t="s">
        <v>74</v>
      </c>
      <c r="AT28" s="1" t="s">
        <v>346</v>
      </c>
      <c r="AU28" s="1">
        <v>2014.0</v>
      </c>
      <c r="AV28" s="1">
        <v>41.0</v>
      </c>
      <c r="AW28" s="1">
        <v>3.0</v>
      </c>
      <c r="AX28" s="1" t="s">
        <v>74</v>
      </c>
      <c r="AY28" s="1" t="s">
        <v>74</v>
      </c>
      <c r="AZ28" s="1" t="s">
        <v>74</v>
      </c>
      <c r="BA28" s="1" t="s">
        <v>74</v>
      </c>
      <c r="BB28" s="1">
        <v>317.0</v>
      </c>
      <c r="BC28" s="1">
        <v>325.0</v>
      </c>
      <c r="BD28" s="1" t="s">
        <v>74</v>
      </c>
      <c r="BE28" s="1" t="s">
        <v>347</v>
      </c>
      <c r="BF28" s="2" t="str">
        <f>HYPERLINK("http://dx.doi.org/10.4067/S0718-16202014000300004","http://dx.doi.org/10.4067/S0718-16202014000300004")</f>
        <v>http://dx.doi.org/10.4067/S0718-16202014000300004</v>
      </c>
      <c r="BG28" s="1" t="s">
        <v>74</v>
      </c>
      <c r="BH28" s="1" t="s">
        <v>74</v>
      </c>
      <c r="BI28" s="1" t="s">
        <v>74</v>
      </c>
      <c r="BJ28" s="1" t="s">
        <v>74</v>
      </c>
      <c r="BK28" s="1" t="s">
        <v>74</v>
      </c>
      <c r="BL28" s="1" t="s">
        <v>74</v>
      </c>
      <c r="BM28" s="1" t="s">
        <v>74</v>
      </c>
      <c r="BN28" s="1" t="s">
        <v>74</v>
      </c>
      <c r="BO28" s="1" t="s">
        <v>74</v>
      </c>
      <c r="BP28" s="1" t="s">
        <v>74</v>
      </c>
      <c r="BQ28" s="1" t="s">
        <v>74</v>
      </c>
      <c r="BR28" s="1" t="s">
        <v>74</v>
      </c>
      <c r="BS28" s="1" t="s">
        <v>348</v>
      </c>
      <c r="BT28" s="1" t="str">
        <f>HYPERLINK("https%3A%2F%2Fwww.webofscience.com%2Fwos%2Fwoscc%2Ffull-record%2FWOS:000348254700004","View Full Record in Web of Science")</f>
        <v>View Full Record in Web of Science</v>
      </c>
    </row>
    <row r="29" ht="12.75" customHeight="1">
      <c r="A29" s="1" t="s">
        <v>126</v>
      </c>
      <c r="B29" s="1" t="s">
        <v>349</v>
      </c>
      <c r="C29" s="1" t="s">
        <v>74</v>
      </c>
      <c r="D29" s="1" t="s">
        <v>350</v>
      </c>
      <c r="E29" s="1" t="s">
        <v>74</v>
      </c>
      <c r="F29" s="1" t="s">
        <v>351</v>
      </c>
      <c r="G29" s="1" t="s">
        <v>74</v>
      </c>
      <c r="H29" s="1" t="s">
        <v>74</v>
      </c>
      <c r="I29" s="1" t="s">
        <v>352</v>
      </c>
      <c r="J29" s="1" t="s">
        <v>353</v>
      </c>
      <c r="K29" s="1" t="s">
        <v>354</v>
      </c>
      <c r="L29" s="1" t="s">
        <v>74</v>
      </c>
      <c r="M29" s="1" t="s">
        <v>74</v>
      </c>
      <c r="N29" s="1" t="s">
        <v>74</v>
      </c>
      <c r="O29" s="1" t="s">
        <v>355</v>
      </c>
      <c r="P29" s="1" t="s">
        <v>356</v>
      </c>
      <c r="Q29" s="1" t="s">
        <v>357</v>
      </c>
      <c r="R29" s="1" t="s">
        <v>74</v>
      </c>
      <c r="S29" s="1" t="s">
        <v>74</v>
      </c>
      <c r="T29" s="1" t="s">
        <v>74</v>
      </c>
      <c r="U29" s="1" t="s">
        <v>74</v>
      </c>
      <c r="V29" s="1" t="s">
        <v>358</v>
      </c>
      <c r="W29" s="1" t="s">
        <v>74</v>
      </c>
      <c r="X29" s="1" t="s">
        <v>74</v>
      </c>
      <c r="Y29" s="1" t="s">
        <v>74</v>
      </c>
      <c r="Z29" s="1" t="s">
        <v>74</v>
      </c>
      <c r="AA29" s="1" t="s">
        <v>74</v>
      </c>
      <c r="AB29" s="1" t="s">
        <v>74</v>
      </c>
      <c r="AC29" s="1" t="s">
        <v>74</v>
      </c>
      <c r="AD29" s="1" t="s">
        <v>74</v>
      </c>
      <c r="AE29" s="1" t="s">
        <v>74</v>
      </c>
      <c r="AF29" s="1" t="s">
        <v>74</v>
      </c>
      <c r="AG29" s="1" t="s">
        <v>74</v>
      </c>
      <c r="AH29" s="1" t="s">
        <v>74</v>
      </c>
      <c r="AI29" s="1" t="s">
        <v>74</v>
      </c>
      <c r="AJ29" s="1" t="s">
        <v>74</v>
      </c>
      <c r="AK29" s="1" t="s">
        <v>74</v>
      </c>
      <c r="AL29" s="1" t="s">
        <v>74</v>
      </c>
      <c r="AM29" s="1" t="s">
        <v>74</v>
      </c>
      <c r="AN29" s="1" t="s">
        <v>74</v>
      </c>
      <c r="AO29" s="1" t="s">
        <v>359</v>
      </c>
      <c r="AP29" s="1" t="s">
        <v>74</v>
      </c>
      <c r="AQ29" s="1" t="s">
        <v>360</v>
      </c>
      <c r="AR29" s="1" t="s">
        <v>74</v>
      </c>
      <c r="AS29" s="1" t="s">
        <v>74</v>
      </c>
      <c r="AT29" s="1" t="s">
        <v>74</v>
      </c>
      <c r="AU29" s="1">
        <v>2014.0</v>
      </c>
      <c r="AV29" s="1" t="s">
        <v>74</v>
      </c>
      <c r="AW29" s="1" t="s">
        <v>74</v>
      </c>
      <c r="AX29" s="1" t="s">
        <v>74</v>
      </c>
      <c r="AY29" s="1" t="s">
        <v>74</v>
      </c>
      <c r="AZ29" s="1" t="s">
        <v>74</v>
      </c>
      <c r="BA29" s="1" t="s">
        <v>74</v>
      </c>
      <c r="BB29" s="1">
        <v>278.0</v>
      </c>
      <c r="BC29" s="1">
        <v>286.0</v>
      </c>
      <c r="BD29" s="1" t="s">
        <v>74</v>
      </c>
      <c r="BE29" s="1" t="s">
        <v>74</v>
      </c>
      <c r="BF29" s="1" t="s">
        <v>74</v>
      </c>
      <c r="BG29" s="1" t="s">
        <v>74</v>
      </c>
      <c r="BH29" s="1" t="s">
        <v>74</v>
      </c>
      <c r="BI29" s="1" t="s">
        <v>74</v>
      </c>
      <c r="BJ29" s="1" t="s">
        <v>74</v>
      </c>
      <c r="BK29" s="1" t="s">
        <v>74</v>
      </c>
      <c r="BL29" s="1" t="s">
        <v>74</v>
      </c>
      <c r="BM29" s="1" t="s">
        <v>74</v>
      </c>
      <c r="BN29" s="1" t="s">
        <v>74</v>
      </c>
      <c r="BO29" s="1" t="s">
        <v>74</v>
      </c>
      <c r="BP29" s="1" t="s">
        <v>74</v>
      </c>
      <c r="BQ29" s="1" t="s">
        <v>74</v>
      </c>
      <c r="BR29" s="1" t="s">
        <v>74</v>
      </c>
      <c r="BS29" s="1" t="s">
        <v>361</v>
      </c>
      <c r="BT29" s="1" t="str">
        <f>HYPERLINK("https%3A%2F%2Fwww.webofscience.com%2Fwos%2Fwoscc%2Ffull-record%2FWOS:000366837200043","View Full Record in Web of Science")</f>
        <v>View Full Record in Web of Science</v>
      </c>
    </row>
    <row r="30" ht="12.75" customHeight="1">
      <c r="A30" s="1" t="s">
        <v>72</v>
      </c>
      <c r="B30" s="1" t="s">
        <v>362</v>
      </c>
      <c r="C30" s="1" t="s">
        <v>74</v>
      </c>
      <c r="D30" s="1" t="s">
        <v>74</v>
      </c>
      <c r="E30" s="1" t="s">
        <v>74</v>
      </c>
      <c r="F30" s="1" t="s">
        <v>363</v>
      </c>
      <c r="G30" s="1" t="s">
        <v>74</v>
      </c>
      <c r="H30" s="1" t="s">
        <v>74</v>
      </c>
      <c r="I30" s="1" t="s">
        <v>364</v>
      </c>
      <c r="J30" s="1" t="s">
        <v>365</v>
      </c>
      <c r="K30" s="1" t="s">
        <v>74</v>
      </c>
      <c r="L30" s="1" t="s">
        <v>74</v>
      </c>
      <c r="M30" s="1" t="s">
        <v>74</v>
      </c>
      <c r="N30" s="1" t="s">
        <v>74</v>
      </c>
      <c r="O30" s="1" t="s">
        <v>74</v>
      </c>
      <c r="P30" s="1" t="s">
        <v>74</v>
      </c>
      <c r="Q30" s="1" t="s">
        <v>74</v>
      </c>
      <c r="R30" s="1" t="s">
        <v>74</v>
      </c>
      <c r="S30" s="1" t="s">
        <v>74</v>
      </c>
      <c r="T30" s="1" t="s">
        <v>74</v>
      </c>
      <c r="U30" s="1" t="s">
        <v>74</v>
      </c>
      <c r="V30" s="1" t="s">
        <v>366</v>
      </c>
      <c r="W30" s="1" t="s">
        <v>74</v>
      </c>
      <c r="X30" s="1" t="s">
        <v>74</v>
      </c>
      <c r="Y30" s="1" t="s">
        <v>74</v>
      </c>
      <c r="Z30" s="1" t="s">
        <v>74</v>
      </c>
      <c r="AA30" s="1" t="s">
        <v>367</v>
      </c>
      <c r="AB30" s="1" t="s">
        <v>368</v>
      </c>
      <c r="AC30" s="1" t="s">
        <v>74</v>
      </c>
      <c r="AD30" s="1" t="s">
        <v>74</v>
      </c>
      <c r="AE30" s="1" t="s">
        <v>74</v>
      </c>
      <c r="AF30" s="1" t="s">
        <v>74</v>
      </c>
      <c r="AG30" s="1" t="s">
        <v>74</v>
      </c>
      <c r="AH30" s="1" t="s">
        <v>74</v>
      </c>
      <c r="AI30" s="1" t="s">
        <v>74</v>
      </c>
      <c r="AJ30" s="1" t="s">
        <v>74</v>
      </c>
      <c r="AK30" s="1" t="s">
        <v>74</v>
      </c>
      <c r="AL30" s="1" t="s">
        <v>74</v>
      </c>
      <c r="AM30" s="1" t="s">
        <v>74</v>
      </c>
      <c r="AN30" s="1" t="s">
        <v>74</v>
      </c>
      <c r="AO30" s="1" t="s">
        <v>369</v>
      </c>
      <c r="AP30" s="1" t="s">
        <v>370</v>
      </c>
      <c r="AQ30" s="1" t="s">
        <v>74</v>
      </c>
      <c r="AR30" s="1" t="s">
        <v>74</v>
      </c>
      <c r="AS30" s="1" t="s">
        <v>74</v>
      </c>
      <c r="AT30" s="1" t="s">
        <v>74</v>
      </c>
      <c r="AU30" s="1">
        <v>2014.0</v>
      </c>
      <c r="AV30" s="1">
        <v>67.0</v>
      </c>
      <c r="AW30" s="1" t="s">
        <v>371</v>
      </c>
      <c r="AX30" s="1" t="s">
        <v>74</v>
      </c>
      <c r="AY30" s="1" t="s">
        <v>74</v>
      </c>
      <c r="AZ30" s="1" t="s">
        <v>159</v>
      </c>
      <c r="BA30" s="1" t="s">
        <v>74</v>
      </c>
      <c r="BB30" s="1">
        <v>3840.0</v>
      </c>
      <c r="BC30" s="1">
        <v>3853.0</v>
      </c>
      <c r="BD30" s="1" t="s">
        <v>74</v>
      </c>
      <c r="BE30" s="1" t="s">
        <v>372</v>
      </c>
      <c r="BF30" s="2" t="str">
        <f>HYPERLINK("http://dx.doi.org/10.1080/00958972.2014.974582","http://dx.doi.org/10.1080/00958972.2014.974582")</f>
        <v>http://dx.doi.org/10.1080/00958972.2014.974582</v>
      </c>
      <c r="BG30" s="1" t="s">
        <v>74</v>
      </c>
      <c r="BH30" s="1" t="s">
        <v>74</v>
      </c>
      <c r="BI30" s="1" t="s">
        <v>74</v>
      </c>
      <c r="BJ30" s="1" t="s">
        <v>74</v>
      </c>
      <c r="BK30" s="1" t="s">
        <v>74</v>
      </c>
      <c r="BL30" s="1" t="s">
        <v>74</v>
      </c>
      <c r="BM30" s="1" t="s">
        <v>74</v>
      </c>
      <c r="BN30" s="1" t="s">
        <v>74</v>
      </c>
      <c r="BO30" s="1" t="s">
        <v>74</v>
      </c>
      <c r="BP30" s="1" t="s">
        <v>74</v>
      </c>
      <c r="BQ30" s="1" t="s">
        <v>74</v>
      </c>
      <c r="BR30" s="1" t="s">
        <v>74</v>
      </c>
      <c r="BS30" s="1" t="s">
        <v>373</v>
      </c>
      <c r="BT30" s="1" t="str">
        <f>HYPERLINK("https%3A%2F%2Fwww.webofscience.com%2Fwos%2Fwoscc%2Ffull-record%2FWOS:000345454600007","View Full Record in Web of Science")</f>
        <v>View Full Record in Web of Science</v>
      </c>
    </row>
    <row r="31" ht="12.75" customHeight="1">
      <c r="A31" s="1" t="s">
        <v>72</v>
      </c>
      <c r="B31" s="1" t="s">
        <v>374</v>
      </c>
      <c r="C31" s="1" t="s">
        <v>74</v>
      </c>
      <c r="D31" s="1" t="s">
        <v>74</v>
      </c>
      <c r="E31" s="1" t="s">
        <v>74</v>
      </c>
      <c r="F31" s="1" t="s">
        <v>375</v>
      </c>
      <c r="G31" s="1" t="s">
        <v>74</v>
      </c>
      <c r="H31" s="1" t="s">
        <v>74</v>
      </c>
      <c r="I31" s="1" t="s">
        <v>376</v>
      </c>
      <c r="J31" s="1" t="s">
        <v>377</v>
      </c>
      <c r="K31" s="1" t="s">
        <v>74</v>
      </c>
      <c r="L31" s="1" t="s">
        <v>74</v>
      </c>
      <c r="M31" s="1" t="s">
        <v>74</v>
      </c>
      <c r="N31" s="1" t="s">
        <v>74</v>
      </c>
      <c r="O31" s="1" t="s">
        <v>74</v>
      </c>
      <c r="P31" s="1" t="s">
        <v>74</v>
      </c>
      <c r="Q31" s="1" t="s">
        <v>74</v>
      </c>
      <c r="R31" s="1" t="s">
        <v>74</v>
      </c>
      <c r="S31" s="1" t="s">
        <v>74</v>
      </c>
      <c r="T31" s="1" t="s">
        <v>74</v>
      </c>
      <c r="U31" s="1" t="s">
        <v>74</v>
      </c>
      <c r="V31" s="1" t="s">
        <v>378</v>
      </c>
      <c r="W31" s="1" t="s">
        <v>74</v>
      </c>
      <c r="X31" s="1" t="s">
        <v>74</v>
      </c>
      <c r="Y31" s="1" t="s">
        <v>74</v>
      </c>
      <c r="Z31" s="1" t="s">
        <v>74</v>
      </c>
      <c r="AA31" s="1" t="s">
        <v>379</v>
      </c>
      <c r="AB31" s="1" t="s">
        <v>380</v>
      </c>
      <c r="AC31" s="1" t="s">
        <v>74</v>
      </c>
      <c r="AD31" s="1" t="s">
        <v>74</v>
      </c>
      <c r="AE31" s="1" t="s">
        <v>74</v>
      </c>
      <c r="AF31" s="1" t="s">
        <v>74</v>
      </c>
      <c r="AG31" s="1" t="s">
        <v>74</v>
      </c>
      <c r="AH31" s="1" t="s">
        <v>74</v>
      </c>
      <c r="AI31" s="1" t="s">
        <v>74</v>
      </c>
      <c r="AJ31" s="1" t="s">
        <v>74</v>
      </c>
      <c r="AK31" s="1" t="s">
        <v>74</v>
      </c>
      <c r="AL31" s="1" t="s">
        <v>74</v>
      </c>
      <c r="AM31" s="1" t="s">
        <v>74</v>
      </c>
      <c r="AN31" s="1" t="s">
        <v>74</v>
      </c>
      <c r="AO31" s="1" t="s">
        <v>381</v>
      </c>
      <c r="AP31" s="1" t="s">
        <v>74</v>
      </c>
      <c r="AQ31" s="1" t="s">
        <v>74</v>
      </c>
      <c r="AR31" s="1" t="s">
        <v>74</v>
      </c>
      <c r="AS31" s="1" t="s">
        <v>74</v>
      </c>
      <c r="AT31" s="1" t="s">
        <v>382</v>
      </c>
      <c r="AU31" s="1">
        <v>2014.0</v>
      </c>
      <c r="AV31" s="1">
        <v>47.0</v>
      </c>
      <c r="AW31" s="1">
        <v>1.0</v>
      </c>
      <c r="AX31" s="1" t="s">
        <v>74</v>
      </c>
      <c r="AY31" s="1" t="s">
        <v>74</v>
      </c>
      <c r="AZ31" s="1" t="s">
        <v>74</v>
      </c>
      <c r="BA31" s="1" t="s">
        <v>74</v>
      </c>
      <c r="BB31" s="1">
        <v>91.0</v>
      </c>
      <c r="BC31" s="1">
        <v>111.0</v>
      </c>
      <c r="BD31" s="1" t="s">
        <v>74</v>
      </c>
      <c r="BE31" s="1" t="s">
        <v>383</v>
      </c>
      <c r="BF31" s="2" t="str">
        <f>HYPERLINK("http://dx.doi.org/10.4067/S0717-71942014000100004","http://dx.doi.org/10.4067/S0717-71942014000100004")</f>
        <v>http://dx.doi.org/10.4067/S0717-71942014000100004</v>
      </c>
      <c r="BG31" s="1" t="s">
        <v>74</v>
      </c>
      <c r="BH31" s="1" t="s">
        <v>74</v>
      </c>
      <c r="BI31" s="1" t="s">
        <v>74</v>
      </c>
      <c r="BJ31" s="1" t="s">
        <v>74</v>
      </c>
      <c r="BK31" s="1" t="s">
        <v>74</v>
      </c>
      <c r="BL31" s="1" t="s">
        <v>74</v>
      </c>
      <c r="BM31" s="1" t="s">
        <v>74</v>
      </c>
      <c r="BN31" s="1" t="s">
        <v>74</v>
      </c>
      <c r="BO31" s="1" t="s">
        <v>74</v>
      </c>
      <c r="BP31" s="1" t="s">
        <v>74</v>
      </c>
      <c r="BQ31" s="1" t="s">
        <v>74</v>
      </c>
      <c r="BR31" s="1" t="s">
        <v>74</v>
      </c>
      <c r="BS31" s="1" t="s">
        <v>384</v>
      </c>
      <c r="BT31" s="1" t="str">
        <f>HYPERLINK("https%3A%2F%2Fwww.webofscience.com%2Fwos%2Fwoscc%2Ffull-record%2FWOS:000339599700004","View Full Record in Web of Science")</f>
        <v>View Full Record in Web of Science</v>
      </c>
    </row>
    <row r="32" ht="12.75" customHeight="1">
      <c r="A32" s="1" t="s">
        <v>72</v>
      </c>
      <c r="B32" s="1" t="s">
        <v>385</v>
      </c>
      <c r="C32" s="1" t="s">
        <v>74</v>
      </c>
      <c r="D32" s="1" t="s">
        <v>74</v>
      </c>
      <c r="E32" s="1" t="s">
        <v>74</v>
      </c>
      <c r="F32" s="1" t="s">
        <v>386</v>
      </c>
      <c r="G32" s="1" t="s">
        <v>74</v>
      </c>
      <c r="H32" s="1" t="s">
        <v>74</v>
      </c>
      <c r="I32" s="1" t="s">
        <v>387</v>
      </c>
      <c r="J32" s="1" t="s">
        <v>388</v>
      </c>
      <c r="K32" s="1" t="s">
        <v>74</v>
      </c>
      <c r="L32" s="1" t="s">
        <v>74</v>
      </c>
      <c r="M32" s="1" t="s">
        <v>74</v>
      </c>
      <c r="N32" s="1" t="s">
        <v>74</v>
      </c>
      <c r="O32" s="1" t="s">
        <v>74</v>
      </c>
      <c r="P32" s="1" t="s">
        <v>74</v>
      </c>
      <c r="Q32" s="1" t="s">
        <v>74</v>
      </c>
      <c r="R32" s="1" t="s">
        <v>74</v>
      </c>
      <c r="S32" s="1" t="s">
        <v>74</v>
      </c>
      <c r="T32" s="1" t="s">
        <v>74</v>
      </c>
      <c r="U32" s="1" t="s">
        <v>74</v>
      </c>
      <c r="V32" s="1" t="s">
        <v>389</v>
      </c>
      <c r="W32" s="1" t="s">
        <v>74</v>
      </c>
      <c r="X32" s="1" t="s">
        <v>74</v>
      </c>
      <c r="Y32" s="1" t="s">
        <v>74</v>
      </c>
      <c r="Z32" s="1" t="s">
        <v>74</v>
      </c>
      <c r="AA32" s="1" t="s">
        <v>390</v>
      </c>
      <c r="AB32" s="1" t="s">
        <v>391</v>
      </c>
      <c r="AC32" s="1" t="s">
        <v>74</v>
      </c>
      <c r="AD32" s="1" t="s">
        <v>74</v>
      </c>
      <c r="AE32" s="1" t="s">
        <v>74</v>
      </c>
      <c r="AF32" s="1" t="s">
        <v>74</v>
      </c>
      <c r="AG32" s="1" t="s">
        <v>74</v>
      </c>
      <c r="AH32" s="1" t="s">
        <v>74</v>
      </c>
      <c r="AI32" s="1" t="s">
        <v>74</v>
      </c>
      <c r="AJ32" s="1" t="s">
        <v>74</v>
      </c>
      <c r="AK32" s="1" t="s">
        <v>74</v>
      </c>
      <c r="AL32" s="1" t="s">
        <v>74</v>
      </c>
      <c r="AM32" s="1" t="s">
        <v>74</v>
      </c>
      <c r="AN32" s="1" t="s">
        <v>74</v>
      </c>
      <c r="AO32" s="1" t="s">
        <v>392</v>
      </c>
      <c r="AP32" s="1" t="s">
        <v>74</v>
      </c>
      <c r="AQ32" s="1" t="s">
        <v>74</v>
      </c>
      <c r="AR32" s="1" t="s">
        <v>74</v>
      </c>
      <c r="AS32" s="1" t="s">
        <v>74</v>
      </c>
      <c r="AT32" s="1" t="s">
        <v>82</v>
      </c>
      <c r="AU32" s="1">
        <v>2013.0</v>
      </c>
      <c r="AV32" s="1">
        <v>20.0</v>
      </c>
      <c r="AW32" s="1">
        <v>6.0</v>
      </c>
      <c r="AX32" s="1" t="s">
        <v>74</v>
      </c>
      <c r="AY32" s="1" t="s">
        <v>74</v>
      </c>
      <c r="AZ32" s="1" t="s">
        <v>74</v>
      </c>
      <c r="BA32" s="1" t="s">
        <v>74</v>
      </c>
      <c r="BB32" s="1">
        <v>1765.0</v>
      </c>
      <c r="BC32" s="1">
        <v>1772.0</v>
      </c>
      <c r="BD32" s="1" t="s">
        <v>74</v>
      </c>
      <c r="BE32" s="1" t="s">
        <v>74</v>
      </c>
      <c r="BF32" s="1" t="s">
        <v>74</v>
      </c>
      <c r="BG32" s="1" t="s">
        <v>74</v>
      </c>
      <c r="BH32" s="1" t="s">
        <v>74</v>
      </c>
      <c r="BI32" s="1" t="s">
        <v>74</v>
      </c>
      <c r="BJ32" s="1" t="s">
        <v>74</v>
      </c>
      <c r="BK32" s="1" t="s">
        <v>74</v>
      </c>
      <c r="BL32" s="1" t="s">
        <v>74</v>
      </c>
      <c r="BM32" s="1" t="s">
        <v>74</v>
      </c>
      <c r="BN32" s="1" t="s">
        <v>74</v>
      </c>
      <c r="BO32" s="1" t="s">
        <v>74</v>
      </c>
      <c r="BP32" s="1" t="s">
        <v>74</v>
      </c>
      <c r="BQ32" s="1" t="s">
        <v>74</v>
      </c>
      <c r="BR32" s="1" t="s">
        <v>74</v>
      </c>
      <c r="BS32" s="1" t="s">
        <v>393</v>
      </c>
      <c r="BT32" s="1" t="str">
        <f>HYPERLINK("https%3A%2F%2Fwww.webofscience.com%2Fwos%2Fwoscc%2Ffull-record%2FWOS:000330813300006","View Full Record in Web of Science")</f>
        <v>View Full Record in Web of Science</v>
      </c>
    </row>
    <row r="33" ht="12.75" customHeight="1">
      <c r="A33" s="1" t="s">
        <v>72</v>
      </c>
      <c r="B33" s="1" t="s">
        <v>394</v>
      </c>
      <c r="C33" s="1" t="s">
        <v>74</v>
      </c>
      <c r="D33" s="1" t="s">
        <v>74</v>
      </c>
      <c r="E33" s="1" t="s">
        <v>74</v>
      </c>
      <c r="F33" s="1" t="s">
        <v>395</v>
      </c>
      <c r="G33" s="1" t="s">
        <v>74</v>
      </c>
      <c r="H33" s="1" t="s">
        <v>74</v>
      </c>
      <c r="I33" s="1" t="s">
        <v>396</v>
      </c>
      <c r="J33" s="1" t="s">
        <v>314</v>
      </c>
      <c r="K33" s="1" t="s">
        <v>74</v>
      </c>
      <c r="L33" s="1" t="s">
        <v>74</v>
      </c>
      <c r="M33" s="1" t="s">
        <v>74</v>
      </c>
      <c r="N33" s="1" t="s">
        <v>74</v>
      </c>
      <c r="O33" s="1" t="s">
        <v>74</v>
      </c>
      <c r="P33" s="1" t="s">
        <v>74</v>
      </c>
      <c r="Q33" s="1" t="s">
        <v>74</v>
      </c>
      <c r="R33" s="1" t="s">
        <v>74</v>
      </c>
      <c r="S33" s="1" t="s">
        <v>74</v>
      </c>
      <c r="T33" s="1" t="s">
        <v>74</v>
      </c>
      <c r="U33" s="1" t="s">
        <v>74</v>
      </c>
      <c r="V33" s="1" t="s">
        <v>397</v>
      </c>
      <c r="W33" s="1" t="s">
        <v>74</v>
      </c>
      <c r="X33" s="1" t="s">
        <v>74</v>
      </c>
      <c r="Y33" s="1" t="s">
        <v>74</v>
      </c>
      <c r="Z33" s="1" t="s">
        <v>74</v>
      </c>
      <c r="AA33" s="1" t="s">
        <v>284</v>
      </c>
      <c r="AB33" s="1" t="s">
        <v>398</v>
      </c>
      <c r="AC33" s="1" t="s">
        <v>74</v>
      </c>
      <c r="AD33" s="1" t="s">
        <v>74</v>
      </c>
      <c r="AE33" s="1" t="s">
        <v>74</v>
      </c>
      <c r="AF33" s="1" t="s">
        <v>74</v>
      </c>
      <c r="AG33" s="1" t="s">
        <v>74</v>
      </c>
      <c r="AH33" s="1" t="s">
        <v>74</v>
      </c>
      <c r="AI33" s="1" t="s">
        <v>74</v>
      </c>
      <c r="AJ33" s="1" t="s">
        <v>74</v>
      </c>
      <c r="AK33" s="1" t="s">
        <v>74</v>
      </c>
      <c r="AL33" s="1" t="s">
        <v>74</v>
      </c>
      <c r="AM33" s="1" t="s">
        <v>74</v>
      </c>
      <c r="AN33" s="1" t="s">
        <v>74</v>
      </c>
      <c r="AO33" s="1" t="s">
        <v>316</v>
      </c>
      <c r="AP33" s="1" t="s">
        <v>74</v>
      </c>
      <c r="AQ33" s="1" t="s">
        <v>74</v>
      </c>
      <c r="AR33" s="1" t="s">
        <v>74</v>
      </c>
      <c r="AS33" s="1" t="s">
        <v>74</v>
      </c>
      <c r="AT33" s="1" t="s">
        <v>82</v>
      </c>
      <c r="AU33" s="1">
        <v>2013.0</v>
      </c>
      <c r="AV33" s="1">
        <v>11.0</v>
      </c>
      <c r="AW33" s="1">
        <v>6.0</v>
      </c>
      <c r="AX33" s="1" t="s">
        <v>74</v>
      </c>
      <c r="AY33" s="1" t="s">
        <v>74</v>
      </c>
      <c r="AZ33" s="1" t="s">
        <v>74</v>
      </c>
      <c r="BA33" s="1" t="s">
        <v>74</v>
      </c>
      <c r="BB33" s="1">
        <v>1318.0</v>
      </c>
      <c r="BC33" s="1">
        <v>1324.0</v>
      </c>
      <c r="BD33" s="1" t="s">
        <v>74</v>
      </c>
      <c r="BE33" s="1" t="s">
        <v>399</v>
      </c>
      <c r="BF33" s="2" t="str">
        <f>HYPERLINK("http://dx.doi.org/10.1109/TLA.2013.6710378","http://dx.doi.org/10.1109/TLA.2013.6710378")</f>
        <v>http://dx.doi.org/10.1109/TLA.2013.6710378</v>
      </c>
      <c r="BG33" s="1" t="s">
        <v>74</v>
      </c>
      <c r="BH33" s="1" t="s">
        <v>74</v>
      </c>
      <c r="BI33" s="1" t="s">
        <v>74</v>
      </c>
      <c r="BJ33" s="1" t="s">
        <v>74</v>
      </c>
      <c r="BK33" s="1" t="s">
        <v>74</v>
      </c>
      <c r="BL33" s="1" t="s">
        <v>74</v>
      </c>
      <c r="BM33" s="1" t="s">
        <v>74</v>
      </c>
      <c r="BN33" s="1" t="s">
        <v>74</v>
      </c>
      <c r="BO33" s="1" t="s">
        <v>74</v>
      </c>
      <c r="BP33" s="1" t="s">
        <v>74</v>
      </c>
      <c r="BQ33" s="1" t="s">
        <v>74</v>
      </c>
      <c r="BR33" s="1" t="s">
        <v>74</v>
      </c>
      <c r="BS33" s="1" t="s">
        <v>400</v>
      </c>
      <c r="BT33" s="1" t="str">
        <f>HYPERLINK("https%3A%2F%2Fwww.webofscience.com%2Fwos%2Fwoscc%2Ffull-record%2FWOS:000330219400007","View Full Record in Web of Science")</f>
        <v>View Full Record in Web of Science</v>
      </c>
    </row>
    <row r="34" ht="12.75" customHeight="1">
      <c r="A34" s="1" t="s">
        <v>72</v>
      </c>
      <c r="B34" s="1" t="s">
        <v>401</v>
      </c>
      <c r="C34" s="1" t="s">
        <v>74</v>
      </c>
      <c r="D34" s="1" t="s">
        <v>74</v>
      </c>
      <c r="E34" s="1" t="s">
        <v>74</v>
      </c>
      <c r="F34" s="1" t="s">
        <v>402</v>
      </c>
      <c r="G34" s="1" t="s">
        <v>74</v>
      </c>
      <c r="H34" s="1" t="s">
        <v>74</v>
      </c>
      <c r="I34" s="1" t="s">
        <v>403</v>
      </c>
      <c r="J34" s="1" t="s">
        <v>404</v>
      </c>
      <c r="K34" s="1" t="s">
        <v>74</v>
      </c>
      <c r="L34" s="1" t="s">
        <v>74</v>
      </c>
      <c r="M34" s="1" t="s">
        <v>74</v>
      </c>
      <c r="N34" s="1" t="s">
        <v>74</v>
      </c>
      <c r="O34" s="1" t="s">
        <v>74</v>
      </c>
      <c r="P34" s="1" t="s">
        <v>74</v>
      </c>
      <c r="Q34" s="1" t="s">
        <v>74</v>
      </c>
      <c r="R34" s="1" t="s">
        <v>74</v>
      </c>
      <c r="S34" s="1" t="s">
        <v>74</v>
      </c>
      <c r="T34" s="1" t="s">
        <v>74</v>
      </c>
      <c r="U34" s="1" t="s">
        <v>74</v>
      </c>
      <c r="V34" s="1" t="s">
        <v>405</v>
      </c>
      <c r="W34" s="1" t="s">
        <v>74</v>
      </c>
      <c r="X34" s="1" t="s">
        <v>74</v>
      </c>
      <c r="Y34" s="1" t="s">
        <v>74</v>
      </c>
      <c r="Z34" s="1" t="s">
        <v>74</v>
      </c>
      <c r="AA34" s="1" t="s">
        <v>406</v>
      </c>
      <c r="AB34" s="1" t="s">
        <v>407</v>
      </c>
      <c r="AC34" s="1" t="s">
        <v>74</v>
      </c>
      <c r="AD34" s="1" t="s">
        <v>74</v>
      </c>
      <c r="AE34" s="1" t="s">
        <v>74</v>
      </c>
      <c r="AF34" s="1" t="s">
        <v>74</v>
      </c>
      <c r="AG34" s="1" t="s">
        <v>74</v>
      </c>
      <c r="AH34" s="1" t="s">
        <v>74</v>
      </c>
      <c r="AI34" s="1" t="s">
        <v>74</v>
      </c>
      <c r="AJ34" s="1" t="s">
        <v>74</v>
      </c>
      <c r="AK34" s="1" t="s">
        <v>74</v>
      </c>
      <c r="AL34" s="1" t="s">
        <v>74</v>
      </c>
      <c r="AM34" s="1" t="s">
        <v>74</v>
      </c>
      <c r="AN34" s="1" t="s">
        <v>74</v>
      </c>
      <c r="AO34" s="1" t="s">
        <v>408</v>
      </c>
      <c r="AP34" s="1" t="s">
        <v>409</v>
      </c>
      <c r="AQ34" s="1" t="s">
        <v>74</v>
      </c>
      <c r="AR34" s="1" t="s">
        <v>74</v>
      </c>
      <c r="AS34" s="1" t="s">
        <v>74</v>
      </c>
      <c r="AT34" s="1" t="s">
        <v>410</v>
      </c>
      <c r="AU34" s="1">
        <v>2013.0</v>
      </c>
      <c r="AV34" s="1">
        <v>36.0</v>
      </c>
      <c r="AW34" s="1">
        <v>11.0</v>
      </c>
      <c r="AX34" s="1" t="s">
        <v>74</v>
      </c>
      <c r="AY34" s="1" t="s">
        <v>74</v>
      </c>
      <c r="AZ34" s="1" t="s">
        <v>74</v>
      </c>
      <c r="BA34" s="1" t="s">
        <v>74</v>
      </c>
      <c r="BB34" s="1">
        <v>1675.0</v>
      </c>
      <c r="BC34" s="1">
        <v>1687.0</v>
      </c>
      <c r="BD34" s="1" t="s">
        <v>74</v>
      </c>
      <c r="BE34" s="1" t="s">
        <v>411</v>
      </c>
      <c r="BF34" s="2" t="str">
        <f>HYPERLINK("http://dx.doi.org/10.1007/s00449-013-0942-2","http://dx.doi.org/10.1007/s00449-013-0942-2")</f>
        <v>http://dx.doi.org/10.1007/s00449-013-0942-2</v>
      </c>
      <c r="BG34" s="1" t="s">
        <v>74</v>
      </c>
      <c r="BH34" s="1" t="s">
        <v>74</v>
      </c>
      <c r="BI34" s="1" t="s">
        <v>74</v>
      </c>
      <c r="BJ34" s="1" t="s">
        <v>74</v>
      </c>
      <c r="BK34" s="1" t="s">
        <v>74</v>
      </c>
      <c r="BL34" s="1" t="s">
        <v>74</v>
      </c>
      <c r="BM34" s="1" t="s">
        <v>74</v>
      </c>
      <c r="BN34" s="1">
        <v>2.3529407E7</v>
      </c>
      <c r="BO34" s="1" t="s">
        <v>74</v>
      </c>
      <c r="BP34" s="1" t="s">
        <v>74</v>
      </c>
      <c r="BQ34" s="1" t="s">
        <v>74</v>
      </c>
      <c r="BR34" s="1" t="s">
        <v>74</v>
      </c>
      <c r="BS34" s="1" t="s">
        <v>412</v>
      </c>
      <c r="BT34" s="1" t="str">
        <f>HYPERLINK("https%3A%2F%2Fwww.webofscience.com%2Fwos%2Fwoscc%2Ffull-record%2FWOS:000325772600015","View Full Record in Web of Science")</f>
        <v>View Full Record in Web of Science</v>
      </c>
    </row>
    <row r="35" ht="12.75" customHeight="1">
      <c r="A35" s="1" t="s">
        <v>72</v>
      </c>
      <c r="B35" s="1" t="s">
        <v>413</v>
      </c>
      <c r="C35" s="1" t="s">
        <v>74</v>
      </c>
      <c r="D35" s="1" t="s">
        <v>74</v>
      </c>
      <c r="E35" s="1" t="s">
        <v>74</v>
      </c>
      <c r="F35" s="1" t="s">
        <v>414</v>
      </c>
      <c r="G35" s="1" t="s">
        <v>74</v>
      </c>
      <c r="H35" s="1" t="s">
        <v>74</v>
      </c>
      <c r="I35" s="1" t="s">
        <v>415</v>
      </c>
      <c r="J35" s="1" t="s">
        <v>416</v>
      </c>
      <c r="K35" s="1" t="s">
        <v>74</v>
      </c>
      <c r="L35" s="1" t="s">
        <v>74</v>
      </c>
      <c r="M35" s="1" t="s">
        <v>74</v>
      </c>
      <c r="N35" s="1" t="s">
        <v>74</v>
      </c>
      <c r="O35" s="1" t="s">
        <v>74</v>
      </c>
      <c r="P35" s="1" t="s">
        <v>74</v>
      </c>
      <c r="Q35" s="1" t="s">
        <v>74</v>
      </c>
      <c r="R35" s="1" t="s">
        <v>74</v>
      </c>
      <c r="S35" s="1" t="s">
        <v>74</v>
      </c>
      <c r="T35" s="1" t="s">
        <v>74</v>
      </c>
      <c r="U35" s="1" t="s">
        <v>74</v>
      </c>
      <c r="V35" s="1" t="s">
        <v>417</v>
      </c>
      <c r="W35" s="1" t="s">
        <v>74</v>
      </c>
      <c r="X35" s="1" t="s">
        <v>74</v>
      </c>
      <c r="Y35" s="1" t="s">
        <v>74</v>
      </c>
      <c r="Z35" s="1" t="s">
        <v>74</v>
      </c>
      <c r="AA35" s="1" t="s">
        <v>74</v>
      </c>
      <c r="AB35" s="1" t="s">
        <v>74</v>
      </c>
      <c r="AC35" s="1" t="s">
        <v>74</v>
      </c>
      <c r="AD35" s="1" t="s">
        <v>74</v>
      </c>
      <c r="AE35" s="1" t="s">
        <v>74</v>
      </c>
      <c r="AF35" s="1" t="s">
        <v>74</v>
      </c>
      <c r="AG35" s="1" t="s">
        <v>74</v>
      </c>
      <c r="AH35" s="1" t="s">
        <v>74</v>
      </c>
      <c r="AI35" s="1" t="s">
        <v>74</v>
      </c>
      <c r="AJ35" s="1" t="s">
        <v>74</v>
      </c>
      <c r="AK35" s="1" t="s">
        <v>74</v>
      </c>
      <c r="AL35" s="1" t="s">
        <v>74</v>
      </c>
      <c r="AM35" s="1" t="s">
        <v>74</v>
      </c>
      <c r="AN35" s="1" t="s">
        <v>74</v>
      </c>
      <c r="AO35" s="1" t="s">
        <v>418</v>
      </c>
      <c r="AP35" s="1" t="s">
        <v>419</v>
      </c>
      <c r="AQ35" s="1" t="s">
        <v>74</v>
      </c>
      <c r="AR35" s="1" t="s">
        <v>74</v>
      </c>
      <c r="AS35" s="1" t="s">
        <v>74</v>
      </c>
      <c r="AT35" s="1" t="s">
        <v>276</v>
      </c>
      <c r="AU35" s="1">
        <v>2013.0</v>
      </c>
      <c r="AV35" s="1">
        <v>87.0</v>
      </c>
      <c r="AW35" s="1">
        <v>2.0</v>
      </c>
      <c r="AX35" s="1" t="s">
        <v>74</v>
      </c>
      <c r="AY35" s="1" t="s">
        <v>74</v>
      </c>
      <c r="AZ35" s="1" t="s">
        <v>74</v>
      </c>
      <c r="BA35" s="1" t="s">
        <v>74</v>
      </c>
      <c r="BB35" s="1">
        <v>277.0</v>
      </c>
      <c r="BC35" s="1">
        <v>297.0</v>
      </c>
      <c r="BD35" s="1" t="s">
        <v>74</v>
      </c>
      <c r="BE35" s="1" t="s">
        <v>420</v>
      </c>
      <c r="BF35" s="2" t="str">
        <f>HYPERLINK("http://dx.doi.org/10.1007/s00233-013-9485-8","http://dx.doi.org/10.1007/s00233-013-9485-8")</f>
        <v>http://dx.doi.org/10.1007/s00233-013-9485-8</v>
      </c>
      <c r="BG35" s="1" t="s">
        <v>74</v>
      </c>
      <c r="BH35" s="1" t="s">
        <v>74</v>
      </c>
      <c r="BI35" s="1" t="s">
        <v>74</v>
      </c>
      <c r="BJ35" s="1" t="s">
        <v>74</v>
      </c>
      <c r="BK35" s="1" t="s">
        <v>74</v>
      </c>
      <c r="BL35" s="1" t="s">
        <v>74</v>
      </c>
      <c r="BM35" s="1" t="s">
        <v>74</v>
      </c>
      <c r="BN35" s="1" t="s">
        <v>74</v>
      </c>
      <c r="BO35" s="1" t="s">
        <v>74</v>
      </c>
      <c r="BP35" s="1" t="s">
        <v>74</v>
      </c>
      <c r="BQ35" s="1" t="s">
        <v>74</v>
      </c>
      <c r="BR35" s="1" t="s">
        <v>74</v>
      </c>
      <c r="BS35" s="1" t="s">
        <v>421</v>
      </c>
      <c r="BT35" s="1" t="str">
        <f>HYPERLINK("https%3A%2F%2Fwww.webofscience.com%2Fwos%2Fwoscc%2Ffull-record%2FWOS:000325259400001","View Full Record in Web of Science")</f>
        <v>View Full Record in Web of Science</v>
      </c>
    </row>
    <row r="36" ht="12.75" customHeight="1">
      <c r="A36" s="1" t="s">
        <v>72</v>
      </c>
      <c r="B36" s="1" t="s">
        <v>422</v>
      </c>
      <c r="C36" s="1" t="s">
        <v>74</v>
      </c>
      <c r="D36" s="1" t="s">
        <v>74</v>
      </c>
      <c r="E36" s="1" t="s">
        <v>74</v>
      </c>
      <c r="F36" s="1" t="s">
        <v>423</v>
      </c>
      <c r="G36" s="1" t="s">
        <v>74</v>
      </c>
      <c r="H36" s="1" t="s">
        <v>74</v>
      </c>
      <c r="I36" s="1" t="s">
        <v>424</v>
      </c>
      <c r="J36" s="1" t="s">
        <v>89</v>
      </c>
      <c r="K36" s="1" t="s">
        <v>74</v>
      </c>
      <c r="L36" s="1" t="s">
        <v>74</v>
      </c>
      <c r="M36" s="1" t="s">
        <v>74</v>
      </c>
      <c r="N36" s="1" t="s">
        <v>74</v>
      </c>
      <c r="O36" s="1" t="s">
        <v>74</v>
      </c>
      <c r="P36" s="1" t="s">
        <v>74</v>
      </c>
      <c r="Q36" s="1" t="s">
        <v>74</v>
      </c>
      <c r="R36" s="1" t="s">
        <v>74</v>
      </c>
      <c r="S36" s="1" t="s">
        <v>74</v>
      </c>
      <c r="T36" s="1" t="s">
        <v>74</v>
      </c>
      <c r="U36" s="1" t="s">
        <v>74</v>
      </c>
      <c r="V36" s="1" t="s">
        <v>425</v>
      </c>
      <c r="W36" s="1" t="s">
        <v>74</v>
      </c>
      <c r="X36" s="1" t="s">
        <v>74</v>
      </c>
      <c r="Y36" s="1" t="s">
        <v>74</v>
      </c>
      <c r="Z36" s="1" t="s">
        <v>74</v>
      </c>
      <c r="AA36" s="1" t="s">
        <v>74</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90</v>
      </c>
      <c r="AP36" s="1" t="s">
        <v>74</v>
      </c>
      <c r="AQ36" s="1" t="s">
        <v>74</v>
      </c>
      <c r="AR36" s="1" t="s">
        <v>74</v>
      </c>
      <c r="AS36" s="1" t="s">
        <v>74</v>
      </c>
      <c r="AT36" s="1" t="s">
        <v>74</v>
      </c>
      <c r="AU36" s="1">
        <v>2013.0</v>
      </c>
      <c r="AV36" s="1" t="s">
        <v>74</v>
      </c>
      <c r="AW36" s="1">
        <v>508.0</v>
      </c>
      <c r="AX36" s="1" t="s">
        <v>74</v>
      </c>
      <c r="AY36" s="1" t="s">
        <v>74</v>
      </c>
      <c r="AZ36" s="1" t="s">
        <v>74</v>
      </c>
      <c r="BA36" s="1" t="s">
        <v>74</v>
      </c>
      <c r="BB36" s="1">
        <v>91.0</v>
      </c>
      <c r="BC36" s="1">
        <v>100.0</v>
      </c>
      <c r="BD36" s="1" t="s">
        <v>74</v>
      </c>
      <c r="BE36" s="1" t="s">
        <v>74</v>
      </c>
      <c r="BF36" s="1" t="s">
        <v>74</v>
      </c>
      <c r="BG36" s="1" t="s">
        <v>74</v>
      </c>
      <c r="BH36" s="1" t="s">
        <v>74</v>
      </c>
      <c r="BI36" s="1" t="s">
        <v>74</v>
      </c>
      <c r="BJ36" s="1" t="s">
        <v>74</v>
      </c>
      <c r="BK36" s="1" t="s">
        <v>74</v>
      </c>
      <c r="BL36" s="1" t="s">
        <v>74</v>
      </c>
      <c r="BM36" s="1" t="s">
        <v>74</v>
      </c>
      <c r="BN36" s="1" t="s">
        <v>74</v>
      </c>
      <c r="BO36" s="1" t="s">
        <v>74</v>
      </c>
      <c r="BP36" s="1" t="s">
        <v>74</v>
      </c>
      <c r="BQ36" s="1" t="s">
        <v>74</v>
      </c>
      <c r="BR36" s="1" t="s">
        <v>74</v>
      </c>
      <c r="BS36" s="1" t="s">
        <v>426</v>
      </c>
      <c r="BT36" s="1" t="str">
        <f>HYPERLINK("https%3A%2F%2Fwww.webofscience.com%2Fwos%2Fwoscc%2Ffull-record%2FWOS:000334150500007","View Full Record in Web of Science")</f>
        <v>View Full Record in Web of Science</v>
      </c>
    </row>
    <row r="37" ht="12.75" customHeight="1">
      <c r="A37" s="1" t="s">
        <v>72</v>
      </c>
      <c r="B37" s="1" t="s">
        <v>427</v>
      </c>
      <c r="C37" s="1" t="s">
        <v>74</v>
      </c>
      <c r="D37" s="1" t="s">
        <v>74</v>
      </c>
      <c r="E37" s="1" t="s">
        <v>74</v>
      </c>
      <c r="F37" s="1" t="s">
        <v>428</v>
      </c>
      <c r="G37" s="1" t="s">
        <v>74</v>
      </c>
      <c r="H37" s="1" t="s">
        <v>74</v>
      </c>
      <c r="I37" s="1" t="s">
        <v>429</v>
      </c>
      <c r="J37" s="1" t="s">
        <v>430</v>
      </c>
      <c r="K37" s="1" t="s">
        <v>74</v>
      </c>
      <c r="L37" s="1" t="s">
        <v>74</v>
      </c>
      <c r="M37" s="1" t="s">
        <v>74</v>
      </c>
      <c r="N37" s="1" t="s">
        <v>74</v>
      </c>
      <c r="O37" s="1" t="s">
        <v>74</v>
      </c>
      <c r="P37" s="1" t="s">
        <v>74</v>
      </c>
      <c r="Q37" s="1" t="s">
        <v>74</v>
      </c>
      <c r="R37" s="1" t="s">
        <v>74</v>
      </c>
      <c r="S37" s="1" t="s">
        <v>74</v>
      </c>
      <c r="T37" s="1" t="s">
        <v>74</v>
      </c>
      <c r="U37" s="1" t="s">
        <v>74</v>
      </c>
      <c r="V37" s="1" t="s">
        <v>431</v>
      </c>
      <c r="W37" s="1" t="s">
        <v>74</v>
      </c>
      <c r="X37" s="1" t="s">
        <v>74</v>
      </c>
      <c r="Y37" s="1" t="s">
        <v>74</v>
      </c>
      <c r="Z37" s="1" t="s">
        <v>74</v>
      </c>
      <c r="AA37" s="1" t="s">
        <v>74</v>
      </c>
      <c r="AB37" s="1" t="s">
        <v>74</v>
      </c>
      <c r="AC37" s="1" t="s">
        <v>74</v>
      </c>
      <c r="AD37" s="1" t="s">
        <v>74</v>
      </c>
      <c r="AE37" s="1" t="s">
        <v>74</v>
      </c>
      <c r="AF37" s="1" t="s">
        <v>74</v>
      </c>
      <c r="AG37" s="1" t="s">
        <v>74</v>
      </c>
      <c r="AH37" s="1" t="s">
        <v>74</v>
      </c>
      <c r="AI37" s="1" t="s">
        <v>74</v>
      </c>
      <c r="AJ37" s="1" t="s">
        <v>74</v>
      </c>
      <c r="AK37" s="1" t="s">
        <v>74</v>
      </c>
      <c r="AL37" s="1" t="s">
        <v>74</v>
      </c>
      <c r="AM37" s="1" t="s">
        <v>74</v>
      </c>
      <c r="AN37" s="1" t="s">
        <v>74</v>
      </c>
      <c r="AO37" s="1" t="s">
        <v>432</v>
      </c>
      <c r="AP37" s="1" t="s">
        <v>74</v>
      </c>
      <c r="AQ37" s="1" t="s">
        <v>74</v>
      </c>
      <c r="AR37" s="1" t="s">
        <v>74</v>
      </c>
      <c r="AS37" s="1" t="s">
        <v>74</v>
      </c>
      <c r="AT37" s="1" t="s">
        <v>74</v>
      </c>
      <c r="AU37" s="1">
        <v>2013.0</v>
      </c>
      <c r="AV37" s="1">
        <v>42.0</v>
      </c>
      <c r="AW37" s="1" t="s">
        <v>433</v>
      </c>
      <c r="AX37" s="1" t="s">
        <v>74</v>
      </c>
      <c r="AY37" s="1" t="s">
        <v>74</v>
      </c>
      <c r="AZ37" s="1" t="s">
        <v>74</v>
      </c>
      <c r="BA37" s="1" t="s">
        <v>74</v>
      </c>
      <c r="BB37" s="1">
        <v>174.0</v>
      </c>
      <c r="BC37" s="1">
        <v>184.0</v>
      </c>
      <c r="BD37" s="1" t="s">
        <v>74</v>
      </c>
      <c r="BE37" s="1" t="s">
        <v>434</v>
      </c>
      <c r="BF37" s="2" t="str">
        <f>HYPERLINK("http://dx.doi.org/10.1108/03684921311310558","http://dx.doi.org/10.1108/03684921311310558")</f>
        <v>http://dx.doi.org/10.1108/03684921311310558</v>
      </c>
      <c r="BG37" s="1" t="s">
        <v>74</v>
      </c>
      <c r="BH37" s="1" t="s">
        <v>74</v>
      </c>
      <c r="BI37" s="1" t="s">
        <v>74</v>
      </c>
      <c r="BJ37" s="1" t="s">
        <v>74</v>
      </c>
      <c r="BK37" s="1" t="s">
        <v>74</v>
      </c>
      <c r="BL37" s="1" t="s">
        <v>74</v>
      </c>
      <c r="BM37" s="1" t="s">
        <v>74</v>
      </c>
      <c r="BN37" s="1" t="s">
        <v>74</v>
      </c>
      <c r="BO37" s="1" t="s">
        <v>74</v>
      </c>
      <c r="BP37" s="1" t="s">
        <v>74</v>
      </c>
      <c r="BQ37" s="1" t="s">
        <v>74</v>
      </c>
      <c r="BR37" s="1" t="s">
        <v>74</v>
      </c>
      <c r="BS37" s="1" t="s">
        <v>435</v>
      </c>
      <c r="BT37" s="1" t="str">
        <f>HYPERLINK("https%3A%2F%2Fwww.webofscience.com%2Fwos%2Fwoscc%2Ffull-record%2FWOS:000316432900012","View Full Record in Web of Science")</f>
        <v>View Full Record in Web of Science</v>
      </c>
    </row>
    <row r="38" ht="12.75" customHeight="1">
      <c r="A38" s="1" t="s">
        <v>72</v>
      </c>
      <c r="B38" s="1" t="s">
        <v>436</v>
      </c>
      <c r="C38" s="1" t="s">
        <v>74</v>
      </c>
      <c r="D38" s="1" t="s">
        <v>74</v>
      </c>
      <c r="E38" s="1" t="s">
        <v>74</v>
      </c>
      <c r="F38" s="1" t="s">
        <v>437</v>
      </c>
      <c r="G38" s="1" t="s">
        <v>74</v>
      </c>
      <c r="H38" s="1" t="s">
        <v>74</v>
      </c>
      <c r="I38" s="1" t="s">
        <v>438</v>
      </c>
      <c r="J38" s="1" t="s">
        <v>439</v>
      </c>
      <c r="K38" s="1" t="s">
        <v>74</v>
      </c>
      <c r="L38" s="1" t="s">
        <v>74</v>
      </c>
      <c r="M38" s="1" t="s">
        <v>74</v>
      </c>
      <c r="N38" s="1" t="s">
        <v>74</v>
      </c>
      <c r="O38" s="1" t="s">
        <v>74</v>
      </c>
      <c r="P38" s="1" t="s">
        <v>74</v>
      </c>
      <c r="Q38" s="1" t="s">
        <v>74</v>
      </c>
      <c r="R38" s="1" t="s">
        <v>74</v>
      </c>
      <c r="S38" s="1" t="s">
        <v>74</v>
      </c>
      <c r="T38" s="1" t="s">
        <v>74</v>
      </c>
      <c r="U38" s="1" t="s">
        <v>74</v>
      </c>
      <c r="V38" s="1" t="s">
        <v>440</v>
      </c>
      <c r="W38" s="1" t="s">
        <v>74</v>
      </c>
      <c r="X38" s="1" t="s">
        <v>74</v>
      </c>
      <c r="Y38" s="1" t="s">
        <v>74</v>
      </c>
      <c r="Z38" s="1" t="s">
        <v>74</v>
      </c>
      <c r="AA38" s="1" t="s">
        <v>441</v>
      </c>
      <c r="AB38" s="1" t="s">
        <v>442</v>
      </c>
      <c r="AC38" s="1" t="s">
        <v>74</v>
      </c>
      <c r="AD38" s="1" t="s">
        <v>74</v>
      </c>
      <c r="AE38" s="1" t="s">
        <v>74</v>
      </c>
      <c r="AF38" s="1" t="s">
        <v>74</v>
      </c>
      <c r="AG38" s="1" t="s">
        <v>74</v>
      </c>
      <c r="AH38" s="1" t="s">
        <v>74</v>
      </c>
      <c r="AI38" s="1" t="s">
        <v>74</v>
      </c>
      <c r="AJ38" s="1" t="s">
        <v>74</v>
      </c>
      <c r="AK38" s="1" t="s">
        <v>74</v>
      </c>
      <c r="AL38" s="1" t="s">
        <v>74</v>
      </c>
      <c r="AM38" s="1" t="s">
        <v>74</v>
      </c>
      <c r="AN38" s="1" t="s">
        <v>74</v>
      </c>
      <c r="AO38" s="1" t="s">
        <v>443</v>
      </c>
      <c r="AP38" s="1" t="s">
        <v>74</v>
      </c>
      <c r="AQ38" s="1" t="s">
        <v>74</v>
      </c>
      <c r="AR38" s="1" t="s">
        <v>74</v>
      </c>
      <c r="AS38" s="1" t="s">
        <v>74</v>
      </c>
      <c r="AT38" s="1" t="s">
        <v>410</v>
      </c>
      <c r="AU38" s="1">
        <v>2012.0</v>
      </c>
      <c r="AV38" s="1">
        <v>7.0</v>
      </c>
      <c r="AW38" s="1">
        <v>11.0</v>
      </c>
      <c r="AX38" s="1" t="s">
        <v>74</v>
      </c>
      <c r="AY38" s="1" t="s">
        <v>74</v>
      </c>
      <c r="AZ38" s="1" t="s">
        <v>74</v>
      </c>
      <c r="BA38" s="1" t="s">
        <v>74</v>
      </c>
      <c r="BB38" s="1">
        <v>11596.0</v>
      </c>
      <c r="BC38" s="1">
        <v>11608.0</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444</v>
      </c>
      <c r="BT38" s="1" t="str">
        <f>HYPERLINK("https%3A%2F%2Fwww.webofscience.com%2Fwos%2Fwoscc%2Ffull-record%2FWOS:000312934600104","View Full Record in Web of Science")</f>
        <v>View Full Record in Web of Science</v>
      </c>
    </row>
    <row r="39" ht="12.75" customHeight="1">
      <c r="A39" s="1" t="s">
        <v>72</v>
      </c>
      <c r="B39" s="1" t="s">
        <v>445</v>
      </c>
      <c r="C39" s="1" t="s">
        <v>74</v>
      </c>
      <c r="D39" s="1" t="s">
        <v>74</v>
      </c>
      <c r="E39" s="1" t="s">
        <v>74</v>
      </c>
      <c r="F39" s="1" t="s">
        <v>446</v>
      </c>
      <c r="G39" s="1" t="s">
        <v>74</v>
      </c>
      <c r="H39" s="1" t="s">
        <v>74</v>
      </c>
      <c r="I39" s="1" t="s">
        <v>447</v>
      </c>
      <c r="J39" s="1" t="s">
        <v>448</v>
      </c>
      <c r="K39" s="1" t="s">
        <v>74</v>
      </c>
      <c r="L39" s="1" t="s">
        <v>74</v>
      </c>
      <c r="M39" s="1" t="s">
        <v>74</v>
      </c>
      <c r="N39" s="1" t="s">
        <v>74</v>
      </c>
      <c r="O39" s="1" t="s">
        <v>74</v>
      </c>
      <c r="P39" s="1" t="s">
        <v>74</v>
      </c>
      <c r="Q39" s="1" t="s">
        <v>74</v>
      </c>
      <c r="R39" s="1" t="s">
        <v>74</v>
      </c>
      <c r="S39" s="1" t="s">
        <v>74</v>
      </c>
      <c r="T39" s="1" t="s">
        <v>74</v>
      </c>
      <c r="U39" s="1" t="s">
        <v>74</v>
      </c>
      <c r="V39" s="1" t="s">
        <v>449</v>
      </c>
      <c r="W39" s="1" t="s">
        <v>74</v>
      </c>
      <c r="X39" s="1" t="s">
        <v>74</v>
      </c>
      <c r="Y39" s="1" t="s">
        <v>74</v>
      </c>
      <c r="Z39" s="1" t="s">
        <v>74</v>
      </c>
      <c r="AA39" s="1" t="s">
        <v>450</v>
      </c>
      <c r="AB39" s="1" t="s">
        <v>451</v>
      </c>
      <c r="AC39" s="1" t="s">
        <v>74</v>
      </c>
      <c r="AD39" s="1" t="s">
        <v>74</v>
      </c>
      <c r="AE39" s="1" t="s">
        <v>74</v>
      </c>
      <c r="AF39" s="1" t="s">
        <v>74</v>
      </c>
      <c r="AG39" s="1" t="s">
        <v>74</v>
      </c>
      <c r="AH39" s="1" t="s">
        <v>74</v>
      </c>
      <c r="AI39" s="1" t="s">
        <v>74</v>
      </c>
      <c r="AJ39" s="1" t="s">
        <v>74</v>
      </c>
      <c r="AK39" s="1" t="s">
        <v>74</v>
      </c>
      <c r="AL39" s="1" t="s">
        <v>74</v>
      </c>
      <c r="AM39" s="1" t="s">
        <v>74</v>
      </c>
      <c r="AN39" s="1" t="s">
        <v>74</v>
      </c>
      <c r="AO39" s="1" t="s">
        <v>452</v>
      </c>
      <c r="AP39" s="1" t="s">
        <v>453</v>
      </c>
      <c r="AQ39" s="1" t="s">
        <v>74</v>
      </c>
      <c r="AR39" s="1" t="s">
        <v>74</v>
      </c>
      <c r="AS39" s="1" t="s">
        <v>74</v>
      </c>
      <c r="AT39" s="1" t="s">
        <v>454</v>
      </c>
      <c r="AU39" s="1">
        <v>2012.0</v>
      </c>
      <c r="AV39" s="1">
        <v>242.0</v>
      </c>
      <c r="AW39" s="1" t="s">
        <v>74</v>
      </c>
      <c r="AX39" s="1" t="s">
        <v>74</v>
      </c>
      <c r="AY39" s="1" t="s">
        <v>74</v>
      </c>
      <c r="AZ39" s="1" t="s">
        <v>74</v>
      </c>
      <c r="BA39" s="1" t="s">
        <v>74</v>
      </c>
      <c r="BB39" s="1">
        <v>20.0</v>
      </c>
      <c r="BC39" s="1">
        <v>27.0</v>
      </c>
      <c r="BD39" s="1" t="s">
        <v>74</v>
      </c>
      <c r="BE39" s="1" t="s">
        <v>455</v>
      </c>
      <c r="BF39" s="2" t="str">
        <f>HYPERLINK("http://dx.doi.org/10.1016/j.jphotochem.2012.05.019","http://dx.doi.org/10.1016/j.jphotochem.2012.05.019")</f>
        <v>http://dx.doi.org/10.1016/j.jphotochem.2012.05.019</v>
      </c>
      <c r="BG39" s="1" t="s">
        <v>74</v>
      </c>
      <c r="BH39" s="1" t="s">
        <v>74</v>
      </c>
      <c r="BI39" s="1" t="s">
        <v>74</v>
      </c>
      <c r="BJ39" s="1" t="s">
        <v>74</v>
      </c>
      <c r="BK39" s="1" t="s">
        <v>74</v>
      </c>
      <c r="BL39" s="1" t="s">
        <v>74</v>
      </c>
      <c r="BM39" s="1" t="s">
        <v>74</v>
      </c>
      <c r="BN39" s="1" t="s">
        <v>74</v>
      </c>
      <c r="BO39" s="1" t="s">
        <v>74</v>
      </c>
      <c r="BP39" s="1" t="s">
        <v>74</v>
      </c>
      <c r="BQ39" s="1" t="s">
        <v>74</v>
      </c>
      <c r="BR39" s="1" t="s">
        <v>74</v>
      </c>
      <c r="BS39" s="1" t="s">
        <v>456</v>
      </c>
      <c r="BT39" s="1" t="str">
        <f>HYPERLINK("https%3A%2F%2Fwww.webofscience.com%2Fwos%2Fwoscc%2Ffull-record%2FWOS:000307035600003","View Full Record in Web of Science")</f>
        <v>View Full Record in Web of Science</v>
      </c>
    </row>
    <row r="40" ht="12.75" customHeight="1">
      <c r="A40" s="1" t="s">
        <v>126</v>
      </c>
      <c r="B40" s="1" t="s">
        <v>457</v>
      </c>
      <c r="C40" s="1" t="s">
        <v>74</v>
      </c>
      <c r="D40" s="1" t="s">
        <v>74</v>
      </c>
      <c r="E40" s="1" t="s">
        <v>458</v>
      </c>
      <c r="F40" s="1" t="s">
        <v>459</v>
      </c>
      <c r="G40" s="1" t="s">
        <v>74</v>
      </c>
      <c r="H40" s="1" t="s">
        <v>74</v>
      </c>
      <c r="I40" s="1" t="s">
        <v>460</v>
      </c>
      <c r="J40" s="1" t="s">
        <v>461</v>
      </c>
      <c r="K40" s="1" t="s">
        <v>74</v>
      </c>
      <c r="L40" s="1" t="s">
        <v>74</v>
      </c>
      <c r="M40" s="1" t="s">
        <v>74</v>
      </c>
      <c r="N40" s="1" t="s">
        <v>74</v>
      </c>
      <c r="O40" s="1" t="s">
        <v>462</v>
      </c>
      <c r="P40" s="1" t="s">
        <v>463</v>
      </c>
      <c r="Q40" s="1" t="s">
        <v>464</v>
      </c>
      <c r="R40" s="1" t="s">
        <v>465</v>
      </c>
      <c r="S40" s="1" t="s">
        <v>74</v>
      </c>
      <c r="T40" s="1" t="s">
        <v>74</v>
      </c>
      <c r="U40" s="1" t="s">
        <v>74</v>
      </c>
      <c r="V40" s="1" t="s">
        <v>466</v>
      </c>
      <c r="W40" s="1" t="s">
        <v>74</v>
      </c>
      <c r="X40" s="1" t="s">
        <v>74</v>
      </c>
      <c r="Y40" s="1" t="s">
        <v>74</v>
      </c>
      <c r="Z40" s="1" t="s">
        <v>74</v>
      </c>
      <c r="AA40" s="1" t="s">
        <v>74</v>
      </c>
      <c r="AB40" s="1" t="s">
        <v>74</v>
      </c>
      <c r="AC40" s="1" t="s">
        <v>74</v>
      </c>
      <c r="AD40" s="1" t="s">
        <v>74</v>
      </c>
      <c r="AE40" s="1" t="s">
        <v>74</v>
      </c>
      <c r="AF40" s="1" t="s">
        <v>74</v>
      </c>
      <c r="AG40" s="1" t="s">
        <v>74</v>
      </c>
      <c r="AH40" s="1" t="s">
        <v>74</v>
      </c>
      <c r="AI40" s="1" t="s">
        <v>74</v>
      </c>
      <c r="AJ40" s="1" t="s">
        <v>74</v>
      </c>
      <c r="AK40" s="1" t="s">
        <v>74</v>
      </c>
      <c r="AL40" s="1" t="s">
        <v>74</v>
      </c>
      <c r="AM40" s="1" t="s">
        <v>74</v>
      </c>
      <c r="AN40" s="1" t="s">
        <v>74</v>
      </c>
      <c r="AO40" s="1" t="s">
        <v>74</v>
      </c>
      <c r="AP40" s="1" t="s">
        <v>74</v>
      </c>
      <c r="AQ40" s="1" t="s">
        <v>467</v>
      </c>
      <c r="AR40" s="1" t="s">
        <v>74</v>
      </c>
      <c r="AS40" s="1" t="s">
        <v>74</v>
      </c>
      <c r="AT40" s="1" t="s">
        <v>74</v>
      </c>
      <c r="AU40" s="1">
        <v>2012.0</v>
      </c>
      <c r="AV40" s="1" t="s">
        <v>74</v>
      </c>
      <c r="AW40" s="1" t="s">
        <v>74</v>
      </c>
      <c r="AX40" s="1" t="s">
        <v>74</v>
      </c>
      <c r="AY40" s="1" t="s">
        <v>74</v>
      </c>
      <c r="AZ40" s="1" t="s">
        <v>74</v>
      </c>
      <c r="BA40" s="1" t="s">
        <v>74</v>
      </c>
      <c r="BB40" s="1">
        <v>619.0</v>
      </c>
      <c r="BC40" s="1">
        <v>625.0</v>
      </c>
      <c r="BD40" s="1" t="s">
        <v>74</v>
      </c>
      <c r="BE40" s="1" t="s">
        <v>74</v>
      </c>
      <c r="BF40" s="1" t="s">
        <v>74</v>
      </c>
      <c r="BG40" s="1" t="s">
        <v>74</v>
      </c>
      <c r="BH40" s="1" t="s">
        <v>74</v>
      </c>
      <c r="BI40" s="1" t="s">
        <v>74</v>
      </c>
      <c r="BJ40" s="1" t="s">
        <v>74</v>
      </c>
      <c r="BK40" s="1" t="s">
        <v>74</v>
      </c>
      <c r="BL40" s="1" t="s">
        <v>74</v>
      </c>
      <c r="BM40" s="1" t="s">
        <v>74</v>
      </c>
      <c r="BN40" s="1" t="s">
        <v>74</v>
      </c>
      <c r="BO40" s="1" t="s">
        <v>74</v>
      </c>
      <c r="BP40" s="1" t="s">
        <v>74</v>
      </c>
      <c r="BQ40" s="1" t="s">
        <v>74</v>
      </c>
      <c r="BR40" s="1" t="s">
        <v>74</v>
      </c>
      <c r="BS40" s="1" t="s">
        <v>468</v>
      </c>
      <c r="BT40" s="1" t="str">
        <f>HYPERLINK("https%3A%2F%2Fwww.webofscience.com%2Fwos%2Fwoscc%2Ffull-record%2FWOS:000320625900071","View Full Record in Web of Science")</f>
        <v>View Full Record in Web of Science</v>
      </c>
    </row>
    <row r="41" ht="12.75" customHeight="1">
      <c r="A41" s="1" t="s">
        <v>72</v>
      </c>
      <c r="B41" s="1" t="s">
        <v>469</v>
      </c>
      <c r="C41" s="1" t="s">
        <v>74</v>
      </c>
      <c r="D41" s="1" t="s">
        <v>74</v>
      </c>
      <c r="E41" s="1" t="s">
        <v>74</v>
      </c>
      <c r="F41" s="1" t="s">
        <v>470</v>
      </c>
      <c r="G41" s="1" t="s">
        <v>74</v>
      </c>
      <c r="H41" s="1" t="s">
        <v>74</v>
      </c>
      <c r="I41" s="1" t="s">
        <v>471</v>
      </c>
      <c r="J41" s="1" t="s">
        <v>472</v>
      </c>
      <c r="K41" s="1" t="s">
        <v>74</v>
      </c>
      <c r="L41" s="1" t="s">
        <v>74</v>
      </c>
      <c r="M41" s="1" t="s">
        <v>74</v>
      </c>
      <c r="N41" s="1" t="s">
        <v>74</v>
      </c>
      <c r="O41" s="1" t="s">
        <v>74</v>
      </c>
      <c r="P41" s="1" t="s">
        <v>74</v>
      </c>
      <c r="Q41" s="1" t="s">
        <v>74</v>
      </c>
      <c r="R41" s="1" t="s">
        <v>74</v>
      </c>
      <c r="S41" s="1" t="s">
        <v>74</v>
      </c>
      <c r="T41" s="1" t="s">
        <v>74</v>
      </c>
      <c r="U41" s="1" t="s">
        <v>74</v>
      </c>
      <c r="V41" s="1" t="s">
        <v>473</v>
      </c>
      <c r="W41" s="1" t="s">
        <v>74</v>
      </c>
      <c r="X41" s="1" t="s">
        <v>74</v>
      </c>
      <c r="Y41" s="1" t="s">
        <v>74</v>
      </c>
      <c r="Z41" s="1" t="s">
        <v>74</v>
      </c>
      <c r="AA41" s="1" t="s">
        <v>474</v>
      </c>
      <c r="AB41" s="1" t="s">
        <v>475</v>
      </c>
      <c r="AC41" s="1" t="s">
        <v>74</v>
      </c>
      <c r="AD41" s="1" t="s">
        <v>74</v>
      </c>
      <c r="AE41" s="1" t="s">
        <v>74</v>
      </c>
      <c r="AF41" s="1" t="s">
        <v>74</v>
      </c>
      <c r="AG41" s="1" t="s">
        <v>74</v>
      </c>
      <c r="AH41" s="1" t="s">
        <v>74</v>
      </c>
      <c r="AI41" s="1" t="s">
        <v>74</v>
      </c>
      <c r="AJ41" s="1" t="s">
        <v>74</v>
      </c>
      <c r="AK41" s="1" t="s">
        <v>74</v>
      </c>
      <c r="AL41" s="1" t="s">
        <v>74</v>
      </c>
      <c r="AM41" s="1" t="s">
        <v>74</v>
      </c>
      <c r="AN41" s="1" t="s">
        <v>74</v>
      </c>
      <c r="AO41" s="1" t="s">
        <v>476</v>
      </c>
      <c r="AP41" s="1" t="s">
        <v>74</v>
      </c>
      <c r="AQ41" s="1" t="s">
        <v>74</v>
      </c>
      <c r="AR41" s="1" t="s">
        <v>74</v>
      </c>
      <c r="AS41" s="1" t="s">
        <v>74</v>
      </c>
      <c r="AT41" s="1" t="s">
        <v>91</v>
      </c>
      <c r="AU41" s="1">
        <v>2011.0</v>
      </c>
      <c r="AV41" s="1">
        <v>29.0</v>
      </c>
      <c r="AW41" s="1">
        <v>1.0</v>
      </c>
      <c r="AX41" s="1" t="s">
        <v>74</v>
      </c>
      <c r="AY41" s="1" t="s">
        <v>74</v>
      </c>
      <c r="AZ41" s="1" t="s">
        <v>74</v>
      </c>
      <c r="BA41" s="1" t="s">
        <v>74</v>
      </c>
      <c r="BB41" s="1">
        <v>33.0</v>
      </c>
      <c r="BC41" s="1">
        <v>42.0</v>
      </c>
      <c r="BD41" s="1" t="s">
        <v>74</v>
      </c>
      <c r="BE41" s="1" t="s">
        <v>477</v>
      </c>
      <c r="BF41" s="2" t="str">
        <f>HYPERLINK("http://dx.doi.org/10.4067/S0718-48082011000100004","http://dx.doi.org/10.4067/S0718-48082011000100004")</f>
        <v>http://dx.doi.org/10.4067/S0718-48082011000100004</v>
      </c>
      <c r="BG41" s="1" t="s">
        <v>74</v>
      </c>
      <c r="BH41" s="1" t="s">
        <v>74</v>
      </c>
      <c r="BI41" s="1" t="s">
        <v>74</v>
      </c>
      <c r="BJ41" s="1" t="s">
        <v>74</v>
      </c>
      <c r="BK41" s="1" t="s">
        <v>74</v>
      </c>
      <c r="BL41" s="1" t="s">
        <v>74</v>
      </c>
      <c r="BM41" s="1" t="s">
        <v>74</v>
      </c>
      <c r="BN41" s="1" t="s">
        <v>74</v>
      </c>
      <c r="BO41" s="1" t="s">
        <v>74</v>
      </c>
      <c r="BP41" s="1" t="s">
        <v>74</v>
      </c>
      <c r="BQ41" s="1" t="s">
        <v>74</v>
      </c>
      <c r="BR41" s="1" t="s">
        <v>74</v>
      </c>
      <c r="BS41" s="1" t="s">
        <v>478</v>
      </c>
      <c r="BT41" s="1" t="str">
        <f>HYPERLINK("https%3A%2F%2Fwww.webofscience.com%2Fwos%2Fwoscc%2Ffull-record%2FWOS:000293210800004","View Full Record in Web of Science")</f>
        <v>View Full Record in Web of Science</v>
      </c>
    </row>
    <row r="42" ht="12.75" customHeight="1">
      <c r="A42" s="1" t="s">
        <v>126</v>
      </c>
      <c r="B42" s="1" t="s">
        <v>479</v>
      </c>
      <c r="C42" s="1" t="s">
        <v>74</v>
      </c>
      <c r="D42" s="1" t="s">
        <v>480</v>
      </c>
      <c r="E42" s="1" t="s">
        <v>74</v>
      </c>
      <c r="F42" s="1" t="s">
        <v>481</v>
      </c>
      <c r="G42" s="1" t="s">
        <v>74</v>
      </c>
      <c r="H42" s="1" t="s">
        <v>74</v>
      </c>
      <c r="I42" s="1" t="s">
        <v>482</v>
      </c>
      <c r="J42" s="1" t="s">
        <v>483</v>
      </c>
      <c r="K42" s="1" t="s">
        <v>484</v>
      </c>
      <c r="L42" s="1" t="s">
        <v>74</v>
      </c>
      <c r="M42" s="1" t="s">
        <v>74</v>
      </c>
      <c r="N42" s="1" t="s">
        <v>74</v>
      </c>
      <c r="O42" s="1" t="s">
        <v>485</v>
      </c>
      <c r="P42" s="1" t="s">
        <v>486</v>
      </c>
      <c r="Q42" s="1" t="s">
        <v>487</v>
      </c>
      <c r="R42" s="1" t="s">
        <v>74</v>
      </c>
      <c r="S42" s="1" t="s">
        <v>74</v>
      </c>
      <c r="T42" s="1" t="s">
        <v>74</v>
      </c>
      <c r="U42" s="1" t="s">
        <v>74</v>
      </c>
      <c r="V42" s="1" t="s">
        <v>488</v>
      </c>
      <c r="W42" s="1" t="s">
        <v>74</v>
      </c>
      <c r="X42" s="1" t="s">
        <v>74</v>
      </c>
      <c r="Y42" s="1" t="s">
        <v>74</v>
      </c>
      <c r="Z42" s="1" t="s">
        <v>74</v>
      </c>
      <c r="AA42" s="1" t="s">
        <v>489</v>
      </c>
      <c r="AB42" s="1" t="s">
        <v>490</v>
      </c>
      <c r="AC42" s="1" t="s">
        <v>74</v>
      </c>
      <c r="AD42" s="1" t="s">
        <v>74</v>
      </c>
      <c r="AE42" s="1" t="s">
        <v>74</v>
      </c>
      <c r="AF42" s="1" t="s">
        <v>74</v>
      </c>
      <c r="AG42" s="1" t="s">
        <v>74</v>
      </c>
      <c r="AH42" s="1" t="s">
        <v>74</v>
      </c>
      <c r="AI42" s="1" t="s">
        <v>74</v>
      </c>
      <c r="AJ42" s="1" t="s">
        <v>74</v>
      </c>
      <c r="AK42" s="1" t="s">
        <v>74</v>
      </c>
      <c r="AL42" s="1" t="s">
        <v>74</v>
      </c>
      <c r="AM42" s="1" t="s">
        <v>74</v>
      </c>
      <c r="AN42" s="1" t="s">
        <v>74</v>
      </c>
      <c r="AO42" s="1" t="s">
        <v>491</v>
      </c>
      <c r="AP42" s="1" t="s">
        <v>74</v>
      </c>
      <c r="AQ42" s="1" t="s">
        <v>492</v>
      </c>
      <c r="AR42" s="1" t="s">
        <v>74</v>
      </c>
      <c r="AS42" s="1" t="s">
        <v>74</v>
      </c>
      <c r="AT42" s="1" t="s">
        <v>74</v>
      </c>
      <c r="AU42" s="1">
        <v>2011.0</v>
      </c>
      <c r="AV42" s="1">
        <v>29.0</v>
      </c>
      <c r="AW42" s="1" t="s">
        <v>74</v>
      </c>
      <c r="AX42" s="1" t="s">
        <v>74</v>
      </c>
      <c r="AY42" s="1" t="s">
        <v>74</v>
      </c>
      <c r="AZ42" s="1" t="s">
        <v>74</v>
      </c>
      <c r="BA42" s="1" t="s">
        <v>74</v>
      </c>
      <c r="BB42" s="1">
        <v>683.0</v>
      </c>
      <c r="BC42" s="1">
        <v>687.0</v>
      </c>
      <c r="BD42" s="1" t="s">
        <v>74</v>
      </c>
      <c r="BE42" s="1" t="s">
        <v>74</v>
      </c>
      <c r="BF42" s="1" t="s">
        <v>74</v>
      </c>
      <c r="BG42" s="1" t="s">
        <v>74</v>
      </c>
      <c r="BH42" s="1" t="s">
        <v>74</v>
      </c>
      <c r="BI42" s="1" t="s">
        <v>74</v>
      </c>
      <c r="BJ42" s="1" t="s">
        <v>74</v>
      </c>
      <c r="BK42" s="1" t="s">
        <v>74</v>
      </c>
      <c r="BL42" s="1" t="s">
        <v>74</v>
      </c>
      <c r="BM42" s="1" t="s">
        <v>74</v>
      </c>
      <c r="BN42" s="1" t="s">
        <v>74</v>
      </c>
      <c r="BO42" s="1" t="s">
        <v>74</v>
      </c>
      <c r="BP42" s="1" t="s">
        <v>74</v>
      </c>
      <c r="BQ42" s="1" t="s">
        <v>74</v>
      </c>
      <c r="BR42" s="1" t="s">
        <v>74</v>
      </c>
      <c r="BS42" s="1" t="s">
        <v>493</v>
      </c>
      <c r="BT42" s="1" t="str">
        <f>HYPERLINK("https%3A%2F%2Fwww.webofscience.com%2Fwos%2Fwoscc%2Ffull-record%2FWOS:000294218900137","View Full Record in Web of Science")</f>
        <v>View Full Record in Web of Science</v>
      </c>
    </row>
    <row r="43" ht="12.75" customHeight="1">
      <c r="A43" s="1" t="s">
        <v>126</v>
      </c>
      <c r="B43" s="1" t="s">
        <v>494</v>
      </c>
      <c r="C43" s="1" t="s">
        <v>74</v>
      </c>
      <c r="D43" s="1" t="s">
        <v>495</v>
      </c>
      <c r="E43" s="1" t="s">
        <v>74</v>
      </c>
      <c r="F43" s="1" t="s">
        <v>496</v>
      </c>
      <c r="G43" s="1" t="s">
        <v>74</v>
      </c>
      <c r="H43" s="1" t="s">
        <v>74</v>
      </c>
      <c r="I43" s="1" t="s">
        <v>497</v>
      </c>
      <c r="J43" s="1" t="s">
        <v>498</v>
      </c>
      <c r="K43" s="1" t="s">
        <v>499</v>
      </c>
      <c r="L43" s="1" t="s">
        <v>74</v>
      </c>
      <c r="M43" s="1" t="s">
        <v>74</v>
      </c>
      <c r="N43" s="1" t="s">
        <v>74</v>
      </c>
      <c r="O43" s="1" t="s">
        <v>500</v>
      </c>
      <c r="P43" s="1" t="s">
        <v>501</v>
      </c>
      <c r="Q43" s="1" t="s">
        <v>502</v>
      </c>
      <c r="R43" s="1" t="s">
        <v>503</v>
      </c>
      <c r="S43" s="1" t="s">
        <v>74</v>
      </c>
      <c r="T43" s="1" t="s">
        <v>74</v>
      </c>
      <c r="U43" s="1" t="s">
        <v>74</v>
      </c>
      <c r="V43" s="1" t="s">
        <v>504</v>
      </c>
      <c r="W43" s="1" t="s">
        <v>74</v>
      </c>
      <c r="X43" s="1" t="s">
        <v>74</v>
      </c>
      <c r="Y43" s="1" t="s">
        <v>74</v>
      </c>
      <c r="Z43" s="1" t="s">
        <v>74</v>
      </c>
      <c r="AA43" s="1" t="s">
        <v>74</v>
      </c>
      <c r="AB43" s="1" t="s">
        <v>505</v>
      </c>
      <c r="AC43" s="1" t="s">
        <v>74</v>
      </c>
      <c r="AD43" s="1" t="s">
        <v>74</v>
      </c>
      <c r="AE43" s="1" t="s">
        <v>74</v>
      </c>
      <c r="AF43" s="1" t="s">
        <v>74</v>
      </c>
      <c r="AG43" s="1" t="s">
        <v>74</v>
      </c>
      <c r="AH43" s="1" t="s">
        <v>74</v>
      </c>
      <c r="AI43" s="1" t="s">
        <v>74</v>
      </c>
      <c r="AJ43" s="1" t="s">
        <v>74</v>
      </c>
      <c r="AK43" s="1" t="s">
        <v>74</v>
      </c>
      <c r="AL43" s="1" t="s">
        <v>74</v>
      </c>
      <c r="AM43" s="1" t="s">
        <v>74</v>
      </c>
      <c r="AN43" s="1" t="s">
        <v>74</v>
      </c>
      <c r="AO43" s="1" t="s">
        <v>506</v>
      </c>
      <c r="AP43" s="1" t="s">
        <v>507</v>
      </c>
      <c r="AQ43" s="1" t="s">
        <v>508</v>
      </c>
      <c r="AR43" s="1" t="s">
        <v>74</v>
      </c>
      <c r="AS43" s="1" t="s">
        <v>74</v>
      </c>
      <c r="AT43" s="1" t="s">
        <v>74</v>
      </c>
      <c r="AU43" s="1">
        <v>2011.0</v>
      </c>
      <c r="AV43" s="1">
        <v>7042.0</v>
      </c>
      <c r="AW43" s="1" t="s">
        <v>74</v>
      </c>
      <c r="AX43" s="1" t="s">
        <v>74</v>
      </c>
      <c r="AY43" s="1" t="s">
        <v>74</v>
      </c>
      <c r="AZ43" s="1" t="s">
        <v>74</v>
      </c>
      <c r="BA43" s="1" t="s">
        <v>74</v>
      </c>
      <c r="BB43" s="1">
        <v>515.0</v>
      </c>
      <c r="BC43" s="1" t="s">
        <v>509</v>
      </c>
      <c r="BD43" s="1" t="s">
        <v>74</v>
      </c>
      <c r="BE43" s="1" t="s">
        <v>74</v>
      </c>
      <c r="BF43" s="1" t="s">
        <v>74</v>
      </c>
      <c r="BG43" s="1" t="s">
        <v>74</v>
      </c>
      <c r="BH43" s="1" t="s">
        <v>74</v>
      </c>
      <c r="BI43" s="1" t="s">
        <v>74</v>
      </c>
      <c r="BJ43" s="1" t="s">
        <v>74</v>
      </c>
      <c r="BK43" s="1" t="s">
        <v>74</v>
      </c>
      <c r="BL43" s="1" t="s">
        <v>74</v>
      </c>
      <c r="BM43" s="1" t="s">
        <v>74</v>
      </c>
      <c r="BN43" s="1" t="s">
        <v>74</v>
      </c>
      <c r="BO43" s="1" t="s">
        <v>74</v>
      </c>
      <c r="BP43" s="1" t="s">
        <v>74</v>
      </c>
      <c r="BQ43" s="1" t="s">
        <v>74</v>
      </c>
      <c r="BR43" s="1" t="s">
        <v>74</v>
      </c>
      <c r="BS43" s="1" t="s">
        <v>510</v>
      </c>
      <c r="BT43" s="1" t="str">
        <f>HYPERLINK("https%3A%2F%2Fwww.webofscience.com%2Fwos%2Fwoscc%2Ffull-record%2FWOS:000307257600061","View Full Record in Web of Science")</f>
        <v>View Full Record in Web of Science</v>
      </c>
    </row>
    <row r="44" ht="12.75" customHeight="1">
      <c r="A44" s="1" t="s">
        <v>72</v>
      </c>
      <c r="B44" s="1" t="s">
        <v>511</v>
      </c>
      <c r="C44" s="1" t="s">
        <v>74</v>
      </c>
      <c r="D44" s="1" t="s">
        <v>74</v>
      </c>
      <c r="E44" s="1" t="s">
        <v>74</v>
      </c>
      <c r="F44" s="1" t="s">
        <v>512</v>
      </c>
      <c r="G44" s="1" t="s">
        <v>74</v>
      </c>
      <c r="H44" s="1" t="s">
        <v>74</v>
      </c>
      <c r="I44" s="1" t="s">
        <v>513</v>
      </c>
      <c r="J44" s="1" t="s">
        <v>514</v>
      </c>
      <c r="K44" s="1" t="s">
        <v>74</v>
      </c>
      <c r="L44" s="1" t="s">
        <v>74</v>
      </c>
      <c r="M44" s="1" t="s">
        <v>74</v>
      </c>
      <c r="N44" s="1" t="s">
        <v>74</v>
      </c>
      <c r="O44" s="1" t="s">
        <v>74</v>
      </c>
      <c r="P44" s="1" t="s">
        <v>74</v>
      </c>
      <c r="Q44" s="1" t="s">
        <v>74</v>
      </c>
      <c r="R44" s="1" t="s">
        <v>74</v>
      </c>
      <c r="S44" s="1" t="s">
        <v>74</v>
      </c>
      <c r="T44" s="1" t="s">
        <v>74</v>
      </c>
      <c r="U44" s="1" t="s">
        <v>74</v>
      </c>
      <c r="V44" s="1" t="s">
        <v>515</v>
      </c>
      <c r="W44" s="1" t="s">
        <v>74</v>
      </c>
      <c r="X44" s="1" t="s">
        <v>74</v>
      </c>
      <c r="Y44" s="1" t="s">
        <v>74</v>
      </c>
      <c r="Z44" s="1" t="s">
        <v>74</v>
      </c>
      <c r="AA44" s="1" t="s">
        <v>74</v>
      </c>
      <c r="AB44" s="1" t="s">
        <v>74</v>
      </c>
      <c r="AC44" s="1" t="s">
        <v>74</v>
      </c>
      <c r="AD44" s="1" t="s">
        <v>74</v>
      </c>
      <c r="AE44" s="1" t="s">
        <v>74</v>
      </c>
      <c r="AF44" s="1" t="s">
        <v>74</v>
      </c>
      <c r="AG44" s="1" t="s">
        <v>74</v>
      </c>
      <c r="AH44" s="1" t="s">
        <v>74</v>
      </c>
      <c r="AI44" s="1" t="s">
        <v>74</v>
      </c>
      <c r="AJ44" s="1" t="s">
        <v>74</v>
      </c>
      <c r="AK44" s="1" t="s">
        <v>74</v>
      </c>
      <c r="AL44" s="1" t="s">
        <v>74</v>
      </c>
      <c r="AM44" s="1" t="s">
        <v>74</v>
      </c>
      <c r="AN44" s="1" t="s">
        <v>74</v>
      </c>
      <c r="AO44" s="1" t="s">
        <v>516</v>
      </c>
      <c r="AP44" s="1" t="s">
        <v>74</v>
      </c>
      <c r="AQ44" s="1" t="s">
        <v>74</v>
      </c>
      <c r="AR44" s="1" t="s">
        <v>74</v>
      </c>
      <c r="AS44" s="1" t="s">
        <v>74</v>
      </c>
      <c r="AT44" s="1" t="s">
        <v>74</v>
      </c>
      <c r="AU44" s="1">
        <v>2011.0</v>
      </c>
      <c r="AV44" s="1">
        <v>29.0</v>
      </c>
      <c r="AW44" s="1">
        <v>12.0</v>
      </c>
      <c r="AX44" s="1" t="s">
        <v>74</v>
      </c>
      <c r="AY44" s="1" t="s">
        <v>74</v>
      </c>
      <c r="AZ44" s="1" t="s">
        <v>74</v>
      </c>
      <c r="BA44" s="1" t="s">
        <v>74</v>
      </c>
      <c r="BB44" s="1">
        <v>1386.0</v>
      </c>
      <c r="BC44" s="1">
        <v>1395.0</v>
      </c>
      <c r="BD44" s="1" t="s">
        <v>74</v>
      </c>
      <c r="BE44" s="1" t="s">
        <v>517</v>
      </c>
      <c r="BF44" s="2" t="str">
        <f>HYPERLINK("http://dx.doi.org/10.1080/07373937.2011.586479","http://dx.doi.org/10.1080/07373937.2011.586479")</f>
        <v>http://dx.doi.org/10.1080/07373937.2011.586479</v>
      </c>
      <c r="BG44" s="1" t="s">
        <v>74</v>
      </c>
      <c r="BH44" s="1" t="s">
        <v>74</v>
      </c>
      <c r="BI44" s="1" t="s">
        <v>74</v>
      </c>
      <c r="BJ44" s="1" t="s">
        <v>74</v>
      </c>
      <c r="BK44" s="1" t="s">
        <v>74</v>
      </c>
      <c r="BL44" s="1" t="s">
        <v>74</v>
      </c>
      <c r="BM44" s="1" t="s">
        <v>74</v>
      </c>
      <c r="BN44" s="1" t="s">
        <v>74</v>
      </c>
      <c r="BO44" s="1" t="s">
        <v>74</v>
      </c>
      <c r="BP44" s="1" t="s">
        <v>74</v>
      </c>
      <c r="BQ44" s="1" t="s">
        <v>74</v>
      </c>
      <c r="BR44" s="1" t="s">
        <v>74</v>
      </c>
      <c r="BS44" s="1" t="s">
        <v>518</v>
      </c>
      <c r="BT44" s="1" t="str">
        <f>HYPERLINK("https%3A%2F%2Fwww.webofscience.com%2Fwos%2Fwoscc%2Ffull-record%2FWOS:000294804800005","View Full Record in Web of Science")</f>
        <v>View Full Record in Web of Science</v>
      </c>
    </row>
    <row r="45" ht="12.75" customHeight="1">
      <c r="A45" s="1" t="s">
        <v>72</v>
      </c>
      <c r="B45" s="1" t="s">
        <v>519</v>
      </c>
      <c r="C45" s="1" t="s">
        <v>74</v>
      </c>
      <c r="D45" s="1" t="s">
        <v>74</v>
      </c>
      <c r="E45" s="1" t="s">
        <v>74</v>
      </c>
      <c r="F45" s="1" t="s">
        <v>520</v>
      </c>
      <c r="G45" s="1" t="s">
        <v>74</v>
      </c>
      <c r="H45" s="1" t="s">
        <v>74</v>
      </c>
      <c r="I45" s="1" t="s">
        <v>521</v>
      </c>
      <c r="J45" s="1" t="s">
        <v>522</v>
      </c>
      <c r="K45" s="1" t="s">
        <v>74</v>
      </c>
      <c r="L45" s="1" t="s">
        <v>74</v>
      </c>
      <c r="M45" s="1" t="s">
        <v>74</v>
      </c>
      <c r="N45" s="1" t="s">
        <v>74</v>
      </c>
      <c r="O45" s="1" t="s">
        <v>74</v>
      </c>
      <c r="P45" s="1" t="s">
        <v>74</v>
      </c>
      <c r="Q45" s="1" t="s">
        <v>74</v>
      </c>
      <c r="R45" s="1" t="s">
        <v>74</v>
      </c>
      <c r="S45" s="1" t="s">
        <v>74</v>
      </c>
      <c r="T45" s="1" t="s">
        <v>74</v>
      </c>
      <c r="U45" s="1" t="s">
        <v>74</v>
      </c>
      <c r="V45" s="1" t="s">
        <v>74</v>
      </c>
      <c r="W45" s="1" t="s">
        <v>74</v>
      </c>
      <c r="X45" s="1" t="s">
        <v>74</v>
      </c>
      <c r="Y45" s="1" t="s">
        <v>74</v>
      </c>
      <c r="Z45" s="1" t="s">
        <v>74</v>
      </c>
      <c r="AA45" s="1" t="s">
        <v>74</v>
      </c>
      <c r="AB45" s="1" t="s">
        <v>74</v>
      </c>
      <c r="AC45" s="1" t="s">
        <v>74</v>
      </c>
      <c r="AD45" s="1" t="s">
        <v>74</v>
      </c>
      <c r="AE45" s="1" t="s">
        <v>74</v>
      </c>
      <c r="AF45" s="1" t="s">
        <v>74</v>
      </c>
      <c r="AG45" s="1" t="s">
        <v>74</v>
      </c>
      <c r="AH45" s="1" t="s">
        <v>74</v>
      </c>
      <c r="AI45" s="1" t="s">
        <v>74</v>
      </c>
      <c r="AJ45" s="1" t="s">
        <v>74</v>
      </c>
      <c r="AK45" s="1" t="s">
        <v>74</v>
      </c>
      <c r="AL45" s="1" t="s">
        <v>74</v>
      </c>
      <c r="AM45" s="1" t="s">
        <v>74</v>
      </c>
      <c r="AN45" s="1" t="s">
        <v>74</v>
      </c>
      <c r="AO45" s="1" t="s">
        <v>523</v>
      </c>
      <c r="AP45" s="1" t="s">
        <v>74</v>
      </c>
      <c r="AQ45" s="1" t="s">
        <v>74</v>
      </c>
      <c r="AR45" s="1" t="s">
        <v>74</v>
      </c>
      <c r="AS45" s="1" t="s">
        <v>74</v>
      </c>
      <c r="AT45" s="1" t="s">
        <v>74</v>
      </c>
      <c r="AU45" s="1">
        <v>2011.0</v>
      </c>
      <c r="AV45" s="1">
        <v>49.0</v>
      </c>
      <c r="AW45" s="1">
        <v>1.0</v>
      </c>
      <c r="AX45" s="1" t="s">
        <v>74</v>
      </c>
      <c r="AY45" s="1" t="s">
        <v>74</v>
      </c>
      <c r="AZ45" s="1" t="s">
        <v>74</v>
      </c>
      <c r="BA45" s="1" t="s">
        <v>74</v>
      </c>
      <c r="BB45" s="1">
        <v>169.0</v>
      </c>
      <c r="BC45" s="1">
        <v>173.0</v>
      </c>
      <c r="BD45" s="1" t="s">
        <v>74</v>
      </c>
      <c r="BE45" s="1" t="s">
        <v>74</v>
      </c>
      <c r="BF45" s="1" t="s">
        <v>74</v>
      </c>
      <c r="BG45" s="1" t="s">
        <v>74</v>
      </c>
      <c r="BH45" s="1" t="s">
        <v>74</v>
      </c>
      <c r="BI45" s="1" t="s">
        <v>74</v>
      </c>
      <c r="BJ45" s="1" t="s">
        <v>74</v>
      </c>
      <c r="BK45" s="1" t="s">
        <v>74</v>
      </c>
      <c r="BL45" s="1" t="s">
        <v>74</v>
      </c>
      <c r="BM45" s="1" t="s">
        <v>74</v>
      </c>
      <c r="BN45" s="1" t="s">
        <v>74</v>
      </c>
      <c r="BO45" s="1" t="s">
        <v>74</v>
      </c>
      <c r="BP45" s="1" t="s">
        <v>74</v>
      </c>
      <c r="BQ45" s="1" t="s">
        <v>74</v>
      </c>
      <c r="BR45" s="1" t="s">
        <v>74</v>
      </c>
      <c r="BS45" s="1" t="s">
        <v>524</v>
      </c>
      <c r="BT45" s="1" t="str">
        <f>HYPERLINK("https%3A%2F%2Fwww.webofscience.com%2Fwos%2Fwoscc%2Ffull-record%2FWOS:000294582700008","View Full Record in Web of Science")</f>
        <v>View Full Record in Web of Science</v>
      </c>
    </row>
    <row r="46" ht="12.75" customHeight="1">
      <c r="A46" s="1" t="s">
        <v>72</v>
      </c>
      <c r="B46" s="1" t="s">
        <v>525</v>
      </c>
      <c r="C46" s="1" t="s">
        <v>74</v>
      </c>
      <c r="D46" s="1" t="s">
        <v>74</v>
      </c>
      <c r="E46" s="1" t="s">
        <v>74</v>
      </c>
      <c r="F46" s="1" t="s">
        <v>526</v>
      </c>
      <c r="G46" s="1" t="s">
        <v>74</v>
      </c>
      <c r="H46" s="1" t="s">
        <v>74</v>
      </c>
      <c r="I46" s="1" t="s">
        <v>527</v>
      </c>
      <c r="J46" s="1" t="s">
        <v>528</v>
      </c>
      <c r="K46" s="1" t="s">
        <v>74</v>
      </c>
      <c r="L46" s="1" t="s">
        <v>74</v>
      </c>
      <c r="M46" s="1" t="s">
        <v>74</v>
      </c>
      <c r="N46" s="1" t="s">
        <v>74</v>
      </c>
      <c r="O46" s="1" t="s">
        <v>74</v>
      </c>
      <c r="P46" s="1" t="s">
        <v>74</v>
      </c>
      <c r="Q46" s="1" t="s">
        <v>74</v>
      </c>
      <c r="R46" s="1" t="s">
        <v>74</v>
      </c>
      <c r="S46" s="1" t="s">
        <v>74</v>
      </c>
      <c r="T46" s="1" t="s">
        <v>74</v>
      </c>
      <c r="U46" s="1" t="s">
        <v>74</v>
      </c>
      <c r="V46" s="1" t="s">
        <v>529</v>
      </c>
      <c r="W46" s="1" t="s">
        <v>74</v>
      </c>
      <c r="X46" s="1" t="s">
        <v>74</v>
      </c>
      <c r="Y46" s="1" t="s">
        <v>74</v>
      </c>
      <c r="Z46" s="1" t="s">
        <v>74</v>
      </c>
      <c r="AA46" s="1" t="s">
        <v>530</v>
      </c>
      <c r="AB46" s="1" t="s">
        <v>531</v>
      </c>
      <c r="AC46" s="1" t="s">
        <v>74</v>
      </c>
      <c r="AD46" s="1" t="s">
        <v>74</v>
      </c>
      <c r="AE46" s="1" t="s">
        <v>74</v>
      </c>
      <c r="AF46" s="1" t="s">
        <v>74</v>
      </c>
      <c r="AG46" s="1" t="s">
        <v>74</v>
      </c>
      <c r="AH46" s="1" t="s">
        <v>74</v>
      </c>
      <c r="AI46" s="1" t="s">
        <v>74</v>
      </c>
      <c r="AJ46" s="1" t="s">
        <v>74</v>
      </c>
      <c r="AK46" s="1" t="s">
        <v>74</v>
      </c>
      <c r="AL46" s="1" t="s">
        <v>74</v>
      </c>
      <c r="AM46" s="1" t="s">
        <v>74</v>
      </c>
      <c r="AN46" s="1" t="s">
        <v>74</v>
      </c>
      <c r="AO46" s="1" t="s">
        <v>532</v>
      </c>
      <c r="AP46" s="1" t="s">
        <v>74</v>
      </c>
      <c r="AQ46" s="1" t="s">
        <v>74</v>
      </c>
      <c r="AR46" s="1" t="s">
        <v>74</v>
      </c>
      <c r="AS46" s="1" t="s">
        <v>74</v>
      </c>
      <c r="AT46" s="1" t="s">
        <v>533</v>
      </c>
      <c r="AU46" s="1">
        <v>2010.0</v>
      </c>
      <c r="AV46" s="1">
        <v>878.0</v>
      </c>
      <c r="AW46" s="1" t="s">
        <v>534</v>
      </c>
      <c r="AX46" s="1" t="s">
        <v>74</v>
      </c>
      <c r="AY46" s="1" t="s">
        <v>74</v>
      </c>
      <c r="AZ46" s="1" t="s">
        <v>74</v>
      </c>
      <c r="BA46" s="1" t="s">
        <v>74</v>
      </c>
      <c r="BB46" s="1">
        <v>1038.0</v>
      </c>
      <c r="BC46" s="1">
        <v>1044.0</v>
      </c>
      <c r="BD46" s="1" t="s">
        <v>74</v>
      </c>
      <c r="BE46" s="1" t="s">
        <v>535</v>
      </c>
      <c r="BF46" s="2" t="str">
        <f>HYPERLINK("http://dx.doi.org/10.1016/j.jchromb.2010.03.006","http://dx.doi.org/10.1016/j.jchromb.2010.03.006")</f>
        <v>http://dx.doi.org/10.1016/j.jchromb.2010.03.006</v>
      </c>
      <c r="BG46" s="1" t="s">
        <v>74</v>
      </c>
      <c r="BH46" s="1" t="s">
        <v>74</v>
      </c>
      <c r="BI46" s="1" t="s">
        <v>74</v>
      </c>
      <c r="BJ46" s="1" t="s">
        <v>74</v>
      </c>
      <c r="BK46" s="1" t="s">
        <v>74</v>
      </c>
      <c r="BL46" s="1" t="s">
        <v>74</v>
      </c>
      <c r="BM46" s="1" t="s">
        <v>74</v>
      </c>
      <c r="BN46" s="1">
        <v>2.0356804E7</v>
      </c>
      <c r="BO46" s="1" t="s">
        <v>74</v>
      </c>
      <c r="BP46" s="1" t="s">
        <v>74</v>
      </c>
      <c r="BQ46" s="1" t="s">
        <v>74</v>
      </c>
      <c r="BR46" s="1" t="s">
        <v>74</v>
      </c>
      <c r="BS46" s="1" t="s">
        <v>536</v>
      </c>
      <c r="BT46" s="1" t="str">
        <f>HYPERLINK("https%3A%2F%2Fwww.webofscience.com%2Fwos%2Fwoscc%2Ffull-record%2FWOS:000277672000003","View Full Record in Web of Science")</f>
        <v>View Full Record in Web of Science</v>
      </c>
    </row>
    <row r="47" ht="12.75" customHeight="1">
      <c r="A47" s="1" t="s">
        <v>72</v>
      </c>
      <c r="B47" s="1" t="s">
        <v>537</v>
      </c>
      <c r="C47" s="1" t="s">
        <v>74</v>
      </c>
      <c r="D47" s="1" t="s">
        <v>74</v>
      </c>
      <c r="E47" s="1" t="s">
        <v>74</v>
      </c>
      <c r="F47" s="1" t="s">
        <v>538</v>
      </c>
      <c r="G47" s="1" t="s">
        <v>74</v>
      </c>
      <c r="H47" s="1" t="s">
        <v>74</v>
      </c>
      <c r="I47" s="1" t="s">
        <v>539</v>
      </c>
      <c r="J47" s="1" t="s">
        <v>540</v>
      </c>
      <c r="K47" s="1" t="s">
        <v>74</v>
      </c>
      <c r="L47" s="1" t="s">
        <v>74</v>
      </c>
      <c r="M47" s="1" t="s">
        <v>74</v>
      </c>
      <c r="N47" s="1" t="s">
        <v>74</v>
      </c>
      <c r="O47" s="1" t="s">
        <v>74</v>
      </c>
      <c r="P47" s="1" t="s">
        <v>74</v>
      </c>
      <c r="Q47" s="1" t="s">
        <v>74</v>
      </c>
      <c r="R47" s="1" t="s">
        <v>74</v>
      </c>
      <c r="S47" s="1" t="s">
        <v>74</v>
      </c>
      <c r="T47" s="1" t="s">
        <v>74</v>
      </c>
      <c r="U47" s="1" t="s">
        <v>74</v>
      </c>
      <c r="V47" s="1" t="s">
        <v>541</v>
      </c>
      <c r="W47" s="1" t="s">
        <v>74</v>
      </c>
      <c r="X47" s="1" t="s">
        <v>74</v>
      </c>
      <c r="Y47" s="1" t="s">
        <v>74</v>
      </c>
      <c r="Z47" s="1" t="s">
        <v>74</v>
      </c>
      <c r="AA47" s="1" t="s">
        <v>542</v>
      </c>
      <c r="AB47" s="1" t="s">
        <v>543</v>
      </c>
      <c r="AC47" s="1" t="s">
        <v>74</v>
      </c>
      <c r="AD47" s="1" t="s">
        <v>74</v>
      </c>
      <c r="AE47" s="1" t="s">
        <v>74</v>
      </c>
      <c r="AF47" s="1" t="s">
        <v>74</v>
      </c>
      <c r="AG47" s="1" t="s">
        <v>74</v>
      </c>
      <c r="AH47" s="1" t="s">
        <v>74</v>
      </c>
      <c r="AI47" s="1" t="s">
        <v>74</v>
      </c>
      <c r="AJ47" s="1" t="s">
        <v>74</v>
      </c>
      <c r="AK47" s="1" t="s">
        <v>74</v>
      </c>
      <c r="AL47" s="1" t="s">
        <v>74</v>
      </c>
      <c r="AM47" s="1" t="s">
        <v>74</v>
      </c>
      <c r="AN47" s="1" t="s">
        <v>74</v>
      </c>
      <c r="AO47" s="1" t="s">
        <v>544</v>
      </c>
      <c r="AP47" s="1" t="s">
        <v>74</v>
      </c>
      <c r="AQ47" s="1" t="s">
        <v>74</v>
      </c>
      <c r="AR47" s="1" t="s">
        <v>74</v>
      </c>
      <c r="AS47" s="1" t="s">
        <v>74</v>
      </c>
      <c r="AT47" s="1" t="s">
        <v>545</v>
      </c>
      <c r="AU47" s="1">
        <v>2010.0</v>
      </c>
      <c r="AV47" s="1">
        <v>114.0</v>
      </c>
      <c r="AW47" s="1">
        <v>14.0</v>
      </c>
      <c r="AX47" s="1" t="s">
        <v>74</v>
      </c>
      <c r="AY47" s="1" t="s">
        <v>74</v>
      </c>
      <c r="AZ47" s="1" t="s">
        <v>74</v>
      </c>
      <c r="BA47" s="1" t="s">
        <v>74</v>
      </c>
      <c r="BB47" s="1">
        <v>4816.0</v>
      </c>
      <c r="BC47" s="1">
        <v>4820.0</v>
      </c>
      <c r="BD47" s="1" t="s">
        <v>74</v>
      </c>
      <c r="BE47" s="1" t="s">
        <v>546</v>
      </c>
      <c r="BF47" s="2" t="str">
        <f>HYPERLINK("http://dx.doi.org/10.1021/jp910984g","http://dx.doi.org/10.1021/jp910984g")</f>
        <v>http://dx.doi.org/10.1021/jp910984g</v>
      </c>
      <c r="BG47" s="1" t="s">
        <v>74</v>
      </c>
      <c r="BH47" s="1" t="s">
        <v>74</v>
      </c>
      <c r="BI47" s="1" t="s">
        <v>74</v>
      </c>
      <c r="BJ47" s="1" t="s">
        <v>74</v>
      </c>
      <c r="BK47" s="1" t="s">
        <v>74</v>
      </c>
      <c r="BL47" s="1" t="s">
        <v>74</v>
      </c>
      <c r="BM47" s="1" t="s">
        <v>74</v>
      </c>
      <c r="BN47" s="1" t="s">
        <v>74</v>
      </c>
      <c r="BO47" s="1" t="s">
        <v>74</v>
      </c>
      <c r="BP47" s="1" t="s">
        <v>74</v>
      </c>
      <c r="BQ47" s="1" t="s">
        <v>74</v>
      </c>
      <c r="BR47" s="1" t="s">
        <v>74</v>
      </c>
      <c r="BS47" s="1" t="s">
        <v>547</v>
      </c>
      <c r="BT47" s="1" t="str">
        <f>HYPERLINK("https%3A%2F%2Fwww.webofscience.com%2Fwos%2Fwoscc%2Ffull-record%2FWOS:000276341500010","View Full Record in Web of Science")</f>
        <v>View Full Record in Web of Science</v>
      </c>
    </row>
    <row r="48" ht="12.75" customHeight="1">
      <c r="A48" s="1" t="s">
        <v>72</v>
      </c>
      <c r="B48" s="1" t="s">
        <v>548</v>
      </c>
      <c r="C48" s="1" t="s">
        <v>74</v>
      </c>
      <c r="D48" s="1" t="s">
        <v>74</v>
      </c>
      <c r="E48" s="1" t="s">
        <v>74</v>
      </c>
      <c r="F48" s="1" t="s">
        <v>549</v>
      </c>
      <c r="G48" s="1" t="s">
        <v>74</v>
      </c>
      <c r="H48" s="1" t="s">
        <v>74</v>
      </c>
      <c r="I48" s="1" t="s">
        <v>550</v>
      </c>
      <c r="J48" s="1" t="s">
        <v>551</v>
      </c>
      <c r="K48" s="1" t="s">
        <v>74</v>
      </c>
      <c r="L48" s="1" t="s">
        <v>74</v>
      </c>
      <c r="M48" s="1" t="s">
        <v>74</v>
      </c>
      <c r="N48" s="1" t="s">
        <v>74</v>
      </c>
      <c r="O48" s="1" t="s">
        <v>74</v>
      </c>
      <c r="P48" s="1" t="s">
        <v>74</v>
      </c>
      <c r="Q48" s="1" t="s">
        <v>74</v>
      </c>
      <c r="R48" s="1" t="s">
        <v>74</v>
      </c>
      <c r="S48" s="1" t="s">
        <v>74</v>
      </c>
      <c r="T48" s="1" t="s">
        <v>74</v>
      </c>
      <c r="U48" s="1" t="s">
        <v>74</v>
      </c>
      <c r="V48" s="1" t="s">
        <v>74</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552</v>
      </c>
      <c r="AP48" s="1" t="s">
        <v>74</v>
      </c>
      <c r="AQ48" s="1" t="s">
        <v>74</v>
      </c>
      <c r="AR48" s="1" t="s">
        <v>74</v>
      </c>
      <c r="AS48" s="1" t="s">
        <v>74</v>
      </c>
      <c r="AT48" s="1" t="s">
        <v>256</v>
      </c>
      <c r="AU48" s="1">
        <v>2009.0</v>
      </c>
      <c r="AV48" s="1">
        <v>124.0</v>
      </c>
      <c r="AW48" s="1">
        <v>2.0</v>
      </c>
      <c r="AX48" s="1" t="s">
        <v>74</v>
      </c>
      <c r="AY48" s="1" t="s">
        <v>74</v>
      </c>
      <c r="AZ48" s="1" t="s">
        <v>74</v>
      </c>
      <c r="BA48" s="1" t="s">
        <v>74</v>
      </c>
      <c r="BB48" s="1">
        <v>460.0</v>
      </c>
      <c r="BC48" s="1">
        <v>480.0</v>
      </c>
      <c r="BD48" s="1" t="s">
        <v>74</v>
      </c>
      <c r="BE48" s="1" t="s">
        <v>74</v>
      </c>
      <c r="BF48" s="1" t="s">
        <v>74</v>
      </c>
      <c r="BG48" s="1" t="s">
        <v>74</v>
      </c>
      <c r="BH48" s="1" t="s">
        <v>74</v>
      </c>
      <c r="BI48" s="1" t="s">
        <v>74</v>
      </c>
      <c r="BJ48" s="1" t="s">
        <v>74</v>
      </c>
      <c r="BK48" s="1" t="s">
        <v>74</v>
      </c>
      <c r="BL48" s="1" t="s">
        <v>74</v>
      </c>
      <c r="BM48" s="1" t="s">
        <v>74</v>
      </c>
      <c r="BN48" s="1" t="s">
        <v>74</v>
      </c>
      <c r="BO48" s="1" t="s">
        <v>74</v>
      </c>
      <c r="BP48" s="1" t="s">
        <v>74</v>
      </c>
      <c r="BQ48" s="1" t="s">
        <v>74</v>
      </c>
      <c r="BR48" s="1" t="s">
        <v>74</v>
      </c>
      <c r="BS48" s="1" t="s">
        <v>553</v>
      </c>
      <c r="BT48" s="1" t="str">
        <f>HYPERLINK("https%3A%2F%2Fwww.webofscience.com%2Fwos%2Fwoscc%2Ffull-record%2FWOS:000265624500007","View Full Record in Web of Science")</f>
        <v>View Full Record in Web of Science</v>
      </c>
    </row>
    <row r="49" ht="12.75" customHeight="1">
      <c r="A49" s="1" t="s">
        <v>72</v>
      </c>
      <c r="B49" s="1" t="s">
        <v>554</v>
      </c>
      <c r="C49" s="1" t="s">
        <v>74</v>
      </c>
      <c r="D49" s="1" t="s">
        <v>74</v>
      </c>
      <c r="E49" s="1" t="s">
        <v>74</v>
      </c>
      <c r="F49" s="1" t="s">
        <v>555</v>
      </c>
      <c r="G49" s="1" t="s">
        <v>74</v>
      </c>
      <c r="H49" s="1" t="s">
        <v>74</v>
      </c>
      <c r="I49" s="1" t="s">
        <v>556</v>
      </c>
      <c r="J49" s="1" t="s">
        <v>557</v>
      </c>
      <c r="K49" s="1" t="s">
        <v>74</v>
      </c>
      <c r="L49" s="1" t="s">
        <v>74</v>
      </c>
      <c r="M49" s="1" t="s">
        <v>74</v>
      </c>
      <c r="N49" s="1" t="s">
        <v>74</v>
      </c>
      <c r="O49" s="1" t="s">
        <v>74</v>
      </c>
      <c r="P49" s="1" t="s">
        <v>74</v>
      </c>
      <c r="Q49" s="1" t="s">
        <v>74</v>
      </c>
      <c r="R49" s="1" t="s">
        <v>74</v>
      </c>
      <c r="S49" s="1" t="s">
        <v>74</v>
      </c>
      <c r="T49" s="1" t="s">
        <v>74</v>
      </c>
      <c r="U49" s="1" t="s">
        <v>74</v>
      </c>
      <c r="V49" s="1" t="s">
        <v>558</v>
      </c>
      <c r="W49" s="1" t="s">
        <v>74</v>
      </c>
      <c r="X49" s="1" t="s">
        <v>74</v>
      </c>
      <c r="Y49" s="1" t="s">
        <v>74</v>
      </c>
      <c r="Z49" s="1" t="s">
        <v>74</v>
      </c>
      <c r="AA49" s="1" t="s">
        <v>390</v>
      </c>
      <c r="AB49" s="1" t="s">
        <v>391</v>
      </c>
      <c r="AC49" s="1" t="s">
        <v>74</v>
      </c>
      <c r="AD49" s="1" t="s">
        <v>74</v>
      </c>
      <c r="AE49" s="1" t="s">
        <v>74</v>
      </c>
      <c r="AF49" s="1" t="s">
        <v>74</v>
      </c>
      <c r="AG49" s="1" t="s">
        <v>74</v>
      </c>
      <c r="AH49" s="1" t="s">
        <v>74</v>
      </c>
      <c r="AI49" s="1" t="s">
        <v>74</v>
      </c>
      <c r="AJ49" s="1" t="s">
        <v>74</v>
      </c>
      <c r="AK49" s="1" t="s">
        <v>74</v>
      </c>
      <c r="AL49" s="1" t="s">
        <v>74</v>
      </c>
      <c r="AM49" s="1" t="s">
        <v>74</v>
      </c>
      <c r="AN49" s="1" t="s">
        <v>74</v>
      </c>
      <c r="AO49" s="1" t="s">
        <v>559</v>
      </c>
      <c r="AP49" s="1" t="s">
        <v>560</v>
      </c>
      <c r="AQ49" s="1" t="s">
        <v>74</v>
      </c>
      <c r="AR49" s="1" t="s">
        <v>74</v>
      </c>
      <c r="AS49" s="1" t="s">
        <v>74</v>
      </c>
      <c r="AT49" s="1" t="s">
        <v>74</v>
      </c>
      <c r="AU49" s="1">
        <v>2009.0</v>
      </c>
      <c r="AV49" s="1">
        <v>139.0</v>
      </c>
      <c r="AW49" s="1" t="s">
        <v>74</v>
      </c>
      <c r="AX49" s="1">
        <v>3.0</v>
      </c>
      <c r="AY49" s="1" t="s">
        <v>74</v>
      </c>
      <c r="AZ49" s="1" t="s">
        <v>74</v>
      </c>
      <c r="BA49" s="1" t="s">
        <v>74</v>
      </c>
      <c r="BB49" s="1">
        <v>505.0</v>
      </c>
      <c r="BC49" s="1">
        <v>517.0</v>
      </c>
      <c r="BD49" s="1" t="s">
        <v>74</v>
      </c>
      <c r="BE49" s="1" t="s">
        <v>561</v>
      </c>
      <c r="BF49" s="2" t="str">
        <f>HYPERLINK("http://dx.doi.org/10.1017/S0308210507000364","http://dx.doi.org/10.1017/S0308210507000364")</f>
        <v>http://dx.doi.org/10.1017/S0308210507000364</v>
      </c>
      <c r="BG49" s="1" t="s">
        <v>74</v>
      </c>
      <c r="BH49" s="1" t="s">
        <v>74</v>
      </c>
      <c r="BI49" s="1" t="s">
        <v>74</v>
      </c>
      <c r="BJ49" s="1" t="s">
        <v>74</v>
      </c>
      <c r="BK49" s="1" t="s">
        <v>74</v>
      </c>
      <c r="BL49" s="1" t="s">
        <v>74</v>
      </c>
      <c r="BM49" s="1" t="s">
        <v>74</v>
      </c>
      <c r="BN49" s="1" t="s">
        <v>74</v>
      </c>
      <c r="BO49" s="1" t="s">
        <v>74</v>
      </c>
      <c r="BP49" s="1" t="s">
        <v>74</v>
      </c>
      <c r="BQ49" s="1" t="s">
        <v>74</v>
      </c>
      <c r="BR49" s="1" t="s">
        <v>74</v>
      </c>
      <c r="BS49" s="1" t="s">
        <v>562</v>
      </c>
      <c r="BT49" s="1" t="str">
        <f>HYPERLINK("https%3A%2F%2Fwww.webofscience.com%2Fwos%2Fwoscc%2Ffull-record%2FWOS:000267386900004","View Full Record in Web of Science")</f>
        <v>View Full Record in Web of Science</v>
      </c>
    </row>
    <row r="50" ht="12.75" customHeight="1">
      <c r="A50" s="1" t="s">
        <v>72</v>
      </c>
      <c r="B50" s="1" t="s">
        <v>563</v>
      </c>
      <c r="C50" s="1" t="s">
        <v>74</v>
      </c>
      <c r="D50" s="1" t="s">
        <v>74</v>
      </c>
      <c r="E50" s="1" t="s">
        <v>74</v>
      </c>
      <c r="F50" s="1" t="s">
        <v>564</v>
      </c>
      <c r="G50" s="1" t="s">
        <v>74</v>
      </c>
      <c r="H50" s="1" t="s">
        <v>74</v>
      </c>
      <c r="I50" s="1" t="s">
        <v>565</v>
      </c>
      <c r="J50" s="1" t="s">
        <v>566</v>
      </c>
      <c r="K50" s="1" t="s">
        <v>74</v>
      </c>
      <c r="L50" s="1" t="s">
        <v>74</v>
      </c>
      <c r="M50" s="1" t="s">
        <v>74</v>
      </c>
      <c r="N50" s="1" t="s">
        <v>74</v>
      </c>
      <c r="O50" s="1" t="s">
        <v>74</v>
      </c>
      <c r="P50" s="1" t="s">
        <v>74</v>
      </c>
      <c r="Q50" s="1" t="s">
        <v>74</v>
      </c>
      <c r="R50" s="1" t="s">
        <v>74</v>
      </c>
      <c r="S50" s="1" t="s">
        <v>74</v>
      </c>
      <c r="T50" s="1" t="s">
        <v>74</v>
      </c>
      <c r="U50" s="1" t="s">
        <v>74</v>
      </c>
      <c r="V50" s="1" t="s">
        <v>567</v>
      </c>
      <c r="W50" s="1" t="s">
        <v>74</v>
      </c>
      <c r="X50" s="1" t="s">
        <v>74</v>
      </c>
      <c r="Y50" s="1" t="s">
        <v>74</v>
      </c>
      <c r="Z50" s="1" t="s">
        <v>74</v>
      </c>
      <c r="AA50" s="1" t="s">
        <v>74</v>
      </c>
      <c r="AB50" s="1" t="s">
        <v>74</v>
      </c>
      <c r="AC50" s="1" t="s">
        <v>74</v>
      </c>
      <c r="AD50" s="1" t="s">
        <v>74</v>
      </c>
      <c r="AE50" s="1" t="s">
        <v>74</v>
      </c>
      <c r="AF50" s="1" t="s">
        <v>74</v>
      </c>
      <c r="AG50" s="1" t="s">
        <v>74</v>
      </c>
      <c r="AH50" s="1" t="s">
        <v>74</v>
      </c>
      <c r="AI50" s="1" t="s">
        <v>74</v>
      </c>
      <c r="AJ50" s="1" t="s">
        <v>74</v>
      </c>
      <c r="AK50" s="1" t="s">
        <v>74</v>
      </c>
      <c r="AL50" s="1" t="s">
        <v>74</v>
      </c>
      <c r="AM50" s="1" t="s">
        <v>74</v>
      </c>
      <c r="AN50" s="1" t="s">
        <v>74</v>
      </c>
      <c r="AO50" s="1" t="s">
        <v>568</v>
      </c>
      <c r="AP50" s="1" t="s">
        <v>74</v>
      </c>
      <c r="AQ50" s="1" t="s">
        <v>74</v>
      </c>
      <c r="AR50" s="1" t="s">
        <v>74</v>
      </c>
      <c r="AS50" s="1" t="s">
        <v>74</v>
      </c>
      <c r="AT50" s="1" t="s">
        <v>256</v>
      </c>
      <c r="AU50" s="1">
        <v>2008.0</v>
      </c>
      <c r="AV50" s="1">
        <v>29.0</v>
      </c>
      <c r="AW50" s="1">
        <v>4.0</v>
      </c>
      <c r="AX50" s="1" t="s">
        <v>74</v>
      </c>
      <c r="AY50" s="1" t="s">
        <v>74</v>
      </c>
      <c r="AZ50" s="1" t="s">
        <v>74</v>
      </c>
      <c r="BA50" s="1" t="s">
        <v>74</v>
      </c>
      <c r="BB50" s="1">
        <v>588.0</v>
      </c>
      <c r="BC50" s="1">
        <v>600.0</v>
      </c>
      <c r="BD50" s="1" t="s">
        <v>74</v>
      </c>
      <c r="BE50" s="1" t="s">
        <v>569</v>
      </c>
      <c r="BF50" s="2" t="str">
        <f>HYPERLINK("http://dx.doi.org/10.1002/jcc.20816","http://dx.doi.org/10.1002/jcc.20816")</f>
        <v>http://dx.doi.org/10.1002/jcc.20816</v>
      </c>
      <c r="BG50" s="1" t="s">
        <v>74</v>
      </c>
      <c r="BH50" s="1" t="s">
        <v>74</v>
      </c>
      <c r="BI50" s="1" t="s">
        <v>74</v>
      </c>
      <c r="BJ50" s="1" t="s">
        <v>74</v>
      </c>
      <c r="BK50" s="1" t="s">
        <v>74</v>
      </c>
      <c r="BL50" s="1" t="s">
        <v>74</v>
      </c>
      <c r="BM50" s="1" t="s">
        <v>74</v>
      </c>
      <c r="BN50" s="1">
        <v>1.772188E7</v>
      </c>
      <c r="BO50" s="1" t="s">
        <v>74</v>
      </c>
      <c r="BP50" s="1" t="s">
        <v>74</v>
      </c>
      <c r="BQ50" s="1" t="s">
        <v>74</v>
      </c>
      <c r="BR50" s="1" t="s">
        <v>74</v>
      </c>
      <c r="BS50" s="1" t="s">
        <v>570</v>
      </c>
      <c r="BT50" s="1" t="str">
        <f>HYPERLINK("https%3A%2F%2Fwww.webofscience.com%2Fwos%2Fwoscc%2Ffull-record%2FWOS:000253648500009","View Full Record in Web of Science")</f>
        <v>View Full Record in Web of Science</v>
      </c>
    </row>
    <row r="51" ht="12.75" customHeight="1">
      <c r="A51" s="1" t="s">
        <v>72</v>
      </c>
      <c r="B51" s="1" t="s">
        <v>571</v>
      </c>
      <c r="C51" s="1" t="s">
        <v>74</v>
      </c>
      <c r="D51" s="1" t="s">
        <v>74</v>
      </c>
      <c r="E51" s="1" t="s">
        <v>74</v>
      </c>
      <c r="F51" s="1" t="s">
        <v>572</v>
      </c>
      <c r="G51" s="1" t="s">
        <v>74</v>
      </c>
      <c r="H51" s="1" t="s">
        <v>74</v>
      </c>
      <c r="I51" s="1" t="s">
        <v>573</v>
      </c>
      <c r="J51" s="1" t="s">
        <v>574</v>
      </c>
      <c r="K51" s="1" t="s">
        <v>74</v>
      </c>
      <c r="L51" s="1" t="s">
        <v>74</v>
      </c>
      <c r="M51" s="1" t="s">
        <v>74</v>
      </c>
      <c r="N51" s="1" t="s">
        <v>74</v>
      </c>
      <c r="O51" s="1" t="s">
        <v>74</v>
      </c>
      <c r="P51" s="1" t="s">
        <v>74</v>
      </c>
      <c r="Q51" s="1" t="s">
        <v>74</v>
      </c>
      <c r="R51" s="1" t="s">
        <v>74</v>
      </c>
      <c r="S51" s="1" t="s">
        <v>74</v>
      </c>
      <c r="T51" s="1" t="s">
        <v>74</v>
      </c>
      <c r="U51" s="1" t="s">
        <v>74</v>
      </c>
      <c r="V51" s="1" t="s">
        <v>575</v>
      </c>
      <c r="W51" s="1" t="s">
        <v>74</v>
      </c>
      <c r="X51" s="1" t="s">
        <v>74</v>
      </c>
      <c r="Y51" s="1" t="s">
        <v>74</v>
      </c>
      <c r="Z51" s="1" t="s">
        <v>74</v>
      </c>
      <c r="AA51" s="1" t="s">
        <v>576</v>
      </c>
      <c r="AB51" s="1" t="s">
        <v>577</v>
      </c>
      <c r="AC51" s="1" t="s">
        <v>74</v>
      </c>
      <c r="AD51" s="1" t="s">
        <v>74</v>
      </c>
      <c r="AE51" s="1" t="s">
        <v>74</v>
      </c>
      <c r="AF51" s="1" t="s">
        <v>74</v>
      </c>
      <c r="AG51" s="1" t="s">
        <v>74</v>
      </c>
      <c r="AH51" s="1" t="s">
        <v>74</v>
      </c>
      <c r="AI51" s="1" t="s">
        <v>74</v>
      </c>
      <c r="AJ51" s="1" t="s">
        <v>74</v>
      </c>
      <c r="AK51" s="1" t="s">
        <v>74</v>
      </c>
      <c r="AL51" s="1" t="s">
        <v>74</v>
      </c>
      <c r="AM51" s="1" t="s">
        <v>74</v>
      </c>
      <c r="AN51" s="1" t="s">
        <v>74</v>
      </c>
      <c r="AO51" s="1" t="s">
        <v>578</v>
      </c>
      <c r="AP51" s="1" t="s">
        <v>579</v>
      </c>
      <c r="AQ51" s="1" t="s">
        <v>74</v>
      </c>
      <c r="AR51" s="1" t="s">
        <v>74</v>
      </c>
      <c r="AS51" s="1" t="s">
        <v>74</v>
      </c>
      <c r="AT51" s="1" t="s">
        <v>123</v>
      </c>
      <c r="AU51" s="1">
        <v>2008.0</v>
      </c>
      <c r="AV51" s="1">
        <v>77.0</v>
      </c>
      <c r="AW51" s="1">
        <v>2.0</v>
      </c>
      <c r="AX51" s="1" t="s">
        <v>74</v>
      </c>
      <c r="AY51" s="1" t="s">
        <v>74</v>
      </c>
      <c r="AZ51" s="1" t="s">
        <v>74</v>
      </c>
      <c r="BA51" s="1" t="s">
        <v>74</v>
      </c>
      <c r="BB51" s="1" t="s">
        <v>74</v>
      </c>
      <c r="BC51" s="1" t="s">
        <v>74</v>
      </c>
      <c r="BD51" s="1">
        <v>23534.0</v>
      </c>
      <c r="BE51" s="1" t="s">
        <v>580</v>
      </c>
      <c r="BF51" s="2" t="str">
        <f>HYPERLINK("http://dx.doi.org/10.1103/PhysRevD.77.023534","http://dx.doi.org/10.1103/PhysRevD.77.023534")</f>
        <v>http://dx.doi.org/10.1103/PhysRevD.77.023534</v>
      </c>
      <c r="BG51" s="1" t="s">
        <v>74</v>
      </c>
      <c r="BH51" s="1" t="s">
        <v>74</v>
      </c>
      <c r="BI51" s="1" t="s">
        <v>74</v>
      </c>
      <c r="BJ51" s="1" t="s">
        <v>74</v>
      </c>
      <c r="BK51" s="1" t="s">
        <v>74</v>
      </c>
      <c r="BL51" s="1" t="s">
        <v>74</v>
      </c>
      <c r="BM51" s="1" t="s">
        <v>74</v>
      </c>
      <c r="BN51" s="1" t="s">
        <v>74</v>
      </c>
      <c r="BO51" s="1" t="s">
        <v>74</v>
      </c>
      <c r="BP51" s="1" t="s">
        <v>74</v>
      </c>
      <c r="BQ51" s="1" t="s">
        <v>74</v>
      </c>
      <c r="BR51" s="1" t="s">
        <v>74</v>
      </c>
      <c r="BS51" s="1" t="s">
        <v>581</v>
      </c>
      <c r="BT51" s="1" t="str">
        <f>HYPERLINK("https%3A%2F%2Fwww.webofscience.com%2Fwos%2Fwoscc%2Ffull-record%2FWOS:000252864000049","View Full Record in Web of Science")</f>
        <v>View Full Record in Web of Science</v>
      </c>
    </row>
    <row r="52" ht="12.75" customHeight="1">
      <c r="A52" s="1" t="s">
        <v>72</v>
      </c>
      <c r="B52" s="1" t="s">
        <v>582</v>
      </c>
      <c r="C52" s="1" t="s">
        <v>74</v>
      </c>
      <c r="D52" s="1" t="s">
        <v>74</v>
      </c>
      <c r="E52" s="1" t="s">
        <v>74</v>
      </c>
      <c r="F52" s="1" t="s">
        <v>583</v>
      </c>
      <c r="G52" s="1" t="s">
        <v>74</v>
      </c>
      <c r="H52" s="1" t="s">
        <v>74</v>
      </c>
      <c r="I52" s="1" t="s">
        <v>584</v>
      </c>
      <c r="J52" s="1" t="s">
        <v>585</v>
      </c>
      <c r="K52" s="1" t="s">
        <v>74</v>
      </c>
      <c r="L52" s="1" t="s">
        <v>74</v>
      </c>
      <c r="M52" s="1" t="s">
        <v>74</v>
      </c>
      <c r="N52" s="1" t="s">
        <v>74</v>
      </c>
      <c r="O52" s="1" t="s">
        <v>586</v>
      </c>
      <c r="P52" s="1" t="s">
        <v>587</v>
      </c>
      <c r="Q52" s="1" t="s">
        <v>588</v>
      </c>
      <c r="R52" s="1" t="s">
        <v>589</v>
      </c>
      <c r="S52" s="1" t="s">
        <v>74</v>
      </c>
      <c r="T52" s="1" t="s">
        <v>74</v>
      </c>
      <c r="U52" s="1" t="s">
        <v>74</v>
      </c>
      <c r="V52" s="1" t="s">
        <v>590</v>
      </c>
      <c r="W52" s="1" t="s">
        <v>74</v>
      </c>
      <c r="X52" s="1" t="s">
        <v>74</v>
      </c>
      <c r="Y52" s="1" t="s">
        <v>74</v>
      </c>
      <c r="Z52" s="1" t="s">
        <v>74</v>
      </c>
      <c r="AA52" s="1" t="s">
        <v>74</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591</v>
      </c>
      <c r="AP52" s="1" t="s">
        <v>592</v>
      </c>
      <c r="AQ52" s="1" t="s">
        <v>74</v>
      </c>
      <c r="AR52" s="1" t="s">
        <v>74</v>
      </c>
      <c r="AS52" s="1" t="s">
        <v>74</v>
      </c>
      <c r="AT52" s="1" t="s">
        <v>74</v>
      </c>
      <c r="AU52" s="1">
        <v>2008.0</v>
      </c>
      <c r="AV52" s="1">
        <v>8.0</v>
      </c>
      <c r="AW52" s="1">
        <v>2.0</v>
      </c>
      <c r="AX52" s="1" t="s">
        <v>74</v>
      </c>
      <c r="AY52" s="1" t="s">
        <v>74</v>
      </c>
      <c r="AZ52" s="1" t="s">
        <v>74</v>
      </c>
      <c r="BA52" s="1" t="s">
        <v>74</v>
      </c>
      <c r="BB52" s="1">
        <v>31.0</v>
      </c>
      <c r="BC52" s="1">
        <v>43.0</v>
      </c>
      <c r="BD52" s="1" t="s">
        <v>74</v>
      </c>
      <c r="BE52" s="1" t="s">
        <v>74</v>
      </c>
      <c r="BF52" s="1" t="s">
        <v>74</v>
      </c>
      <c r="BG52" s="1" t="s">
        <v>74</v>
      </c>
      <c r="BH52" s="1" t="s">
        <v>74</v>
      </c>
      <c r="BI52" s="1" t="s">
        <v>74</v>
      </c>
      <c r="BJ52" s="1" t="s">
        <v>74</v>
      </c>
      <c r="BK52" s="1" t="s">
        <v>74</v>
      </c>
      <c r="BL52" s="1" t="s">
        <v>74</v>
      </c>
      <c r="BM52" s="1" t="s">
        <v>74</v>
      </c>
      <c r="BN52" s="1" t="s">
        <v>74</v>
      </c>
      <c r="BO52" s="1" t="s">
        <v>74</v>
      </c>
      <c r="BP52" s="1" t="s">
        <v>74</v>
      </c>
      <c r="BQ52" s="1" t="s">
        <v>74</v>
      </c>
      <c r="BR52" s="1" t="s">
        <v>74</v>
      </c>
      <c r="BS52" s="1" t="s">
        <v>593</v>
      </c>
      <c r="BT52" s="1" t="str">
        <f>HYPERLINK("https%3A%2F%2Fwww.webofscience.com%2Fwos%2Fwoscc%2Ffull-record%2FWOS:000261492400005","View Full Record in Web of Science")</f>
        <v>View Full Record in Web of Science</v>
      </c>
    </row>
    <row r="53" ht="12.75" customHeight="1">
      <c r="A53" s="1" t="s">
        <v>126</v>
      </c>
      <c r="B53" s="1" t="s">
        <v>594</v>
      </c>
      <c r="C53" s="1" t="s">
        <v>74</v>
      </c>
      <c r="D53" s="1" t="s">
        <v>595</v>
      </c>
      <c r="E53" s="1" t="s">
        <v>74</v>
      </c>
      <c r="F53" s="1" t="s">
        <v>596</v>
      </c>
      <c r="G53" s="1" t="s">
        <v>74</v>
      </c>
      <c r="H53" s="1" t="s">
        <v>74</v>
      </c>
      <c r="I53" s="1" t="s">
        <v>597</v>
      </c>
      <c r="J53" s="1" t="s">
        <v>598</v>
      </c>
      <c r="K53" s="1" t="s">
        <v>599</v>
      </c>
      <c r="L53" s="1" t="s">
        <v>74</v>
      </c>
      <c r="M53" s="1" t="s">
        <v>74</v>
      </c>
      <c r="N53" s="1" t="s">
        <v>74</v>
      </c>
      <c r="O53" s="1" t="s">
        <v>600</v>
      </c>
      <c r="P53" s="1" t="s">
        <v>601</v>
      </c>
      <c r="Q53" s="1" t="s">
        <v>602</v>
      </c>
      <c r="R53" s="1" t="s">
        <v>603</v>
      </c>
      <c r="S53" s="1" t="s">
        <v>74</v>
      </c>
      <c r="T53" s="1" t="s">
        <v>74</v>
      </c>
      <c r="U53" s="1" t="s">
        <v>74</v>
      </c>
      <c r="V53" s="1" t="s">
        <v>604</v>
      </c>
      <c r="W53" s="1" t="s">
        <v>74</v>
      </c>
      <c r="X53" s="1" t="s">
        <v>74</v>
      </c>
      <c r="Y53" s="1" t="s">
        <v>74</v>
      </c>
      <c r="Z53" s="1" t="s">
        <v>74</v>
      </c>
      <c r="AA53" s="1" t="s">
        <v>74</v>
      </c>
      <c r="AB53" s="1" t="s">
        <v>74</v>
      </c>
      <c r="AC53" s="1" t="s">
        <v>74</v>
      </c>
      <c r="AD53" s="1" t="s">
        <v>74</v>
      </c>
      <c r="AE53" s="1" t="s">
        <v>74</v>
      </c>
      <c r="AF53" s="1" t="s">
        <v>74</v>
      </c>
      <c r="AG53" s="1" t="s">
        <v>74</v>
      </c>
      <c r="AH53" s="1" t="s">
        <v>74</v>
      </c>
      <c r="AI53" s="1" t="s">
        <v>74</v>
      </c>
      <c r="AJ53" s="1" t="s">
        <v>74</v>
      </c>
      <c r="AK53" s="1" t="s">
        <v>74</v>
      </c>
      <c r="AL53" s="1" t="s">
        <v>74</v>
      </c>
      <c r="AM53" s="1" t="s">
        <v>74</v>
      </c>
      <c r="AN53" s="1" t="s">
        <v>74</v>
      </c>
      <c r="AO53" s="1" t="s">
        <v>74</v>
      </c>
      <c r="AP53" s="1" t="s">
        <v>74</v>
      </c>
      <c r="AQ53" s="1" t="s">
        <v>605</v>
      </c>
      <c r="AR53" s="1" t="s">
        <v>74</v>
      </c>
      <c r="AS53" s="1" t="s">
        <v>74</v>
      </c>
      <c r="AT53" s="1" t="s">
        <v>74</v>
      </c>
      <c r="AU53" s="1">
        <v>2007.0</v>
      </c>
      <c r="AV53" s="1" t="s">
        <v>74</v>
      </c>
      <c r="AW53" s="1" t="s">
        <v>74</v>
      </c>
      <c r="AX53" s="1" t="s">
        <v>74</v>
      </c>
      <c r="AY53" s="1" t="s">
        <v>74</v>
      </c>
      <c r="AZ53" s="1" t="s">
        <v>74</v>
      </c>
      <c r="BA53" s="1" t="s">
        <v>74</v>
      </c>
      <c r="BB53" s="1">
        <v>274.0</v>
      </c>
      <c r="BC53" s="1">
        <v>279.0</v>
      </c>
      <c r="BD53" s="1" t="s">
        <v>74</v>
      </c>
      <c r="BE53" s="1" t="s">
        <v>74</v>
      </c>
      <c r="BF53" s="1" t="s">
        <v>74</v>
      </c>
      <c r="BG53" s="1" t="s">
        <v>74</v>
      </c>
      <c r="BH53" s="1" t="s">
        <v>74</v>
      </c>
      <c r="BI53" s="1" t="s">
        <v>74</v>
      </c>
      <c r="BJ53" s="1" t="s">
        <v>74</v>
      </c>
      <c r="BK53" s="1" t="s">
        <v>74</v>
      </c>
      <c r="BL53" s="1" t="s">
        <v>74</v>
      </c>
      <c r="BM53" s="1" t="s">
        <v>74</v>
      </c>
      <c r="BN53" s="1" t="s">
        <v>74</v>
      </c>
      <c r="BO53" s="1" t="s">
        <v>74</v>
      </c>
      <c r="BP53" s="1" t="s">
        <v>74</v>
      </c>
      <c r="BQ53" s="1" t="s">
        <v>74</v>
      </c>
      <c r="BR53" s="1" t="s">
        <v>74</v>
      </c>
      <c r="BS53" s="1" t="s">
        <v>606</v>
      </c>
      <c r="BT53" s="1" t="str">
        <f>HYPERLINK("https%3A%2F%2Fwww.webofscience.com%2Fwos%2Fwoscc%2Ffull-record%2FWOS:000254146000044","View Full Record in Web of Science")</f>
        <v>View Full Record in Web of Science</v>
      </c>
    </row>
    <row r="54" ht="12.75" customHeight="1">
      <c r="A54" s="1" t="s">
        <v>72</v>
      </c>
      <c r="B54" s="1" t="s">
        <v>607</v>
      </c>
      <c r="C54" s="1" t="s">
        <v>74</v>
      </c>
      <c r="D54" s="1" t="s">
        <v>74</v>
      </c>
      <c r="E54" s="1" t="s">
        <v>74</v>
      </c>
      <c r="F54" s="1" t="s">
        <v>608</v>
      </c>
      <c r="G54" s="1" t="s">
        <v>74</v>
      </c>
      <c r="H54" s="1" t="s">
        <v>74</v>
      </c>
      <c r="I54" s="1" t="s">
        <v>609</v>
      </c>
      <c r="J54" s="1" t="s">
        <v>610</v>
      </c>
      <c r="K54" s="1" t="s">
        <v>74</v>
      </c>
      <c r="L54" s="1" t="s">
        <v>74</v>
      </c>
      <c r="M54" s="1" t="s">
        <v>74</v>
      </c>
      <c r="N54" s="1" t="s">
        <v>74</v>
      </c>
      <c r="O54" s="1" t="s">
        <v>611</v>
      </c>
      <c r="P54" s="1" t="s">
        <v>612</v>
      </c>
      <c r="Q54" s="1" t="s">
        <v>613</v>
      </c>
      <c r="R54" s="1" t="s">
        <v>74</v>
      </c>
      <c r="S54" s="1" t="s">
        <v>74</v>
      </c>
      <c r="T54" s="1" t="s">
        <v>74</v>
      </c>
      <c r="U54" s="1" t="s">
        <v>74</v>
      </c>
      <c r="V54" s="1" t="s">
        <v>614</v>
      </c>
      <c r="W54" s="1" t="s">
        <v>74</v>
      </c>
      <c r="X54" s="1" t="s">
        <v>74</v>
      </c>
      <c r="Y54" s="1" t="s">
        <v>74</v>
      </c>
      <c r="Z54" s="1" t="s">
        <v>74</v>
      </c>
      <c r="AA54" s="1" t="s">
        <v>615</v>
      </c>
      <c r="AB54" s="1" t="s">
        <v>74</v>
      </c>
      <c r="AC54" s="1" t="s">
        <v>74</v>
      </c>
      <c r="AD54" s="1" t="s">
        <v>74</v>
      </c>
      <c r="AE54" s="1" t="s">
        <v>74</v>
      </c>
      <c r="AF54" s="1" t="s">
        <v>74</v>
      </c>
      <c r="AG54" s="1" t="s">
        <v>74</v>
      </c>
      <c r="AH54" s="1" t="s">
        <v>74</v>
      </c>
      <c r="AI54" s="1" t="s">
        <v>74</v>
      </c>
      <c r="AJ54" s="1" t="s">
        <v>74</v>
      </c>
      <c r="AK54" s="1" t="s">
        <v>74</v>
      </c>
      <c r="AL54" s="1" t="s">
        <v>74</v>
      </c>
      <c r="AM54" s="1" t="s">
        <v>74</v>
      </c>
      <c r="AN54" s="1" t="s">
        <v>74</v>
      </c>
      <c r="AO54" s="1" t="s">
        <v>616</v>
      </c>
      <c r="AP54" s="1" t="s">
        <v>617</v>
      </c>
      <c r="AQ54" s="1" t="s">
        <v>74</v>
      </c>
      <c r="AR54" s="1" t="s">
        <v>74</v>
      </c>
      <c r="AS54" s="1" t="s">
        <v>74</v>
      </c>
      <c r="AT54" s="1" t="s">
        <v>74</v>
      </c>
      <c r="AU54" s="1">
        <v>2007.0</v>
      </c>
      <c r="AV54" s="1">
        <v>25.0</v>
      </c>
      <c r="AW54" s="1">
        <v>9.0</v>
      </c>
      <c r="AX54" s="1" t="s">
        <v>74</v>
      </c>
      <c r="AY54" s="1" t="s">
        <v>74</v>
      </c>
      <c r="AZ54" s="1" t="s">
        <v>74</v>
      </c>
      <c r="BA54" s="1" t="s">
        <v>74</v>
      </c>
      <c r="BB54" s="1">
        <v>637.0</v>
      </c>
      <c r="BC54" s="1">
        <v>646.0</v>
      </c>
      <c r="BD54" s="1" t="s">
        <v>74</v>
      </c>
      <c r="BE54" s="1" t="s">
        <v>618</v>
      </c>
      <c r="BF54" s="2" t="str">
        <f>HYPERLINK("http://dx.doi.org/10.1260/026361707785082396","http://dx.doi.org/10.1260/026361707785082396")</f>
        <v>http://dx.doi.org/10.1260/026361707785082396</v>
      </c>
      <c r="BG54" s="1" t="s">
        <v>74</v>
      </c>
      <c r="BH54" s="1" t="s">
        <v>74</v>
      </c>
      <c r="BI54" s="1" t="s">
        <v>74</v>
      </c>
      <c r="BJ54" s="1" t="s">
        <v>74</v>
      </c>
      <c r="BK54" s="1" t="s">
        <v>74</v>
      </c>
      <c r="BL54" s="1" t="s">
        <v>74</v>
      </c>
      <c r="BM54" s="1" t="s">
        <v>74</v>
      </c>
      <c r="BN54" s="1" t="s">
        <v>74</v>
      </c>
      <c r="BO54" s="1" t="s">
        <v>74</v>
      </c>
      <c r="BP54" s="1" t="s">
        <v>74</v>
      </c>
      <c r="BQ54" s="1" t="s">
        <v>74</v>
      </c>
      <c r="BR54" s="1" t="s">
        <v>74</v>
      </c>
      <c r="BS54" s="1" t="s">
        <v>619</v>
      </c>
      <c r="BT54" s="1" t="str">
        <f>HYPERLINK("https%3A%2F%2Fwww.webofscience.com%2Fwos%2Fwoscc%2Ffull-record%2FWOS:000257833200003","View Full Record in Web of Science")</f>
        <v>View Full Record in Web of Science</v>
      </c>
    </row>
    <row r="55" ht="12.75" customHeight="1">
      <c r="A55" s="1" t="s">
        <v>126</v>
      </c>
      <c r="B55" s="1" t="s">
        <v>620</v>
      </c>
      <c r="C55" s="1" t="s">
        <v>74</v>
      </c>
      <c r="D55" s="1" t="s">
        <v>621</v>
      </c>
      <c r="E55" s="1" t="s">
        <v>74</v>
      </c>
      <c r="F55" s="1" t="s">
        <v>622</v>
      </c>
      <c r="G55" s="1" t="s">
        <v>74</v>
      </c>
      <c r="H55" s="1" t="s">
        <v>74</v>
      </c>
      <c r="I55" s="1" t="s">
        <v>623</v>
      </c>
      <c r="J55" s="1" t="s">
        <v>624</v>
      </c>
      <c r="K55" s="1" t="s">
        <v>499</v>
      </c>
      <c r="L55" s="1" t="s">
        <v>74</v>
      </c>
      <c r="M55" s="1" t="s">
        <v>74</v>
      </c>
      <c r="N55" s="1" t="s">
        <v>74</v>
      </c>
      <c r="O55" s="1" t="s">
        <v>625</v>
      </c>
      <c r="P55" s="1" t="s">
        <v>626</v>
      </c>
      <c r="Q55" s="1" t="s">
        <v>627</v>
      </c>
      <c r="R55" s="1" t="s">
        <v>628</v>
      </c>
      <c r="S55" s="1" t="s">
        <v>74</v>
      </c>
      <c r="T55" s="1" t="s">
        <v>74</v>
      </c>
      <c r="U55" s="1" t="s">
        <v>74</v>
      </c>
      <c r="V55" s="1" t="s">
        <v>629</v>
      </c>
      <c r="W55" s="1" t="s">
        <v>74</v>
      </c>
      <c r="X55" s="1" t="s">
        <v>74</v>
      </c>
      <c r="Y55" s="1" t="s">
        <v>74</v>
      </c>
      <c r="Z55" s="1" t="s">
        <v>74</v>
      </c>
      <c r="AA55" s="1" t="s">
        <v>74</v>
      </c>
      <c r="AB55" s="1" t="s">
        <v>630</v>
      </c>
      <c r="AC55" s="1" t="s">
        <v>74</v>
      </c>
      <c r="AD55" s="1" t="s">
        <v>74</v>
      </c>
      <c r="AE55" s="1" t="s">
        <v>74</v>
      </c>
      <c r="AF55" s="1" t="s">
        <v>74</v>
      </c>
      <c r="AG55" s="1" t="s">
        <v>74</v>
      </c>
      <c r="AH55" s="1" t="s">
        <v>74</v>
      </c>
      <c r="AI55" s="1" t="s">
        <v>74</v>
      </c>
      <c r="AJ55" s="1" t="s">
        <v>74</v>
      </c>
      <c r="AK55" s="1" t="s">
        <v>74</v>
      </c>
      <c r="AL55" s="1" t="s">
        <v>74</v>
      </c>
      <c r="AM55" s="1" t="s">
        <v>74</v>
      </c>
      <c r="AN55" s="1" t="s">
        <v>74</v>
      </c>
      <c r="AO55" s="1" t="s">
        <v>506</v>
      </c>
      <c r="AP55" s="1" t="s">
        <v>74</v>
      </c>
      <c r="AQ55" s="1" t="s">
        <v>631</v>
      </c>
      <c r="AR55" s="1" t="s">
        <v>74</v>
      </c>
      <c r="AS55" s="1" t="s">
        <v>74</v>
      </c>
      <c r="AT55" s="1" t="s">
        <v>74</v>
      </c>
      <c r="AU55" s="1">
        <v>2007.0</v>
      </c>
      <c r="AV55" s="1">
        <v>4491.0</v>
      </c>
      <c r="AW55" s="1" t="s">
        <v>74</v>
      </c>
      <c r="AX55" s="1" t="s">
        <v>74</v>
      </c>
      <c r="AY55" s="1" t="s">
        <v>74</v>
      </c>
      <c r="AZ55" s="1" t="s">
        <v>74</v>
      </c>
      <c r="BA55" s="1" t="s">
        <v>74</v>
      </c>
      <c r="BB55" s="1">
        <v>311.0</v>
      </c>
      <c r="BC55" s="1" t="s">
        <v>509</v>
      </c>
      <c r="BD55" s="1" t="s">
        <v>74</v>
      </c>
      <c r="BE55" s="1" t="s">
        <v>74</v>
      </c>
      <c r="BF55" s="1" t="s">
        <v>74</v>
      </c>
      <c r="BG55" s="1" t="s">
        <v>74</v>
      </c>
      <c r="BH55" s="1" t="s">
        <v>74</v>
      </c>
      <c r="BI55" s="1" t="s">
        <v>74</v>
      </c>
      <c r="BJ55" s="1" t="s">
        <v>74</v>
      </c>
      <c r="BK55" s="1" t="s">
        <v>74</v>
      </c>
      <c r="BL55" s="1" t="s">
        <v>74</v>
      </c>
      <c r="BM55" s="1" t="s">
        <v>74</v>
      </c>
      <c r="BN55" s="1" t="s">
        <v>74</v>
      </c>
      <c r="BO55" s="1" t="s">
        <v>74</v>
      </c>
      <c r="BP55" s="1" t="s">
        <v>74</v>
      </c>
      <c r="BQ55" s="1" t="s">
        <v>74</v>
      </c>
      <c r="BR55" s="1" t="s">
        <v>74</v>
      </c>
      <c r="BS55" s="1" t="s">
        <v>632</v>
      </c>
      <c r="BT55" s="1" t="str">
        <f>HYPERLINK("https%3A%2F%2Fwww.webofscience.com%2Fwos%2Fwoscc%2Ffull-record%2FWOS:000247063100037","View Full Record in Web of Science")</f>
        <v>View Full Record in Web of Science</v>
      </c>
    </row>
    <row r="56" ht="12.75" customHeight="1">
      <c r="A56" s="1" t="s">
        <v>72</v>
      </c>
      <c r="B56" s="1" t="s">
        <v>633</v>
      </c>
      <c r="C56" s="1" t="s">
        <v>74</v>
      </c>
      <c r="D56" s="1" t="s">
        <v>74</v>
      </c>
      <c r="E56" s="1" t="s">
        <v>74</v>
      </c>
      <c r="F56" s="1" t="s">
        <v>634</v>
      </c>
      <c r="G56" s="1" t="s">
        <v>74</v>
      </c>
      <c r="H56" s="1" t="s">
        <v>74</v>
      </c>
      <c r="I56" s="1" t="s">
        <v>635</v>
      </c>
      <c r="J56" s="1" t="s">
        <v>636</v>
      </c>
      <c r="K56" s="1" t="s">
        <v>74</v>
      </c>
      <c r="L56" s="1" t="s">
        <v>74</v>
      </c>
      <c r="M56" s="1" t="s">
        <v>74</v>
      </c>
      <c r="N56" s="1" t="s">
        <v>74</v>
      </c>
      <c r="O56" s="1" t="s">
        <v>74</v>
      </c>
      <c r="P56" s="1" t="s">
        <v>74</v>
      </c>
      <c r="Q56" s="1" t="s">
        <v>74</v>
      </c>
      <c r="R56" s="1" t="s">
        <v>74</v>
      </c>
      <c r="S56" s="1" t="s">
        <v>74</v>
      </c>
      <c r="T56" s="1" t="s">
        <v>74</v>
      </c>
      <c r="U56" s="1" t="s">
        <v>74</v>
      </c>
      <c r="V56" s="1" t="s">
        <v>74</v>
      </c>
      <c r="W56" s="1" t="s">
        <v>74</v>
      </c>
      <c r="X56" s="1" t="s">
        <v>74</v>
      </c>
      <c r="Y56" s="1" t="s">
        <v>74</v>
      </c>
      <c r="Z56" s="1" t="s">
        <v>74</v>
      </c>
      <c r="AA56" s="1" t="s">
        <v>74</v>
      </c>
      <c r="AB56" s="1" t="s">
        <v>74</v>
      </c>
      <c r="AC56" s="1" t="s">
        <v>74</v>
      </c>
      <c r="AD56" s="1" t="s">
        <v>74</v>
      </c>
      <c r="AE56" s="1" t="s">
        <v>74</v>
      </c>
      <c r="AF56" s="1" t="s">
        <v>74</v>
      </c>
      <c r="AG56" s="1" t="s">
        <v>74</v>
      </c>
      <c r="AH56" s="1" t="s">
        <v>74</v>
      </c>
      <c r="AI56" s="1" t="s">
        <v>74</v>
      </c>
      <c r="AJ56" s="1" t="s">
        <v>74</v>
      </c>
      <c r="AK56" s="1" t="s">
        <v>74</v>
      </c>
      <c r="AL56" s="1" t="s">
        <v>74</v>
      </c>
      <c r="AM56" s="1" t="s">
        <v>74</v>
      </c>
      <c r="AN56" s="1" t="s">
        <v>74</v>
      </c>
      <c r="AO56" s="1" t="s">
        <v>637</v>
      </c>
      <c r="AP56" s="1" t="s">
        <v>74</v>
      </c>
      <c r="AQ56" s="1" t="s">
        <v>74</v>
      </c>
      <c r="AR56" s="1" t="s">
        <v>74</v>
      </c>
      <c r="AS56" s="1" t="s">
        <v>74</v>
      </c>
      <c r="AT56" s="1" t="s">
        <v>74</v>
      </c>
      <c r="AU56" s="1">
        <v>2007.0</v>
      </c>
      <c r="AV56" s="1">
        <v>63.0</v>
      </c>
      <c r="AW56" s="1" t="s">
        <v>74</v>
      </c>
      <c r="AX56" s="1" t="s">
        <v>74</v>
      </c>
      <c r="AY56" s="1" t="s">
        <v>638</v>
      </c>
      <c r="AZ56" s="1" t="s">
        <v>74</v>
      </c>
      <c r="BA56" s="1" t="s">
        <v>639</v>
      </c>
      <c r="BB56" s="1" t="s">
        <v>640</v>
      </c>
      <c r="BC56" s="1" t="s">
        <v>641</v>
      </c>
      <c r="BD56" s="1" t="s">
        <v>74</v>
      </c>
      <c r="BE56" s="1" t="s">
        <v>642</v>
      </c>
      <c r="BF56" s="2" t="str">
        <f>HYPERLINK("http://dx.doi.org/10.1107/S0108767307093592","http://dx.doi.org/10.1107/S0108767307093592")</f>
        <v>http://dx.doi.org/10.1107/S0108767307093592</v>
      </c>
      <c r="BG56" s="1" t="s">
        <v>74</v>
      </c>
      <c r="BH56" s="1" t="s">
        <v>74</v>
      </c>
      <c r="BI56" s="1" t="s">
        <v>74</v>
      </c>
      <c r="BJ56" s="1" t="s">
        <v>74</v>
      </c>
      <c r="BK56" s="1" t="s">
        <v>74</v>
      </c>
      <c r="BL56" s="1" t="s">
        <v>74</v>
      </c>
      <c r="BM56" s="1" t="s">
        <v>74</v>
      </c>
      <c r="BN56" s="1" t="s">
        <v>74</v>
      </c>
      <c r="BO56" s="1" t="s">
        <v>74</v>
      </c>
      <c r="BP56" s="1" t="s">
        <v>74</v>
      </c>
      <c r="BQ56" s="1" t="s">
        <v>74</v>
      </c>
      <c r="BR56" s="1" t="s">
        <v>74</v>
      </c>
      <c r="BS56" s="1" t="s">
        <v>643</v>
      </c>
      <c r="BT56" s="1" t="str">
        <f>HYPERLINK("https%3A%2F%2Fwww.webofscience.com%2Fwos%2Fwoscc%2Ffull-record%2FWOS:000478082400636","View Full Record in Web of Science")</f>
        <v>View Full Record in Web of Science</v>
      </c>
    </row>
    <row r="57" ht="12.75" customHeight="1">
      <c r="A57" s="1" t="s">
        <v>72</v>
      </c>
      <c r="B57" s="1" t="s">
        <v>644</v>
      </c>
      <c r="C57" s="1" t="s">
        <v>74</v>
      </c>
      <c r="D57" s="1" t="s">
        <v>74</v>
      </c>
      <c r="E57" s="1" t="s">
        <v>74</v>
      </c>
      <c r="F57" s="1" t="s">
        <v>645</v>
      </c>
      <c r="G57" s="1" t="s">
        <v>74</v>
      </c>
      <c r="H57" s="1" t="s">
        <v>74</v>
      </c>
      <c r="I57" s="1" t="s">
        <v>646</v>
      </c>
      <c r="J57" s="1" t="s">
        <v>647</v>
      </c>
      <c r="K57" s="1" t="s">
        <v>74</v>
      </c>
      <c r="L57" s="1" t="s">
        <v>74</v>
      </c>
      <c r="M57" s="1" t="s">
        <v>74</v>
      </c>
      <c r="N57" s="1" t="s">
        <v>74</v>
      </c>
      <c r="O57" s="1" t="s">
        <v>74</v>
      </c>
      <c r="P57" s="1" t="s">
        <v>74</v>
      </c>
      <c r="Q57" s="1" t="s">
        <v>74</v>
      </c>
      <c r="R57" s="1" t="s">
        <v>74</v>
      </c>
      <c r="S57" s="1" t="s">
        <v>74</v>
      </c>
      <c r="T57" s="1" t="s">
        <v>74</v>
      </c>
      <c r="U57" s="1" t="s">
        <v>74</v>
      </c>
      <c r="V57" s="1" t="s">
        <v>648</v>
      </c>
      <c r="W57" s="1" t="s">
        <v>74</v>
      </c>
      <c r="X57" s="1" t="s">
        <v>74</v>
      </c>
      <c r="Y57" s="1" t="s">
        <v>74</v>
      </c>
      <c r="Z57" s="1" t="s">
        <v>74</v>
      </c>
      <c r="AA57" s="1" t="s">
        <v>74</v>
      </c>
      <c r="AB57" s="1" t="s">
        <v>74</v>
      </c>
      <c r="AC57" s="1" t="s">
        <v>74</v>
      </c>
      <c r="AD57" s="1" t="s">
        <v>74</v>
      </c>
      <c r="AE57" s="1" t="s">
        <v>74</v>
      </c>
      <c r="AF57" s="1" t="s">
        <v>74</v>
      </c>
      <c r="AG57" s="1" t="s">
        <v>74</v>
      </c>
      <c r="AH57" s="1" t="s">
        <v>74</v>
      </c>
      <c r="AI57" s="1" t="s">
        <v>74</v>
      </c>
      <c r="AJ57" s="1" t="s">
        <v>74</v>
      </c>
      <c r="AK57" s="1" t="s">
        <v>74</v>
      </c>
      <c r="AL57" s="1" t="s">
        <v>74</v>
      </c>
      <c r="AM57" s="1" t="s">
        <v>74</v>
      </c>
      <c r="AN57" s="1" t="s">
        <v>74</v>
      </c>
      <c r="AO57" s="1" t="s">
        <v>649</v>
      </c>
      <c r="AP57" s="1" t="s">
        <v>650</v>
      </c>
      <c r="AQ57" s="1" t="s">
        <v>74</v>
      </c>
      <c r="AR57" s="1" t="s">
        <v>74</v>
      </c>
      <c r="AS57" s="1" t="s">
        <v>74</v>
      </c>
      <c r="AT57" s="1" t="s">
        <v>651</v>
      </c>
      <c r="AU57" s="1">
        <v>2006.0</v>
      </c>
      <c r="AV57" s="1">
        <v>55.0</v>
      </c>
      <c r="AW57" s="1">
        <v>1.0</v>
      </c>
      <c r="AX57" s="1" t="s">
        <v>74</v>
      </c>
      <c r="AY57" s="1" t="s">
        <v>74</v>
      </c>
      <c r="AZ57" s="1" t="s">
        <v>74</v>
      </c>
      <c r="BA57" s="1" t="s">
        <v>74</v>
      </c>
      <c r="BB57" s="1">
        <v>91.0</v>
      </c>
      <c r="BC57" s="1">
        <v>116.0</v>
      </c>
      <c r="BD57" s="1" t="s">
        <v>74</v>
      </c>
      <c r="BE57" s="1" t="s">
        <v>74</v>
      </c>
      <c r="BF57" s="1" t="s">
        <v>74</v>
      </c>
      <c r="BG57" s="1" t="s">
        <v>74</v>
      </c>
      <c r="BH57" s="1" t="s">
        <v>74</v>
      </c>
      <c r="BI57" s="1" t="s">
        <v>74</v>
      </c>
      <c r="BJ57" s="1" t="s">
        <v>74</v>
      </c>
      <c r="BK57" s="1" t="s">
        <v>74</v>
      </c>
      <c r="BL57" s="1" t="s">
        <v>74</v>
      </c>
      <c r="BM57" s="1" t="s">
        <v>74</v>
      </c>
      <c r="BN57" s="1" t="s">
        <v>74</v>
      </c>
      <c r="BO57" s="1" t="s">
        <v>74</v>
      </c>
      <c r="BP57" s="1" t="s">
        <v>74</v>
      </c>
      <c r="BQ57" s="1" t="s">
        <v>74</v>
      </c>
      <c r="BR57" s="1" t="s">
        <v>74</v>
      </c>
      <c r="BS57" s="1" t="s">
        <v>652</v>
      </c>
      <c r="BT57" s="1" t="str">
        <f>HYPERLINK("https%3A%2F%2Fwww.webofscience.com%2Fwos%2Fwoscc%2Ffull-record%2FWOS:000239034200004","View Full Record in Web of Science")</f>
        <v>View Full Record in Web of Science</v>
      </c>
    </row>
    <row r="58" ht="12.75" customHeight="1">
      <c r="A58" s="1" t="s">
        <v>72</v>
      </c>
      <c r="B58" s="1" t="s">
        <v>653</v>
      </c>
      <c r="C58" s="1" t="s">
        <v>74</v>
      </c>
      <c r="D58" s="1" t="s">
        <v>74</v>
      </c>
      <c r="E58" s="1" t="s">
        <v>74</v>
      </c>
      <c r="F58" s="1" t="s">
        <v>654</v>
      </c>
      <c r="G58" s="1" t="s">
        <v>74</v>
      </c>
      <c r="H58" s="1" t="s">
        <v>74</v>
      </c>
      <c r="I58" s="1" t="s">
        <v>655</v>
      </c>
      <c r="J58" s="1" t="s">
        <v>656</v>
      </c>
      <c r="K58" s="1" t="s">
        <v>74</v>
      </c>
      <c r="L58" s="1" t="s">
        <v>74</v>
      </c>
      <c r="M58" s="1" t="s">
        <v>74</v>
      </c>
      <c r="N58" s="1" t="s">
        <v>74</v>
      </c>
      <c r="O58" s="1" t="s">
        <v>74</v>
      </c>
      <c r="P58" s="1" t="s">
        <v>74</v>
      </c>
      <c r="Q58" s="1" t="s">
        <v>74</v>
      </c>
      <c r="R58" s="1" t="s">
        <v>74</v>
      </c>
      <c r="S58" s="1" t="s">
        <v>74</v>
      </c>
      <c r="T58" s="1" t="s">
        <v>74</v>
      </c>
      <c r="U58" s="1" t="s">
        <v>74</v>
      </c>
      <c r="V58" s="1" t="s">
        <v>74</v>
      </c>
      <c r="W58" s="1" t="s">
        <v>74</v>
      </c>
      <c r="X58" s="1" t="s">
        <v>74</v>
      </c>
      <c r="Y58" s="1" t="s">
        <v>74</v>
      </c>
      <c r="Z58" s="1" t="s">
        <v>74</v>
      </c>
      <c r="AA58" s="1" t="s">
        <v>74</v>
      </c>
      <c r="AB58" s="1" t="s">
        <v>74</v>
      </c>
      <c r="AC58" s="1" t="s">
        <v>74</v>
      </c>
      <c r="AD58" s="1" t="s">
        <v>74</v>
      </c>
      <c r="AE58" s="1" t="s">
        <v>74</v>
      </c>
      <c r="AF58" s="1" t="s">
        <v>74</v>
      </c>
      <c r="AG58" s="1" t="s">
        <v>74</v>
      </c>
      <c r="AH58" s="1" t="s">
        <v>74</v>
      </c>
      <c r="AI58" s="1" t="s">
        <v>74</v>
      </c>
      <c r="AJ58" s="1" t="s">
        <v>74</v>
      </c>
      <c r="AK58" s="1" t="s">
        <v>74</v>
      </c>
      <c r="AL58" s="1" t="s">
        <v>74</v>
      </c>
      <c r="AM58" s="1" t="s">
        <v>74</v>
      </c>
      <c r="AN58" s="1" t="s">
        <v>74</v>
      </c>
      <c r="AO58" s="1" t="s">
        <v>657</v>
      </c>
      <c r="AP58" s="1" t="s">
        <v>74</v>
      </c>
      <c r="AQ58" s="1" t="s">
        <v>74</v>
      </c>
      <c r="AR58" s="1" t="s">
        <v>74</v>
      </c>
      <c r="AS58" s="1" t="s">
        <v>74</v>
      </c>
      <c r="AT58" s="1" t="s">
        <v>658</v>
      </c>
      <c r="AU58" s="1">
        <v>2006.0</v>
      </c>
      <c r="AV58" s="1">
        <v>232.0</v>
      </c>
      <c r="AW58" s="1" t="s">
        <v>74</v>
      </c>
      <c r="AX58" s="1" t="s">
        <v>74</v>
      </c>
      <c r="AY58" s="1" t="s">
        <v>74</v>
      </c>
      <c r="AZ58" s="1" t="s">
        <v>74</v>
      </c>
      <c r="BA58" s="1" t="s">
        <v>659</v>
      </c>
      <c r="BB58" s="1">
        <v>915.0</v>
      </c>
      <c r="BC58" s="1">
        <v>915.0</v>
      </c>
      <c r="BD58" s="1" t="s">
        <v>74</v>
      </c>
      <c r="BE58" s="1" t="s">
        <v>74</v>
      </c>
      <c r="BF58" s="1" t="s">
        <v>74</v>
      </c>
      <c r="BG58" s="1" t="s">
        <v>74</v>
      </c>
      <c r="BH58" s="1" t="s">
        <v>74</v>
      </c>
      <c r="BI58" s="1" t="s">
        <v>74</v>
      </c>
      <c r="BJ58" s="1" t="s">
        <v>74</v>
      </c>
      <c r="BK58" s="1" t="s">
        <v>74</v>
      </c>
      <c r="BL58" s="1" t="s">
        <v>74</v>
      </c>
      <c r="BM58" s="1" t="s">
        <v>74</v>
      </c>
      <c r="BN58" s="1" t="s">
        <v>74</v>
      </c>
      <c r="BO58" s="1" t="s">
        <v>74</v>
      </c>
      <c r="BP58" s="1" t="s">
        <v>74</v>
      </c>
      <c r="BQ58" s="1" t="s">
        <v>74</v>
      </c>
      <c r="BR58" s="1" t="s">
        <v>74</v>
      </c>
      <c r="BS58" s="1" t="s">
        <v>660</v>
      </c>
      <c r="BT58" s="1" t="str">
        <f>HYPERLINK("https%3A%2F%2Fwww.webofscience.com%2Fwos%2Fwoscc%2Ffull-record%2FWOS:000207781600818","View Full Record in Web of Science")</f>
        <v>View Full Record in Web of Science</v>
      </c>
    </row>
    <row r="59" ht="12.75" customHeight="1">
      <c r="A59" s="1" t="s">
        <v>72</v>
      </c>
      <c r="B59" s="1" t="s">
        <v>661</v>
      </c>
      <c r="C59" s="1" t="s">
        <v>74</v>
      </c>
      <c r="D59" s="1" t="s">
        <v>74</v>
      </c>
      <c r="E59" s="1" t="s">
        <v>74</v>
      </c>
      <c r="F59" s="1" t="s">
        <v>662</v>
      </c>
      <c r="G59" s="1" t="s">
        <v>74</v>
      </c>
      <c r="H59" s="1" t="s">
        <v>74</v>
      </c>
      <c r="I59" s="1" t="s">
        <v>663</v>
      </c>
      <c r="J59" s="1" t="s">
        <v>664</v>
      </c>
      <c r="K59" s="1" t="s">
        <v>74</v>
      </c>
      <c r="L59" s="1" t="s">
        <v>74</v>
      </c>
      <c r="M59" s="1" t="s">
        <v>74</v>
      </c>
      <c r="N59" s="1" t="s">
        <v>74</v>
      </c>
      <c r="O59" s="1" t="s">
        <v>665</v>
      </c>
      <c r="P59" s="1" t="s">
        <v>666</v>
      </c>
      <c r="Q59" s="1" t="s">
        <v>667</v>
      </c>
      <c r="R59" s="1" t="s">
        <v>668</v>
      </c>
      <c r="S59" s="1" t="s">
        <v>74</v>
      </c>
      <c r="T59" s="1" t="s">
        <v>74</v>
      </c>
      <c r="U59" s="1" t="s">
        <v>74</v>
      </c>
      <c r="V59" s="1" t="s">
        <v>74</v>
      </c>
      <c r="W59" s="1" t="s">
        <v>74</v>
      </c>
      <c r="X59" s="1" t="s">
        <v>74</v>
      </c>
      <c r="Y59" s="1" t="s">
        <v>74</v>
      </c>
      <c r="Z59" s="1" t="s">
        <v>74</v>
      </c>
      <c r="AA59" s="1" t="s">
        <v>74</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669</v>
      </c>
      <c r="AP59" s="1" t="s">
        <v>74</v>
      </c>
      <c r="AQ59" s="1" t="s">
        <v>74</v>
      </c>
      <c r="AR59" s="1" t="s">
        <v>74</v>
      </c>
      <c r="AS59" s="1" t="s">
        <v>74</v>
      </c>
      <c r="AT59" s="1" t="s">
        <v>224</v>
      </c>
      <c r="AU59" s="1">
        <v>2006.0</v>
      </c>
      <c r="AV59" s="1">
        <v>17.0</v>
      </c>
      <c r="AW59" s="1" t="s">
        <v>74</v>
      </c>
      <c r="AX59" s="1" t="s">
        <v>74</v>
      </c>
      <c r="AY59" s="1">
        <v>2.0</v>
      </c>
      <c r="AZ59" s="1" t="s">
        <v>74</v>
      </c>
      <c r="BA59" s="1" t="s">
        <v>74</v>
      </c>
      <c r="BB59" s="1" t="s">
        <v>670</v>
      </c>
      <c r="BC59" s="1" t="s">
        <v>670</v>
      </c>
      <c r="BD59" s="1" t="s">
        <v>74</v>
      </c>
      <c r="BE59" s="1" t="s">
        <v>74</v>
      </c>
      <c r="BF59" s="1" t="s">
        <v>74</v>
      </c>
      <c r="BG59" s="1" t="s">
        <v>74</v>
      </c>
      <c r="BH59" s="1" t="s">
        <v>74</v>
      </c>
      <c r="BI59" s="1" t="s">
        <v>74</v>
      </c>
      <c r="BJ59" s="1" t="s">
        <v>74</v>
      </c>
      <c r="BK59" s="1" t="s">
        <v>74</v>
      </c>
      <c r="BL59" s="1" t="s">
        <v>74</v>
      </c>
      <c r="BM59" s="1" t="s">
        <v>74</v>
      </c>
      <c r="BN59" s="1" t="s">
        <v>74</v>
      </c>
      <c r="BO59" s="1" t="s">
        <v>74</v>
      </c>
      <c r="BP59" s="1" t="s">
        <v>74</v>
      </c>
      <c r="BQ59" s="1" t="s">
        <v>74</v>
      </c>
      <c r="BR59" s="1" t="s">
        <v>74</v>
      </c>
      <c r="BS59" s="1" t="s">
        <v>671</v>
      </c>
      <c r="BT59" s="1" t="str">
        <f>HYPERLINK("https%3A%2F%2Fwww.webofscience.com%2Fwos%2Fwoscc%2Ffull-record%2FWOS:000245980600410","View Full Record in Web of Science")</f>
        <v>View Full Record in Web of Science</v>
      </c>
    </row>
    <row r="60" ht="12.75" customHeight="1">
      <c r="A60" s="1" t="s">
        <v>72</v>
      </c>
      <c r="B60" s="1" t="s">
        <v>554</v>
      </c>
      <c r="C60" s="1" t="s">
        <v>74</v>
      </c>
      <c r="D60" s="1" t="s">
        <v>74</v>
      </c>
      <c r="E60" s="1" t="s">
        <v>74</v>
      </c>
      <c r="F60" s="1" t="s">
        <v>554</v>
      </c>
      <c r="G60" s="1" t="s">
        <v>74</v>
      </c>
      <c r="H60" s="1" t="s">
        <v>74</v>
      </c>
      <c r="I60" s="1" t="s">
        <v>672</v>
      </c>
      <c r="J60" s="1" t="s">
        <v>673</v>
      </c>
      <c r="K60" s="1" t="s">
        <v>74</v>
      </c>
      <c r="L60" s="1" t="s">
        <v>74</v>
      </c>
      <c r="M60" s="1" t="s">
        <v>74</v>
      </c>
      <c r="N60" s="1" t="s">
        <v>74</v>
      </c>
      <c r="O60" s="1" t="s">
        <v>74</v>
      </c>
      <c r="P60" s="1" t="s">
        <v>74</v>
      </c>
      <c r="Q60" s="1" t="s">
        <v>74</v>
      </c>
      <c r="R60" s="1" t="s">
        <v>74</v>
      </c>
      <c r="S60" s="1" t="s">
        <v>74</v>
      </c>
      <c r="T60" s="1" t="s">
        <v>74</v>
      </c>
      <c r="U60" s="1" t="s">
        <v>74</v>
      </c>
      <c r="V60" s="1" t="s">
        <v>674</v>
      </c>
      <c r="W60" s="1" t="s">
        <v>74</v>
      </c>
      <c r="X60" s="1" t="s">
        <v>74</v>
      </c>
      <c r="Y60" s="1" t="s">
        <v>74</v>
      </c>
      <c r="Z60" s="1" t="s">
        <v>74</v>
      </c>
      <c r="AA60" s="1" t="s">
        <v>390</v>
      </c>
      <c r="AB60" s="1" t="s">
        <v>391</v>
      </c>
      <c r="AC60" s="1" t="s">
        <v>74</v>
      </c>
      <c r="AD60" s="1" t="s">
        <v>74</v>
      </c>
      <c r="AE60" s="1" t="s">
        <v>74</v>
      </c>
      <c r="AF60" s="1" t="s">
        <v>74</v>
      </c>
      <c r="AG60" s="1" t="s">
        <v>74</v>
      </c>
      <c r="AH60" s="1" t="s">
        <v>74</v>
      </c>
      <c r="AI60" s="1" t="s">
        <v>74</v>
      </c>
      <c r="AJ60" s="1" t="s">
        <v>74</v>
      </c>
      <c r="AK60" s="1" t="s">
        <v>74</v>
      </c>
      <c r="AL60" s="1" t="s">
        <v>74</v>
      </c>
      <c r="AM60" s="1" t="s">
        <v>74</v>
      </c>
      <c r="AN60" s="1" t="s">
        <v>74</v>
      </c>
      <c r="AO60" s="1" t="s">
        <v>675</v>
      </c>
      <c r="AP60" s="1" t="s">
        <v>74</v>
      </c>
      <c r="AQ60" s="1" t="s">
        <v>74</v>
      </c>
      <c r="AR60" s="1" t="s">
        <v>74</v>
      </c>
      <c r="AS60" s="1" t="s">
        <v>74</v>
      </c>
      <c r="AT60" s="1" t="s">
        <v>545</v>
      </c>
      <c r="AU60" s="1">
        <v>2006.0</v>
      </c>
      <c r="AV60" s="1">
        <v>175.0</v>
      </c>
      <c r="AW60" s="1">
        <v>2.0</v>
      </c>
      <c r="AX60" s="1" t="s">
        <v>74</v>
      </c>
      <c r="AY60" s="1" t="s">
        <v>74</v>
      </c>
      <c r="AZ60" s="1" t="s">
        <v>74</v>
      </c>
      <c r="BA60" s="1" t="s">
        <v>74</v>
      </c>
      <c r="BB60" s="1">
        <v>1582.0</v>
      </c>
      <c r="BC60" s="1">
        <v>1595.0</v>
      </c>
      <c r="BD60" s="1" t="s">
        <v>74</v>
      </c>
      <c r="BE60" s="1" t="s">
        <v>676</v>
      </c>
      <c r="BF60" s="2" t="str">
        <f>HYPERLINK("http://dx.doi.org/10.1016/j.amc.2005.09.005","http://dx.doi.org/10.1016/j.amc.2005.09.005")</f>
        <v>http://dx.doi.org/10.1016/j.amc.2005.09.005</v>
      </c>
      <c r="BG60" s="1" t="s">
        <v>74</v>
      </c>
      <c r="BH60" s="1" t="s">
        <v>74</v>
      </c>
      <c r="BI60" s="1" t="s">
        <v>74</v>
      </c>
      <c r="BJ60" s="1" t="s">
        <v>74</v>
      </c>
      <c r="BK60" s="1" t="s">
        <v>74</v>
      </c>
      <c r="BL60" s="1" t="s">
        <v>74</v>
      </c>
      <c r="BM60" s="1" t="s">
        <v>74</v>
      </c>
      <c r="BN60" s="1" t="s">
        <v>74</v>
      </c>
      <c r="BO60" s="1" t="s">
        <v>74</v>
      </c>
      <c r="BP60" s="1" t="s">
        <v>74</v>
      </c>
      <c r="BQ60" s="1" t="s">
        <v>74</v>
      </c>
      <c r="BR60" s="1" t="s">
        <v>74</v>
      </c>
      <c r="BS60" s="1" t="s">
        <v>677</v>
      </c>
      <c r="BT60" s="1" t="str">
        <f>HYPERLINK("https%3A%2F%2Fwww.webofscience.com%2Fwos%2Fwoscc%2Ffull-record%2FWOS:000237568000048","View Full Record in Web of Science")</f>
        <v>View Full Record in Web of Science</v>
      </c>
    </row>
    <row r="61" ht="12.75" customHeight="1">
      <c r="A61" s="1" t="s">
        <v>72</v>
      </c>
      <c r="B61" s="1" t="s">
        <v>678</v>
      </c>
      <c r="C61" s="1" t="s">
        <v>74</v>
      </c>
      <c r="D61" s="1" t="s">
        <v>74</v>
      </c>
      <c r="E61" s="1" t="s">
        <v>74</v>
      </c>
      <c r="F61" s="1" t="s">
        <v>678</v>
      </c>
      <c r="G61" s="1" t="s">
        <v>74</v>
      </c>
      <c r="H61" s="1" t="s">
        <v>74</v>
      </c>
      <c r="I61" s="1" t="s">
        <v>679</v>
      </c>
      <c r="J61" s="1" t="s">
        <v>680</v>
      </c>
      <c r="K61" s="1" t="s">
        <v>74</v>
      </c>
      <c r="L61" s="1" t="s">
        <v>74</v>
      </c>
      <c r="M61" s="1" t="s">
        <v>74</v>
      </c>
      <c r="N61" s="1" t="s">
        <v>74</v>
      </c>
      <c r="O61" s="1" t="s">
        <v>74</v>
      </c>
      <c r="P61" s="1" t="s">
        <v>74</v>
      </c>
      <c r="Q61" s="1" t="s">
        <v>74</v>
      </c>
      <c r="R61" s="1" t="s">
        <v>74</v>
      </c>
      <c r="S61" s="1" t="s">
        <v>74</v>
      </c>
      <c r="T61" s="1" t="s">
        <v>74</v>
      </c>
      <c r="U61" s="1" t="s">
        <v>74</v>
      </c>
      <c r="V61" s="1" t="s">
        <v>681</v>
      </c>
      <c r="W61" s="1" t="s">
        <v>74</v>
      </c>
      <c r="X61" s="1" t="s">
        <v>74</v>
      </c>
      <c r="Y61" s="1" t="s">
        <v>74</v>
      </c>
      <c r="Z61" s="1" t="s">
        <v>74</v>
      </c>
      <c r="AA61" s="1" t="s">
        <v>682</v>
      </c>
      <c r="AB61" s="1" t="s">
        <v>683</v>
      </c>
      <c r="AC61" s="1" t="s">
        <v>74</v>
      </c>
      <c r="AD61" s="1" t="s">
        <v>74</v>
      </c>
      <c r="AE61" s="1" t="s">
        <v>74</v>
      </c>
      <c r="AF61" s="1" t="s">
        <v>74</v>
      </c>
      <c r="AG61" s="1" t="s">
        <v>74</v>
      </c>
      <c r="AH61" s="1" t="s">
        <v>74</v>
      </c>
      <c r="AI61" s="1" t="s">
        <v>74</v>
      </c>
      <c r="AJ61" s="1" t="s">
        <v>74</v>
      </c>
      <c r="AK61" s="1" t="s">
        <v>74</v>
      </c>
      <c r="AL61" s="1" t="s">
        <v>74</v>
      </c>
      <c r="AM61" s="1" t="s">
        <v>74</v>
      </c>
      <c r="AN61" s="1" t="s">
        <v>74</v>
      </c>
      <c r="AO61" s="1" t="s">
        <v>684</v>
      </c>
      <c r="AP61" s="1" t="s">
        <v>74</v>
      </c>
      <c r="AQ61" s="1" t="s">
        <v>74</v>
      </c>
      <c r="AR61" s="1" t="s">
        <v>74</v>
      </c>
      <c r="AS61" s="1" t="s">
        <v>74</v>
      </c>
      <c r="AT61" s="1" t="s">
        <v>74</v>
      </c>
      <c r="AU61" s="1">
        <v>2005.0</v>
      </c>
      <c r="AV61" s="1">
        <v>38.0</v>
      </c>
      <c r="AW61" s="1">
        <v>1.0</v>
      </c>
      <c r="AX61" s="1" t="s">
        <v>74</v>
      </c>
      <c r="AY61" s="1" t="s">
        <v>74</v>
      </c>
      <c r="AZ61" s="1" t="s">
        <v>74</v>
      </c>
      <c r="BA61" s="1" t="s">
        <v>74</v>
      </c>
      <c r="BB61" s="1">
        <v>13.0</v>
      </c>
      <c r="BC61" s="1">
        <v>26.0</v>
      </c>
      <c r="BD61" s="1" t="s">
        <v>74</v>
      </c>
      <c r="BE61" s="1" t="s">
        <v>74</v>
      </c>
      <c r="BF61" s="1" t="s">
        <v>74</v>
      </c>
      <c r="BG61" s="1" t="s">
        <v>74</v>
      </c>
      <c r="BH61" s="1" t="s">
        <v>74</v>
      </c>
      <c r="BI61" s="1" t="s">
        <v>74</v>
      </c>
      <c r="BJ61" s="1" t="s">
        <v>74</v>
      </c>
      <c r="BK61" s="1" t="s">
        <v>74</v>
      </c>
      <c r="BL61" s="1" t="s">
        <v>74</v>
      </c>
      <c r="BM61" s="1" t="s">
        <v>74</v>
      </c>
      <c r="BN61" s="1">
        <v>1.5977406E7</v>
      </c>
      <c r="BO61" s="1" t="s">
        <v>74</v>
      </c>
      <c r="BP61" s="1" t="s">
        <v>74</v>
      </c>
      <c r="BQ61" s="1" t="s">
        <v>74</v>
      </c>
      <c r="BR61" s="1" t="s">
        <v>74</v>
      </c>
      <c r="BS61" s="1" t="s">
        <v>685</v>
      </c>
      <c r="BT61" s="1" t="str">
        <f>HYPERLINK("https%3A%2F%2Fwww.webofscience.com%2Fwos%2Fwoscc%2Ffull-record%2FWOS:000229899100003","View Full Record in Web of Science")</f>
        <v>View Full Record in Web of Science</v>
      </c>
    </row>
    <row r="62" ht="12.75" customHeight="1">
      <c r="A62" s="1" t="s">
        <v>72</v>
      </c>
      <c r="B62" s="1" t="s">
        <v>686</v>
      </c>
      <c r="C62" s="1" t="s">
        <v>74</v>
      </c>
      <c r="D62" s="1" t="s">
        <v>74</v>
      </c>
      <c r="E62" s="1" t="s">
        <v>74</v>
      </c>
      <c r="F62" s="1" t="s">
        <v>686</v>
      </c>
      <c r="G62" s="1" t="s">
        <v>74</v>
      </c>
      <c r="H62" s="1" t="s">
        <v>74</v>
      </c>
      <c r="I62" s="1" t="s">
        <v>687</v>
      </c>
      <c r="J62" s="1" t="s">
        <v>688</v>
      </c>
      <c r="K62" s="1" t="s">
        <v>74</v>
      </c>
      <c r="L62" s="1" t="s">
        <v>74</v>
      </c>
      <c r="M62" s="1" t="s">
        <v>74</v>
      </c>
      <c r="N62" s="1" t="s">
        <v>74</v>
      </c>
      <c r="O62" s="1" t="s">
        <v>74</v>
      </c>
      <c r="P62" s="1" t="s">
        <v>74</v>
      </c>
      <c r="Q62" s="1" t="s">
        <v>74</v>
      </c>
      <c r="R62" s="1" t="s">
        <v>74</v>
      </c>
      <c r="S62" s="1" t="s">
        <v>74</v>
      </c>
      <c r="T62" s="1" t="s">
        <v>74</v>
      </c>
      <c r="U62" s="1" t="s">
        <v>74</v>
      </c>
      <c r="V62" s="1" t="s">
        <v>689</v>
      </c>
      <c r="W62" s="1" t="s">
        <v>74</v>
      </c>
      <c r="X62" s="1" t="s">
        <v>74</v>
      </c>
      <c r="Y62" s="1" t="s">
        <v>74</v>
      </c>
      <c r="Z62" s="1" t="s">
        <v>74</v>
      </c>
      <c r="AA62" s="1" t="s">
        <v>690</v>
      </c>
      <c r="AB62" s="1" t="s">
        <v>74</v>
      </c>
      <c r="AC62" s="1" t="s">
        <v>74</v>
      </c>
      <c r="AD62" s="1" t="s">
        <v>74</v>
      </c>
      <c r="AE62" s="1" t="s">
        <v>74</v>
      </c>
      <c r="AF62" s="1" t="s">
        <v>74</v>
      </c>
      <c r="AG62" s="1" t="s">
        <v>74</v>
      </c>
      <c r="AH62" s="1" t="s">
        <v>74</v>
      </c>
      <c r="AI62" s="1" t="s">
        <v>74</v>
      </c>
      <c r="AJ62" s="1" t="s">
        <v>74</v>
      </c>
      <c r="AK62" s="1" t="s">
        <v>74</v>
      </c>
      <c r="AL62" s="1" t="s">
        <v>74</v>
      </c>
      <c r="AM62" s="1" t="s">
        <v>74</v>
      </c>
      <c r="AN62" s="1" t="s">
        <v>74</v>
      </c>
      <c r="AO62" s="1" t="s">
        <v>691</v>
      </c>
      <c r="AP62" s="1" t="s">
        <v>692</v>
      </c>
      <c r="AQ62" s="1" t="s">
        <v>74</v>
      </c>
      <c r="AR62" s="1" t="s">
        <v>74</v>
      </c>
      <c r="AS62" s="1" t="s">
        <v>74</v>
      </c>
      <c r="AT62" s="1" t="s">
        <v>256</v>
      </c>
      <c r="AU62" s="1">
        <v>2004.0</v>
      </c>
      <c r="AV62" s="1">
        <v>40.0</v>
      </c>
      <c r="AW62" s="1" t="s">
        <v>693</v>
      </c>
      <c r="AX62" s="1" t="s">
        <v>74</v>
      </c>
      <c r="AY62" s="1" t="s">
        <v>74</v>
      </c>
      <c r="AZ62" s="1" t="s">
        <v>74</v>
      </c>
      <c r="BA62" s="1" t="s">
        <v>74</v>
      </c>
      <c r="BB62" s="1">
        <v>555.0</v>
      </c>
      <c r="BC62" s="1">
        <v>575.0</v>
      </c>
      <c r="BD62" s="1" t="s">
        <v>74</v>
      </c>
      <c r="BE62" s="1" t="s">
        <v>694</v>
      </c>
      <c r="BF62" s="2" t="str">
        <f>HYPERLINK("http://dx.doi.org/10.1016/S0168-874X(03)00096-9","http://dx.doi.org/10.1016/S0168-874X(03)00096-9")</f>
        <v>http://dx.doi.org/10.1016/S0168-874X(03)00096-9</v>
      </c>
      <c r="BG62" s="1" t="s">
        <v>74</v>
      </c>
      <c r="BH62" s="1" t="s">
        <v>74</v>
      </c>
      <c r="BI62" s="1" t="s">
        <v>74</v>
      </c>
      <c r="BJ62" s="1" t="s">
        <v>74</v>
      </c>
      <c r="BK62" s="1" t="s">
        <v>74</v>
      </c>
      <c r="BL62" s="1" t="s">
        <v>74</v>
      </c>
      <c r="BM62" s="1" t="s">
        <v>74</v>
      </c>
      <c r="BN62" s="1" t="s">
        <v>74</v>
      </c>
      <c r="BO62" s="1" t="s">
        <v>74</v>
      </c>
      <c r="BP62" s="1" t="s">
        <v>74</v>
      </c>
      <c r="BQ62" s="1" t="s">
        <v>74</v>
      </c>
      <c r="BR62" s="1" t="s">
        <v>74</v>
      </c>
      <c r="BS62" s="1" t="s">
        <v>695</v>
      </c>
      <c r="BT62" s="1" t="str">
        <f>HYPERLINK("https%3A%2F%2Fwww.webofscience.com%2Fwos%2Fwoscc%2Ffull-record%2FWOS:000188506500006","View Full Record in Web of Science")</f>
        <v>View Full Record in Web of Science</v>
      </c>
    </row>
    <row r="63" ht="12.75" customHeight="1">
      <c r="A63" s="1" t="s">
        <v>72</v>
      </c>
      <c r="B63" s="1" t="s">
        <v>696</v>
      </c>
      <c r="C63" s="1" t="s">
        <v>74</v>
      </c>
      <c r="D63" s="1" t="s">
        <v>74</v>
      </c>
      <c r="E63" s="1" t="s">
        <v>74</v>
      </c>
      <c r="F63" s="1" t="s">
        <v>696</v>
      </c>
      <c r="G63" s="1" t="s">
        <v>74</v>
      </c>
      <c r="H63" s="1" t="s">
        <v>74</v>
      </c>
      <c r="I63" s="1" t="s">
        <v>697</v>
      </c>
      <c r="J63" s="1" t="s">
        <v>698</v>
      </c>
      <c r="K63" s="1" t="s">
        <v>74</v>
      </c>
      <c r="L63" s="1" t="s">
        <v>74</v>
      </c>
      <c r="M63" s="1" t="s">
        <v>74</v>
      </c>
      <c r="N63" s="1" t="s">
        <v>74</v>
      </c>
      <c r="O63" s="1" t="s">
        <v>74</v>
      </c>
      <c r="P63" s="1" t="s">
        <v>74</v>
      </c>
      <c r="Q63" s="1" t="s">
        <v>74</v>
      </c>
      <c r="R63" s="1" t="s">
        <v>74</v>
      </c>
      <c r="S63" s="1" t="s">
        <v>74</v>
      </c>
      <c r="T63" s="1" t="s">
        <v>74</v>
      </c>
      <c r="U63" s="1" t="s">
        <v>74</v>
      </c>
      <c r="V63" s="1" t="s">
        <v>699</v>
      </c>
      <c r="W63" s="1" t="s">
        <v>74</v>
      </c>
      <c r="X63" s="1" t="s">
        <v>74</v>
      </c>
      <c r="Y63" s="1" t="s">
        <v>74</v>
      </c>
      <c r="Z63" s="1" t="s">
        <v>74</v>
      </c>
      <c r="AA63" s="1" t="s">
        <v>700</v>
      </c>
      <c r="AB63" s="1" t="s">
        <v>701</v>
      </c>
      <c r="AC63" s="1" t="s">
        <v>74</v>
      </c>
      <c r="AD63" s="1" t="s">
        <v>74</v>
      </c>
      <c r="AE63" s="1" t="s">
        <v>74</v>
      </c>
      <c r="AF63" s="1" t="s">
        <v>74</v>
      </c>
      <c r="AG63" s="1" t="s">
        <v>74</v>
      </c>
      <c r="AH63" s="1" t="s">
        <v>74</v>
      </c>
      <c r="AI63" s="1" t="s">
        <v>74</v>
      </c>
      <c r="AJ63" s="1" t="s">
        <v>74</v>
      </c>
      <c r="AK63" s="1" t="s">
        <v>74</v>
      </c>
      <c r="AL63" s="1" t="s">
        <v>74</v>
      </c>
      <c r="AM63" s="1" t="s">
        <v>74</v>
      </c>
      <c r="AN63" s="1" t="s">
        <v>74</v>
      </c>
      <c r="AO63" s="1" t="s">
        <v>702</v>
      </c>
      <c r="AP63" s="1" t="s">
        <v>74</v>
      </c>
      <c r="AQ63" s="1" t="s">
        <v>74</v>
      </c>
      <c r="AR63" s="1" t="s">
        <v>74</v>
      </c>
      <c r="AS63" s="1" t="s">
        <v>74</v>
      </c>
      <c r="AT63" s="1" t="s">
        <v>256</v>
      </c>
      <c r="AU63" s="1">
        <v>2004.0</v>
      </c>
      <c r="AV63" s="1">
        <v>49.0</v>
      </c>
      <c r="AW63" s="1">
        <v>1.0</v>
      </c>
      <c r="AX63" s="1" t="s">
        <v>74</v>
      </c>
      <c r="AY63" s="1" t="s">
        <v>74</v>
      </c>
      <c r="AZ63" s="1" t="s">
        <v>74</v>
      </c>
      <c r="BA63" s="1" t="s">
        <v>74</v>
      </c>
      <c r="BB63" s="1">
        <v>1.0</v>
      </c>
      <c r="BC63" s="1">
        <v>3.0</v>
      </c>
      <c r="BD63" s="1" t="s">
        <v>74</v>
      </c>
      <c r="BE63" s="1" t="s">
        <v>74</v>
      </c>
      <c r="BF63" s="1" t="s">
        <v>74</v>
      </c>
      <c r="BG63" s="1" t="s">
        <v>74</v>
      </c>
      <c r="BH63" s="1" t="s">
        <v>74</v>
      </c>
      <c r="BI63" s="1" t="s">
        <v>74</v>
      </c>
      <c r="BJ63" s="1" t="s">
        <v>74</v>
      </c>
      <c r="BK63" s="1" t="s">
        <v>74</v>
      </c>
      <c r="BL63" s="1" t="s">
        <v>74</v>
      </c>
      <c r="BM63" s="1" t="s">
        <v>74</v>
      </c>
      <c r="BN63" s="1" t="s">
        <v>74</v>
      </c>
      <c r="BO63" s="1" t="s">
        <v>74</v>
      </c>
      <c r="BP63" s="1" t="s">
        <v>74</v>
      </c>
      <c r="BQ63" s="1" t="s">
        <v>74</v>
      </c>
      <c r="BR63" s="1" t="s">
        <v>74</v>
      </c>
      <c r="BS63" s="1" t="s">
        <v>703</v>
      </c>
      <c r="BT63" s="1" t="str">
        <f>HYPERLINK("https%3A%2F%2Fwww.webofscience.com%2Fwos%2Fwoscc%2Ffull-record%2FWOS:000189308600001","View Full Record in Web of Science")</f>
        <v>View Full Record in Web of Science</v>
      </c>
    </row>
    <row r="64" ht="12.75" customHeight="1">
      <c r="A64" s="1" t="s">
        <v>72</v>
      </c>
      <c r="B64" s="1" t="s">
        <v>633</v>
      </c>
      <c r="C64" s="1" t="s">
        <v>74</v>
      </c>
      <c r="D64" s="1" t="s">
        <v>74</v>
      </c>
      <c r="E64" s="1" t="s">
        <v>74</v>
      </c>
      <c r="F64" s="1" t="s">
        <v>633</v>
      </c>
      <c r="G64" s="1" t="s">
        <v>74</v>
      </c>
      <c r="H64" s="1" t="s">
        <v>74</v>
      </c>
      <c r="I64" s="1" t="s">
        <v>704</v>
      </c>
      <c r="J64" s="1" t="s">
        <v>705</v>
      </c>
      <c r="K64" s="1" t="s">
        <v>74</v>
      </c>
      <c r="L64" s="1" t="s">
        <v>74</v>
      </c>
      <c r="M64" s="1" t="s">
        <v>74</v>
      </c>
      <c r="N64" s="1" t="s">
        <v>74</v>
      </c>
      <c r="O64" s="1" t="s">
        <v>706</v>
      </c>
      <c r="P64" s="1" t="s">
        <v>707</v>
      </c>
      <c r="Q64" s="1" t="s">
        <v>708</v>
      </c>
      <c r="R64" s="1" t="s">
        <v>74</v>
      </c>
      <c r="S64" s="1" t="s">
        <v>74</v>
      </c>
      <c r="T64" s="1" t="s">
        <v>74</v>
      </c>
      <c r="U64" s="1" t="s">
        <v>74</v>
      </c>
      <c r="V64" s="1" t="s">
        <v>709</v>
      </c>
      <c r="W64" s="1" t="s">
        <v>74</v>
      </c>
      <c r="X64" s="1" t="s">
        <v>74</v>
      </c>
      <c r="Y64" s="1" t="s">
        <v>74</v>
      </c>
      <c r="Z64" s="1" t="s">
        <v>74</v>
      </c>
      <c r="AA64" s="1" t="s">
        <v>74</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710</v>
      </c>
      <c r="AP64" s="1" t="s">
        <v>711</v>
      </c>
      <c r="AQ64" s="1" t="s">
        <v>74</v>
      </c>
      <c r="AR64" s="1" t="s">
        <v>74</v>
      </c>
      <c r="AS64" s="1" t="s">
        <v>74</v>
      </c>
      <c r="AT64" s="1" t="s">
        <v>712</v>
      </c>
      <c r="AU64" s="1">
        <v>2003.0</v>
      </c>
      <c r="AV64" s="1">
        <v>143.0</v>
      </c>
      <c r="AW64" s="1" t="s">
        <v>74</v>
      </c>
      <c r="AX64" s="1" t="s">
        <v>74</v>
      </c>
      <c r="AY64" s="1" t="s">
        <v>74</v>
      </c>
      <c r="AZ64" s="1" t="s">
        <v>159</v>
      </c>
      <c r="BA64" s="1" t="s">
        <v>74</v>
      </c>
      <c r="BB64" s="1">
        <v>347.0</v>
      </c>
      <c r="BC64" s="1">
        <v>351.0</v>
      </c>
      <c r="BD64" s="1" t="s">
        <v>74</v>
      </c>
      <c r="BE64" s="1" t="s">
        <v>713</v>
      </c>
      <c r="BF64" s="2" t="str">
        <f>HYPERLINK("http://dx.doi.org/10.1016/S0924-0136(03)00452-7","http://dx.doi.org/10.1016/S0924-0136(03)00452-7")</f>
        <v>http://dx.doi.org/10.1016/S0924-0136(03)00452-7</v>
      </c>
      <c r="BG64" s="1" t="s">
        <v>74</v>
      </c>
      <c r="BH64" s="1" t="s">
        <v>74</v>
      </c>
      <c r="BI64" s="1" t="s">
        <v>74</v>
      </c>
      <c r="BJ64" s="1" t="s">
        <v>74</v>
      </c>
      <c r="BK64" s="1" t="s">
        <v>74</v>
      </c>
      <c r="BL64" s="1" t="s">
        <v>74</v>
      </c>
      <c r="BM64" s="1" t="s">
        <v>74</v>
      </c>
      <c r="BN64" s="1" t="s">
        <v>74</v>
      </c>
      <c r="BO64" s="1" t="s">
        <v>74</v>
      </c>
      <c r="BP64" s="1" t="s">
        <v>74</v>
      </c>
      <c r="BQ64" s="1" t="s">
        <v>74</v>
      </c>
      <c r="BR64" s="1" t="s">
        <v>74</v>
      </c>
      <c r="BS64" s="1" t="s">
        <v>714</v>
      </c>
      <c r="BT64" s="1" t="str">
        <f>HYPERLINK("https%3A%2F%2Fwww.webofscience.com%2Fwos%2Fwoscc%2Ffull-record%2FWOS:000187510100067","View Full Record in Web of Science")</f>
        <v>View Full Record in Web of Science</v>
      </c>
    </row>
    <row r="65" ht="12.75" customHeight="1">
      <c r="A65" s="1" t="s">
        <v>72</v>
      </c>
      <c r="B65" s="1" t="s">
        <v>715</v>
      </c>
      <c r="C65" s="1" t="s">
        <v>74</v>
      </c>
      <c r="D65" s="1" t="s">
        <v>74</v>
      </c>
      <c r="E65" s="1" t="s">
        <v>74</v>
      </c>
      <c r="F65" s="1" t="s">
        <v>715</v>
      </c>
      <c r="G65" s="1" t="s">
        <v>74</v>
      </c>
      <c r="H65" s="1" t="s">
        <v>74</v>
      </c>
      <c r="I65" s="1" t="s">
        <v>716</v>
      </c>
      <c r="J65" s="1" t="s">
        <v>717</v>
      </c>
      <c r="K65" s="1" t="s">
        <v>74</v>
      </c>
      <c r="L65" s="1" t="s">
        <v>74</v>
      </c>
      <c r="M65" s="1" t="s">
        <v>74</v>
      </c>
      <c r="N65" s="1" t="s">
        <v>74</v>
      </c>
      <c r="O65" s="1" t="s">
        <v>718</v>
      </c>
      <c r="P65" s="1" t="s">
        <v>719</v>
      </c>
      <c r="Q65" s="1" t="s">
        <v>720</v>
      </c>
      <c r="R65" s="1" t="s">
        <v>74</v>
      </c>
      <c r="S65" s="1" t="s">
        <v>74</v>
      </c>
      <c r="T65" s="1" t="s">
        <v>74</v>
      </c>
      <c r="U65" s="1" t="s">
        <v>74</v>
      </c>
      <c r="V65" s="1" t="s">
        <v>721</v>
      </c>
      <c r="W65" s="1" t="s">
        <v>74</v>
      </c>
      <c r="X65" s="1" t="s">
        <v>74</v>
      </c>
      <c r="Y65" s="1" t="s">
        <v>74</v>
      </c>
      <c r="Z65" s="1" t="s">
        <v>74</v>
      </c>
      <c r="AA65" s="1" t="s">
        <v>722</v>
      </c>
      <c r="AB65" s="1" t="s">
        <v>723</v>
      </c>
      <c r="AC65" s="1" t="s">
        <v>74</v>
      </c>
      <c r="AD65" s="1" t="s">
        <v>74</v>
      </c>
      <c r="AE65" s="1" t="s">
        <v>74</v>
      </c>
      <c r="AF65" s="1" t="s">
        <v>74</v>
      </c>
      <c r="AG65" s="1" t="s">
        <v>74</v>
      </c>
      <c r="AH65" s="1" t="s">
        <v>74</v>
      </c>
      <c r="AI65" s="1" t="s">
        <v>74</v>
      </c>
      <c r="AJ65" s="1" t="s">
        <v>74</v>
      </c>
      <c r="AK65" s="1" t="s">
        <v>74</v>
      </c>
      <c r="AL65" s="1" t="s">
        <v>74</v>
      </c>
      <c r="AM65" s="1" t="s">
        <v>74</v>
      </c>
      <c r="AN65" s="1" t="s">
        <v>74</v>
      </c>
      <c r="AO65" s="1" t="s">
        <v>724</v>
      </c>
      <c r="AP65" s="1" t="s">
        <v>74</v>
      </c>
      <c r="AQ65" s="1" t="s">
        <v>74</v>
      </c>
      <c r="AR65" s="1" t="s">
        <v>74</v>
      </c>
      <c r="AS65" s="1" t="s">
        <v>74</v>
      </c>
      <c r="AT65" s="1" t="s">
        <v>256</v>
      </c>
      <c r="AU65" s="1">
        <v>2003.0</v>
      </c>
      <c r="AV65" s="1">
        <v>192.0</v>
      </c>
      <c r="AW65" s="1" t="s">
        <v>74</v>
      </c>
      <c r="AX65" s="1" t="s">
        <v>74</v>
      </c>
      <c r="AY65" s="1" t="s">
        <v>74</v>
      </c>
      <c r="AZ65" s="1" t="s">
        <v>74</v>
      </c>
      <c r="BA65" s="1" t="s">
        <v>74</v>
      </c>
      <c r="BB65" s="1">
        <v>13.0</v>
      </c>
      <c r="BC65" s="1">
        <v>23.0</v>
      </c>
      <c r="BD65" s="1" t="s">
        <v>74</v>
      </c>
      <c r="BE65" s="1" t="s">
        <v>725</v>
      </c>
      <c r="BF65" s="2" t="str">
        <f>HYPERLINK("http://dx.doi.org/10.1002/masy.200390023","http://dx.doi.org/10.1002/masy.200390023")</f>
        <v>http://dx.doi.org/10.1002/masy.200390023</v>
      </c>
      <c r="BG65" s="1" t="s">
        <v>74</v>
      </c>
      <c r="BH65" s="1" t="s">
        <v>74</v>
      </c>
      <c r="BI65" s="1" t="s">
        <v>74</v>
      </c>
      <c r="BJ65" s="1" t="s">
        <v>74</v>
      </c>
      <c r="BK65" s="1" t="s">
        <v>74</v>
      </c>
      <c r="BL65" s="1" t="s">
        <v>74</v>
      </c>
      <c r="BM65" s="1" t="s">
        <v>74</v>
      </c>
      <c r="BN65" s="1" t="s">
        <v>74</v>
      </c>
      <c r="BO65" s="1" t="s">
        <v>74</v>
      </c>
      <c r="BP65" s="1" t="s">
        <v>74</v>
      </c>
      <c r="BQ65" s="1" t="s">
        <v>74</v>
      </c>
      <c r="BR65" s="1" t="s">
        <v>74</v>
      </c>
      <c r="BS65" s="1" t="s">
        <v>726</v>
      </c>
      <c r="BT65" s="1" t="str">
        <f>HYPERLINK("https%3A%2F%2Fwww.webofscience.com%2Fwos%2Fwoscc%2Ffull-record%2FWOS:000182798000003","View Full Record in Web of Science")</f>
        <v>View Full Record in Web of Science</v>
      </c>
    </row>
    <row r="66" ht="12.75" customHeight="1">
      <c r="A66" s="1" t="s">
        <v>126</v>
      </c>
      <c r="B66" s="1" t="s">
        <v>727</v>
      </c>
      <c r="C66" s="1" t="s">
        <v>74</v>
      </c>
      <c r="D66" s="1" t="s">
        <v>728</v>
      </c>
      <c r="E66" s="1" t="s">
        <v>74</v>
      </c>
      <c r="F66" s="1" t="s">
        <v>727</v>
      </c>
      <c r="G66" s="1" t="s">
        <v>74</v>
      </c>
      <c r="H66" s="1" t="s">
        <v>74</v>
      </c>
      <c r="I66" s="1" t="s">
        <v>729</v>
      </c>
      <c r="J66" s="1" t="s">
        <v>730</v>
      </c>
      <c r="K66" s="1" t="s">
        <v>74</v>
      </c>
      <c r="L66" s="1" t="s">
        <v>74</v>
      </c>
      <c r="M66" s="1" t="s">
        <v>74</v>
      </c>
      <c r="N66" s="1" t="s">
        <v>74</v>
      </c>
      <c r="O66" s="1" t="s">
        <v>731</v>
      </c>
      <c r="P66" s="1" t="s">
        <v>732</v>
      </c>
      <c r="Q66" s="1" t="s">
        <v>733</v>
      </c>
      <c r="R66" s="1" t="s">
        <v>734</v>
      </c>
      <c r="S66" s="1" t="s">
        <v>735</v>
      </c>
      <c r="T66" s="1" t="s">
        <v>74</v>
      </c>
      <c r="U66" s="1" t="s">
        <v>74</v>
      </c>
      <c r="V66" s="1" t="s">
        <v>736</v>
      </c>
      <c r="W66" s="1" t="s">
        <v>74</v>
      </c>
      <c r="X66" s="1" t="s">
        <v>74</v>
      </c>
      <c r="Y66" s="1" t="s">
        <v>74</v>
      </c>
      <c r="Z66" s="1" t="s">
        <v>74</v>
      </c>
      <c r="AA66" s="1" t="s">
        <v>74</v>
      </c>
      <c r="AB66" s="1" t="s">
        <v>74</v>
      </c>
      <c r="AC66" s="1" t="s">
        <v>74</v>
      </c>
      <c r="AD66" s="1" t="s">
        <v>74</v>
      </c>
      <c r="AE66" s="1" t="s">
        <v>74</v>
      </c>
      <c r="AF66" s="1" t="s">
        <v>74</v>
      </c>
      <c r="AG66" s="1" t="s">
        <v>74</v>
      </c>
      <c r="AH66" s="1" t="s">
        <v>74</v>
      </c>
      <c r="AI66" s="1" t="s">
        <v>74</v>
      </c>
      <c r="AJ66" s="1" t="s">
        <v>74</v>
      </c>
      <c r="AK66" s="1" t="s">
        <v>74</v>
      </c>
      <c r="AL66" s="1" t="s">
        <v>74</v>
      </c>
      <c r="AM66" s="1" t="s">
        <v>74</v>
      </c>
      <c r="AN66" s="1" t="s">
        <v>74</v>
      </c>
      <c r="AO66" s="1" t="s">
        <v>74</v>
      </c>
      <c r="AP66" s="1" t="s">
        <v>74</v>
      </c>
      <c r="AQ66" s="1" t="s">
        <v>737</v>
      </c>
      <c r="AR66" s="1" t="s">
        <v>74</v>
      </c>
      <c r="AS66" s="1" t="s">
        <v>74</v>
      </c>
      <c r="AT66" s="1" t="s">
        <v>74</v>
      </c>
      <c r="AU66" s="1">
        <v>2003.0</v>
      </c>
      <c r="AV66" s="1" t="s">
        <v>74</v>
      </c>
      <c r="AW66" s="1" t="s">
        <v>74</v>
      </c>
      <c r="AX66" s="1" t="s">
        <v>74</v>
      </c>
      <c r="AY66" s="1" t="s">
        <v>74</v>
      </c>
      <c r="AZ66" s="1" t="s">
        <v>74</v>
      </c>
      <c r="BA66" s="1" t="s">
        <v>74</v>
      </c>
      <c r="BB66" s="1">
        <v>175.0</v>
      </c>
      <c r="BC66" s="1">
        <v>179.0</v>
      </c>
      <c r="BD66" s="1" t="s">
        <v>74</v>
      </c>
      <c r="BE66" s="1" t="s">
        <v>74</v>
      </c>
      <c r="BF66" s="1" t="s">
        <v>74</v>
      </c>
      <c r="BG66" s="1" t="s">
        <v>74</v>
      </c>
      <c r="BH66" s="1" t="s">
        <v>74</v>
      </c>
      <c r="BI66" s="1" t="s">
        <v>74</v>
      </c>
      <c r="BJ66" s="1" t="s">
        <v>74</v>
      </c>
      <c r="BK66" s="1" t="s">
        <v>74</v>
      </c>
      <c r="BL66" s="1" t="s">
        <v>74</v>
      </c>
      <c r="BM66" s="1" t="s">
        <v>74</v>
      </c>
      <c r="BN66" s="1" t="s">
        <v>74</v>
      </c>
      <c r="BO66" s="1" t="s">
        <v>74</v>
      </c>
      <c r="BP66" s="1" t="s">
        <v>74</v>
      </c>
      <c r="BQ66" s="1" t="s">
        <v>74</v>
      </c>
      <c r="BR66" s="1" t="s">
        <v>74</v>
      </c>
      <c r="BS66" s="1" t="s">
        <v>738</v>
      </c>
      <c r="BT66" s="1" t="str">
        <f>HYPERLINK("https%3A%2F%2Fwww.webofscience.com%2Fwos%2Fwoscc%2Ffull-record%2FWOS:000230139700027","View Full Record in Web of Science")</f>
        <v>View Full Record in Web of Science</v>
      </c>
    </row>
    <row r="67" ht="12.75" customHeight="1">
      <c r="A67" s="1" t="s">
        <v>72</v>
      </c>
      <c r="B67" s="1" t="s">
        <v>739</v>
      </c>
      <c r="C67" s="1" t="s">
        <v>74</v>
      </c>
      <c r="D67" s="1" t="s">
        <v>74</v>
      </c>
      <c r="E67" s="1" t="s">
        <v>74</v>
      </c>
      <c r="F67" s="1" t="s">
        <v>739</v>
      </c>
      <c r="G67" s="1" t="s">
        <v>74</v>
      </c>
      <c r="H67" s="1" t="s">
        <v>74</v>
      </c>
      <c r="I67" s="1" t="s">
        <v>740</v>
      </c>
      <c r="J67" s="1" t="s">
        <v>741</v>
      </c>
      <c r="K67" s="1" t="s">
        <v>74</v>
      </c>
      <c r="L67" s="1" t="s">
        <v>74</v>
      </c>
      <c r="M67" s="1" t="s">
        <v>74</v>
      </c>
      <c r="N67" s="1" t="s">
        <v>74</v>
      </c>
      <c r="O67" s="1" t="s">
        <v>74</v>
      </c>
      <c r="P67" s="1" t="s">
        <v>74</v>
      </c>
      <c r="Q67" s="1" t="s">
        <v>74</v>
      </c>
      <c r="R67" s="1" t="s">
        <v>74</v>
      </c>
      <c r="S67" s="1" t="s">
        <v>74</v>
      </c>
      <c r="T67" s="1" t="s">
        <v>74</v>
      </c>
      <c r="U67" s="1" t="s">
        <v>74</v>
      </c>
      <c r="V67" s="1" t="s">
        <v>742</v>
      </c>
      <c r="W67" s="1" t="s">
        <v>74</v>
      </c>
      <c r="X67" s="1" t="s">
        <v>74</v>
      </c>
      <c r="Y67" s="1" t="s">
        <v>74</v>
      </c>
      <c r="Z67" s="1" t="s">
        <v>74</v>
      </c>
      <c r="AA67" s="1" t="s">
        <v>690</v>
      </c>
      <c r="AB67" s="1" t="s">
        <v>74</v>
      </c>
      <c r="AC67" s="1" t="s">
        <v>74</v>
      </c>
      <c r="AD67" s="1" t="s">
        <v>74</v>
      </c>
      <c r="AE67" s="1" t="s">
        <v>74</v>
      </c>
      <c r="AF67" s="1" t="s">
        <v>74</v>
      </c>
      <c r="AG67" s="1" t="s">
        <v>74</v>
      </c>
      <c r="AH67" s="1" t="s">
        <v>74</v>
      </c>
      <c r="AI67" s="1" t="s">
        <v>74</v>
      </c>
      <c r="AJ67" s="1" t="s">
        <v>74</v>
      </c>
      <c r="AK67" s="1" t="s">
        <v>74</v>
      </c>
      <c r="AL67" s="1" t="s">
        <v>74</v>
      </c>
      <c r="AM67" s="1" t="s">
        <v>74</v>
      </c>
      <c r="AN67" s="1" t="s">
        <v>74</v>
      </c>
      <c r="AO67" s="1" t="s">
        <v>743</v>
      </c>
      <c r="AP67" s="1" t="s">
        <v>74</v>
      </c>
      <c r="AQ67" s="1" t="s">
        <v>74</v>
      </c>
      <c r="AR67" s="1" t="s">
        <v>74</v>
      </c>
      <c r="AS67" s="1" t="s">
        <v>74</v>
      </c>
      <c r="AT67" s="1" t="s">
        <v>171</v>
      </c>
      <c r="AU67" s="1">
        <v>2002.0</v>
      </c>
      <c r="AV67" s="1">
        <v>13.0</v>
      </c>
      <c r="AW67" s="1">
        <v>6.0</v>
      </c>
      <c r="AX67" s="1" t="s">
        <v>74</v>
      </c>
      <c r="AY67" s="1" t="s">
        <v>74</v>
      </c>
      <c r="AZ67" s="1" t="s">
        <v>74</v>
      </c>
      <c r="BA67" s="1" t="s">
        <v>74</v>
      </c>
      <c r="BB67" s="1">
        <v>591.0</v>
      </c>
      <c r="BC67" s="1">
        <v>614.0</v>
      </c>
      <c r="BD67" s="1" t="s">
        <v>74</v>
      </c>
      <c r="BE67" s="1" t="s">
        <v>744</v>
      </c>
      <c r="BF67" s="2" t="str">
        <f>HYPERLINK("http://dx.doi.org/10.12989/sem.2002.13.6.591","http://dx.doi.org/10.12989/sem.2002.13.6.591")</f>
        <v>http://dx.doi.org/10.12989/sem.2002.13.6.591</v>
      </c>
      <c r="BG67" s="1" t="s">
        <v>74</v>
      </c>
      <c r="BH67" s="1" t="s">
        <v>74</v>
      </c>
      <c r="BI67" s="1" t="s">
        <v>74</v>
      </c>
      <c r="BJ67" s="1" t="s">
        <v>74</v>
      </c>
      <c r="BK67" s="1" t="s">
        <v>74</v>
      </c>
      <c r="BL67" s="1" t="s">
        <v>74</v>
      </c>
      <c r="BM67" s="1" t="s">
        <v>74</v>
      </c>
      <c r="BN67" s="1" t="s">
        <v>74</v>
      </c>
      <c r="BO67" s="1" t="s">
        <v>74</v>
      </c>
      <c r="BP67" s="1" t="s">
        <v>74</v>
      </c>
      <c r="BQ67" s="1" t="s">
        <v>74</v>
      </c>
      <c r="BR67" s="1" t="s">
        <v>74</v>
      </c>
      <c r="BS67" s="1" t="s">
        <v>745</v>
      </c>
      <c r="BT67" s="1" t="str">
        <f>HYPERLINK("https%3A%2F%2Fwww.webofscience.com%2Fwos%2Fwoscc%2Ffull-record%2FWOS:000175657200001","View Full Record in Web of Science")</f>
        <v>View Full Record in Web of Science</v>
      </c>
    </row>
    <row r="68" ht="12.75" customHeight="1">
      <c r="A68" s="1" t="s">
        <v>72</v>
      </c>
      <c r="B68" s="1" t="s">
        <v>746</v>
      </c>
      <c r="C68" s="1" t="s">
        <v>74</v>
      </c>
      <c r="D68" s="1" t="s">
        <v>74</v>
      </c>
      <c r="E68" s="1" t="s">
        <v>74</v>
      </c>
      <c r="F68" s="1" t="s">
        <v>746</v>
      </c>
      <c r="G68" s="1" t="s">
        <v>74</v>
      </c>
      <c r="H68" s="1" t="s">
        <v>74</v>
      </c>
      <c r="I68" s="1" t="s">
        <v>747</v>
      </c>
      <c r="J68" s="1" t="s">
        <v>748</v>
      </c>
      <c r="K68" s="1" t="s">
        <v>74</v>
      </c>
      <c r="L68" s="1" t="s">
        <v>74</v>
      </c>
      <c r="M68" s="1" t="s">
        <v>74</v>
      </c>
      <c r="N68" s="1" t="s">
        <v>74</v>
      </c>
      <c r="O68" s="1" t="s">
        <v>74</v>
      </c>
      <c r="P68" s="1" t="s">
        <v>74</v>
      </c>
      <c r="Q68" s="1" t="s">
        <v>74</v>
      </c>
      <c r="R68" s="1" t="s">
        <v>74</v>
      </c>
      <c r="S68" s="1" t="s">
        <v>74</v>
      </c>
      <c r="T68" s="1" t="s">
        <v>74</v>
      </c>
      <c r="U68" s="1" t="s">
        <v>74</v>
      </c>
      <c r="V68" s="1" t="s">
        <v>749</v>
      </c>
      <c r="W68" s="1" t="s">
        <v>74</v>
      </c>
      <c r="X68" s="1" t="s">
        <v>74</v>
      </c>
      <c r="Y68" s="1" t="s">
        <v>74</v>
      </c>
      <c r="Z68" s="1" t="s">
        <v>74</v>
      </c>
      <c r="AA68" s="1" t="s">
        <v>74</v>
      </c>
      <c r="AB68" s="1" t="s">
        <v>74</v>
      </c>
      <c r="AC68" s="1" t="s">
        <v>74</v>
      </c>
      <c r="AD68" s="1" t="s">
        <v>74</v>
      </c>
      <c r="AE68" s="1" t="s">
        <v>74</v>
      </c>
      <c r="AF68" s="1" t="s">
        <v>74</v>
      </c>
      <c r="AG68" s="1" t="s">
        <v>74</v>
      </c>
      <c r="AH68" s="1" t="s">
        <v>74</v>
      </c>
      <c r="AI68" s="1" t="s">
        <v>74</v>
      </c>
      <c r="AJ68" s="1" t="s">
        <v>74</v>
      </c>
      <c r="AK68" s="1" t="s">
        <v>74</v>
      </c>
      <c r="AL68" s="1" t="s">
        <v>74</v>
      </c>
      <c r="AM68" s="1" t="s">
        <v>74</v>
      </c>
      <c r="AN68" s="1" t="s">
        <v>74</v>
      </c>
      <c r="AO68" s="1" t="s">
        <v>750</v>
      </c>
      <c r="AP68" s="1" t="s">
        <v>74</v>
      </c>
      <c r="AQ68" s="1" t="s">
        <v>74</v>
      </c>
      <c r="AR68" s="1" t="s">
        <v>74</v>
      </c>
      <c r="AS68" s="1" t="s">
        <v>74</v>
      </c>
      <c r="AT68" s="1" t="s">
        <v>171</v>
      </c>
      <c r="AU68" s="1">
        <v>2002.0</v>
      </c>
      <c r="AV68" s="1">
        <v>47.0</v>
      </c>
      <c r="AW68" s="1">
        <v>2.0</v>
      </c>
      <c r="AX68" s="1" t="s">
        <v>74</v>
      </c>
      <c r="AY68" s="1" t="s">
        <v>74</v>
      </c>
      <c r="AZ68" s="1" t="s">
        <v>74</v>
      </c>
      <c r="BA68" s="1" t="s">
        <v>74</v>
      </c>
      <c r="BB68" s="1">
        <v>137.0</v>
      </c>
      <c r="BC68" s="1">
        <v>144.0</v>
      </c>
      <c r="BD68" s="1" t="s">
        <v>74</v>
      </c>
      <c r="BE68" s="1" t="s">
        <v>74</v>
      </c>
      <c r="BF68" s="1" t="s">
        <v>74</v>
      </c>
      <c r="BG68" s="1" t="s">
        <v>74</v>
      </c>
      <c r="BH68" s="1" t="s">
        <v>74</v>
      </c>
      <c r="BI68" s="1" t="s">
        <v>74</v>
      </c>
      <c r="BJ68" s="1" t="s">
        <v>74</v>
      </c>
      <c r="BK68" s="1" t="s">
        <v>74</v>
      </c>
      <c r="BL68" s="1" t="s">
        <v>74</v>
      </c>
      <c r="BM68" s="1" t="s">
        <v>74</v>
      </c>
      <c r="BN68" s="1" t="s">
        <v>74</v>
      </c>
      <c r="BO68" s="1" t="s">
        <v>74</v>
      </c>
      <c r="BP68" s="1" t="s">
        <v>74</v>
      </c>
      <c r="BQ68" s="1" t="s">
        <v>74</v>
      </c>
      <c r="BR68" s="1" t="s">
        <v>74</v>
      </c>
      <c r="BS68" s="1" t="s">
        <v>751</v>
      </c>
      <c r="BT68" s="1" t="str">
        <f>HYPERLINK("https%3A%2F%2Fwww.webofscience.com%2Fwos%2Fwoscc%2Ffull-record%2FWOS:000176814300008","View Full Record in Web of Science")</f>
        <v>View Full Record in Web of Science</v>
      </c>
    </row>
    <row r="69" ht="12.75" customHeight="1">
      <c r="A69" s="1" t="s">
        <v>72</v>
      </c>
      <c r="B69" s="1" t="s">
        <v>752</v>
      </c>
      <c r="C69" s="1" t="s">
        <v>74</v>
      </c>
      <c r="D69" s="1" t="s">
        <v>74</v>
      </c>
      <c r="E69" s="1" t="s">
        <v>74</v>
      </c>
      <c r="F69" s="1" t="s">
        <v>752</v>
      </c>
      <c r="G69" s="1" t="s">
        <v>74</v>
      </c>
      <c r="H69" s="1" t="s">
        <v>74</v>
      </c>
      <c r="I69" s="1" t="s">
        <v>753</v>
      </c>
      <c r="J69" s="1" t="s">
        <v>748</v>
      </c>
      <c r="K69" s="1" t="s">
        <v>74</v>
      </c>
      <c r="L69" s="1" t="s">
        <v>74</v>
      </c>
      <c r="M69" s="1" t="s">
        <v>74</v>
      </c>
      <c r="N69" s="1" t="s">
        <v>74</v>
      </c>
      <c r="O69" s="1" t="s">
        <v>74</v>
      </c>
      <c r="P69" s="1" t="s">
        <v>74</v>
      </c>
      <c r="Q69" s="1" t="s">
        <v>74</v>
      </c>
      <c r="R69" s="1" t="s">
        <v>74</v>
      </c>
      <c r="S69" s="1" t="s">
        <v>74</v>
      </c>
      <c r="T69" s="1" t="s">
        <v>74</v>
      </c>
      <c r="U69" s="1" t="s">
        <v>74</v>
      </c>
      <c r="V69" s="1" t="s">
        <v>754</v>
      </c>
      <c r="W69" s="1" t="s">
        <v>74</v>
      </c>
      <c r="X69" s="1" t="s">
        <v>74</v>
      </c>
      <c r="Y69" s="1" t="s">
        <v>74</v>
      </c>
      <c r="Z69" s="1" t="s">
        <v>74</v>
      </c>
      <c r="AA69" s="1" t="s">
        <v>755</v>
      </c>
      <c r="AB69" s="1" t="s">
        <v>74</v>
      </c>
      <c r="AC69" s="1" t="s">
        <v>74</v>
      </c>
      <c r="AD69" s="1" t="s">
        <v>74</v>
      </c>
      <c r="AE69" s="1" t="s">
        <v>74</v>
      </c>
      <c r="AF69" s="1" t="s">
        <v>74</v>
      </c>
      <c r="AG69" s="1" t="s">
        <v>74</v>
      </c>
      <c r="AH69" s="1" t="s">
        <v>74</v>
      </c>
      <c r="AI69" s="1" t="s">
        <v>74</v>
      </c>
      <c r="AJ69" s="1" t="s">
        <v>74</v>
      </c>
      <c r="AK69" s="1" t="s">
        <v>74</v>
      </c>
      <c r="AL69" s="1" t="s">
        <v>74</v>
      </c>
      <c r="AM69" s="1" t="s">
        <v>74</v>
      </c>
      <c r="AN69" s="1" t="s">
        <v>74</v>
      </c>
      <c r="AO69" s="1" t="s">
        <v>750</v>
      </c>
      <c r="AP69" s="1" t="s">
        <v>74</v>
      </c>
      <c r="AQ69" s="1" t="s">
        <v>74</v>
      </c>
      <c r="AR69" s="1" t="s">
        <v>74</v>
      </c>
      <c r="AS69" s="1" t="s">
        <v>74</v>
      </c>
      <c r="AT69" s="1" t="s">
        <v>82</v>
      </c>
      <c r="AU69" s="1">
        <v>2001.0</v>
      </c>
      <c r="AV69" s="1">
        <v>46.0</v>
      </c>
      <c r="AW69" s="1">
        <v>4.0</v>
      </c>
      <c r="AX69" s="1" t="s">
        <v>74</v>
      </c>
      <c r="AY69" s="1" t="s">
        <v>74</v>
      </c>
      <c r="AZ69" s="1" t="s">
        <v>74</v>
      </c>
      <c r="BA69" s="1" t="s">
        <v>74</v>
      </c>
      <c r="BB69" s="1">
        <v>433.0</v>
      </c>
      <c r="BC69" s="1">
        <v>440.0</v>
      </c>
      <c r="BD69" s="1" t="s">
        <v>74</v>
      </c>
      <c r="BE69" s="1" t="s">
        <v>74</v>
      </c>
      <c r="BF69" s="1" t="s">
        <v>74</v>
      </c>
      <c r="BG69" s="1" t="s">
        <v>74</v>
      </c>
      <c r="BH69" s="1" t="s">
        <v>74</v>
      </c>
      <c r="BI69" s="1" t="s">
        <v>74</v>
      </c>
      <c r="BJ69" s="1" t="s">
        <v>74</v>
      </c>
      <c r="BK69" s="1" t="s">
        <v>74</v>
      </c>
      <c r="BL69" s="1" t="s">
        <v>74</v>
      </c>
      <c r="BM69" s="1" t="s">
        <v>74</v>
      </c>
      <c r="BN69" s="1" t="s">
        <v>74</v>
      </c>
      <c r="BO69" s="1" t="s">
        <v>74</v>
      </c>
      <c r="BP69" s="1" t="s">
        <v>74</v>
      </c>
      <c r="BQ69" s="1" t="s">
        <v>74</v>
      </c>
      <c r="BR69" s="1" t="s">
        <v>74</v>
      </c>
      <c r="BS69" s="1" t="s">
        <v>756</v>
      </c>
      <c r="BT69" s="1" t="str">
        <f>HYPERLINK("https%3A%2F%2Fwww.webofscience.com%2Fwos%2Fwoscc%2Ffull-record%2FWOS:000173712000006","View Full Record in Web of Science")</f>
        <v>View Full Record in Web of Science</v>
      </c>
    </row>
    <row r="70" ht="12.75" customHeight="1">
      <c r="A70" s="1" t="s">
        <v>72</v>
      </c>
      <c r="B70" s="1" t="s">
        <v>757</v>
      </c>
      <c r="C70" s="1" t="s">
        <v>74</v>
      </c>
      <c r="D70" s="1" t="s">
        <v>74</v>
      </c>
      <c r="E70" s="1" t="s">
        <v>74</v>
      </c>
      <c r="F70" s="1" t="s">
        <v>757</v>
      </c>
      <c r="G70" s="1" t="s">
        <v>74</v>
      </c>
      <c r="H70" s="1" t="s">
        <v>74</v>
      </c>
      <c r="I70" s="1" t="s">
        <v>758</v>
      </c>
      <c r="J70" s="1" t="s">
        <v>759</v>
      </c>
      <c r="K70" s="1" t="s">
        <v>74</v>
      </c>
      <c r="L70" s="1" t="s">
        <v>74</v>
      </c>
      <c r="M70" s="1" t="s">
        <v>74</v>
      </c>
      <c r="N70" s="1" t="s">
        <v>74</v>
      </c>
      <c r="O70" s="1" t="s">
        <v>74</v>
      </c>
      <c r="P70" s="1" t="s">
        <v>74</v>
      </c>
      <c r="Q70" s="1" t="s">
        <v>74</v>
      </c>
      <c r="R70" s="1" t="s">
        <v>74</v>
      </c>
      <c r="S70" s="1" t="s">
        <v>74</v>
      </c>
      <c r="T70" s="1" t="s">
        <v>74</v>
      </c>
      <c r="U70" s="1" t="s">
        <v>74</v>
      </c>
      <c r="V70" s="1" t="s">
        <v>74</v>
      </c>
      <c r="W70" s="1" t="s">
        <v>74</v>
      </c>
      <c r="X70" s="1" t="s">
        <v>74</v>
      </c>
      <c r="Y70" s="1" t="s">
        <v>74</v>
      </c>
      <c r="Z70" s="1" t="s">
        <v>74</v>
      </c>
      <c r="AA70" s="1" t="s">
        <v>74</v>
      </c>
      <c r="AB70" s="1" t="s">
        <v>74</v>
      </c>
      <c r="AC70" s="1" t="s">
        <v>74</v>
      </c>
      <c r="AD70" s="1" t="s">
        <v>74</v>
      </c>
      <c r="AE70" s="1" t="s">
        <v>74</v>
      </c>
      <c r="AF70" s="1" t="s">
        <v>74</v>
      </c>
      <c r="AG70" s="1" t="s">
        <v>74</v>
      </c>
      <c r="AH70" s="1" t="s">
        <v>74</v>
      </c>
      <c r="AI70" s="1" t="s">
        <v>74</v>
      </c>
      <c r="AJ70" s="1" t="s">
        <v>74</v>
      </c>
      <c r="AK70" s="1" t="s">
        <v>74</v>
      </c>
      <c r="AL70" s="1" t="s">
        <v>74</v>
      </c>
      <c r="AM70" s="1" t="s">
        <v>74</v>
      </c>
      <c r="AN70" s="1" t="s">
        <v>74</v>
      </c>
      <c r="AO70" s="1" t="s">
        <v>760</v>
      </c>
      <c r="AP70" s="1" t="s">
        <v>74</v>
      </c>
      <c r="AQ70" s="1" t="s">
        <v>74</v>
      </c>
      <c r="AR70" s="1" t="s">
        <v>74</v>
      </c>
      <c r="AS70" s="1" t="s">
        <v>74</v>
      </c>
      <c r="AT70" s="1" t="s">
        <v>158</v>
      </c>
      <c r="AU70" s="1">
        <v>2001.0</v>
      </c>
      <c r="AV70" s="1">
        <v>45.0</v>
      </c>
      <c r="AW70" s="1">
        <v>8.0</v>
      </c>
      <c r="AX70" s="1" t="s">
        <v>74</v>
      </c>
      <c r="AY70" s="1" t="s">
        <v>74</v>
      </c>
      <c r="AZ70" s="1" t="s">
        <v>74</v>
      </c>
      <c r="BA70" s="1" t="s">
        <v>74</v>
      </c>
      <c r="BB70" s="1">
        <v>973.0</v>
      </c>
      <c r="BC70" s="1">
        <v>988.0</v>
      </c>
      <c r="BD70" s="1" t="s">
        <v>74</v>
      </c>
      <c r="BE70" s="1" t="s">
        <v>761</v>
      </c>
      <c r="BF70" s="2" t="str">
        <f>HYPERLINK("http://dx.doi.org/10.1016/S0362-546X(99)00429-0","http://dx.doi.org/10.1016/S0362-546X(99)00429-0")</f>
        <v>http://dx.doi.org/10.1016/S0362-546X(99)00429-0</v>
      </c>
      <c r="BG70" s="1" t="s">
        <v>74</v>
      </c>
      <c r="BH70" s="1" t="s">
        <v>74</v>
      </c>
      <c r="BI70" s="1" t="s">
        <v>74</v>
      </c>
      <c r="BJ70" s="1" t="s">
        <v>74</v>
      </c>
      <c r="BK70" s="1" t="s">
        <v>74</v>
      </c>
      <c r="BL70" s="1" t="s">
        <v>74</v>
      </c>
      <c r="BM70" s="1" t="s">
        <v>74</v>
      </c>
      <c r="BN70" s="1" t="s">
        <v>74</v>
      </c>
      <c r="BO70" s="1" t="s">
        <v>74</v>
      </c>
      <c r="BP70" s="1" t="s">
        <v>74</v>
      </c>
      <c r="BQ70" s="1" t="s">
        <v>74</v>
      </c>
      <c r="BR70" s="1" t="s">
        <v>74</v>
      </c>
      <c r="BS70" s="1" t="s">
        <v>762</v>
      </c>
      <c r="BT70" s="1" t="str">
        <f>HYPERLINK("https%3A%2F%2Fwww.webofscience.com%2Fwos%2Fwoscc%2Ffull-record%2FWOS:000170392000003","View Full Record in Web of Science")</f>
        <v>View Full Record in Web of Science</v>
      </c>
    </row>
    <row r="71" ht="12.75" customHeight="1">
      <c r="A71" s="1" t="s">
        <v>72</v>
      </c>
      <c r="B71" s="1" t="s">
        <v>763</v>
      </c>
      <c r="C71" s="1" t="s">
        <v>74</v>
      </c>
      <c r="D71" s="1" t="s">
        <v>74</v>
      </c>
      <c r="E71" s="1" t="s">
        <v>74</v>
      </c>
      <c r="F71" s="1" t="s">
        <v>763</v>
      </c>
      <c r="G71" s="1" t="s">
        <v>74</v>
      </c>
      <c r="H71" s="1" t="s">
        <v>74</v>
      </c>
      <c r="I71" s="1" t="s">
        <v>764</v>
      </c>
      <c r="J71" s="1" t="s">
        <v>765</v>
      </c>
      <c r="K71" s="1" t="s">
        <v>74</v>
      </c>
      <c r="L71" s="1" t="s">
        <v>74</v>
      </c>
      <c r="M71" s="1" t="s">
        <v>74</v>
      </c>
      <c r="N71" s="1" t="s">
        <v>74</v>
      </c>
      <c r="O71" s="1" t="s">
        <v>74</v>
      </c>
      <c r="P71" s="1" t="s">
        <v>74</v>
      </c>
      <c r="Q71" s="1" t="s">
        <v>74</v>
      </c>
      <c r="R71" s="1" t="s">
        <v>74</v>
      </c>
      <c r="S71" s="1" t="s">
        <v>74</v>
      </c>
      <c r="T71" s="1" t="s">
        <v>74</v>
      </c>
      <c r="U71" s="1" t="s">
        <v>74</v>
      </c>
      <c r="V71" s="1" t="s">
        <v>766</v>
      </c>
      <c r="W71" s="1" t="s">
        <v>74</v>
      </c>
      <c r="X71" s="1" t="s">
        <v>74</v>
      </c>
      <c r="Y71" s="1" t="s">
        <v>74</v>
      </c>
      <c r="Z71" s="1" t="s">
        <v>74</v>
      </c>
      <c r="AA71" s="1" t="s">
        <v>767</v>
      </c>
      <c r="AB71" s="1" t="s">
        <v>768</v>
      </c>
      <c r="AC71" s="1" t="s">
        <v>74</v>
      </c>
      <c r="AD71" s="1" t="s">
        <v>74</v>
      </c>
      <c r="AE71" s="1" t="s">
        <v>74</v>
      </c>
      <c r="AF71" s="1" t="s">
        <v>74</v>
      </c>
      <c r="AG71" s="1" t="s">
        <v>74</v>
      </c>
      <c r="AH71" s="1" t="s">
        <v>74</v>
      </c>
      <c r="AI71" s="1" t="s">
        <v>74</v>
      </c>
      <c r="AJ71" s="1" t="s">
        <v>74</v>
      </c>
      <c r="AK71" s="1" t="s">
        <v>74</v>
      </c>
      <c r="AL71" s="1" t="s">
        <v>74</v>
      </c>
      <c r="AM71" s="1" t="s">
        <v>74</v>
      </c>
      <c r="AN71" s="1" t="s">
        <v>74</v>
      </c>
      <c r="AO71" s="1" t="s">
        <v>769</v>
      </c>
      <c r="AP71" s="1" t="s">
        <v>74</v>
      </c>
      <c r="AQ71" s="1" t="s">
        <v>74</v>
      </c>
      <c r="AR71" s="1" t="s">
        <v>74</v>
      </c>
      <c r="AS71" s="1" t="s">
        <v>74</v>
      </c>
      <c r="AT71" s="1" t="s">
        <v>770</v>
      </c>
      <c r="AU71" s="1">
        <v>2001.0</v>
      </c>
      <c r="AV71" s="1">
        <v>497.0</v>
      </c>
      <c r="AW71" s="1" t="s">
        <v>433</v>
      </c>
      <c r="AX71" s="1" t="s">
        <v>74</v>
      </c>
      <c r="AY71" s="1" t="s">
        <v>74</v>
      </c>
      <c r="AZ71" s="1" t="s">
        <v>74</v>
      </c>
      <c r="BA71" s="1" t="s">
        <v>74</v>
      </c>
      <c r="BB71" s="1">
        <v>55.0</v>
      </c>
      <c r="BC71" s="1">
        <v>60.0</v>
      </c>
      <c r="BD71" s="1" t="s">
        <v>74</v>
      </c>
      <c r="BE71" s="1" t="s">
        <v>771</v>
      </c>
      <c r="BF71" s="2" t="str">
        <f>HYPERLINK("http://dx.doi.org/10.1016/S0022-0728(00)00434-4","http://dx.doi.org/10.1016/S0022-0728(00)00434-4")</f>
        <v>http://dx.doi.org/10.1016/S0022-0728(00)00434-4</v>
      </c>
      <c r="BG71" s="1" t="s">
        <v>74</v>
      </c>
      <c r="BH71" s="1" t="s">
        <v>74</v>
      </c>
      <c r="BI71" s="1" t="s">
        <v>74</v>
      </c>
      <c r="BJ71" s="1" t="s">
        <v>74</v>
      </c>
      <c r="BK71" s="1" t="s">
        <v>74</v>
      </c>
      <c r="BL71" s="1" t="s">
        <v>74</v>
      </c>
      <c r="BM71" s="1" t="s">
        <v>74</v>
      </c>
      <c r="BN71" s="1" t="s">
        <v>74</v>
      </c>
      <c r="BO71" s="1" t="s">
        <v>74</v>
      </c>
      <c r="BP71" s="1" t="s">
        <v>74</v>
      </c>
      <c r="BQ71" s="1" t="s">
        <v>74</v>
      </c>
      <c r="BR71" s="1" t="s">
        <v>74</v>
      </c>
      <c r="BS71" s="1" t="s">
        <v>772</v>
      </c>
      <c r="BT71" s="1" t="str">
        <f>HYPERLINK("https%3A%2F%2Fwww.webofscience.com%2Fwos%2Fwoscc%2Ffull-record%2FWOS:000167193100006","View Full Record in Web of Science")</f>
        <v>View Full Record in Web of Science</v>
      </c>
    </row>
    <row r="72" ht="12.75" customHeight="1">
      <c r="A72" s="1" t="s">
        <v>638</v>
      </c>
      <c r="B72" s="1" t="s">
        <v>633</v>
      </c>
      <c r="C72" s="1" t="s">
        <v>74</v>
      </c>
      <c r="D72" s="1" t="s">
        <v>773</v>
      </c>
      <c r="E72" s="1" t="s">
        <v>74</v>
      </c>
      <c r="F72" s="1" t="s">
        <v>633</v>
      </c>
      <c r="G72" s="1" t="s">
        <v>74</v>
      </c>
      <c r="H72" s="1" t="s">
        <v>74</v>
      </c>
      <c r="I72" s="1" t="s">
        <v>774</v>
      </c>
      <c r="J72" s="1" t="s">
        <v>775</v>
      </c>
      <c r="K72" s="1" t="s">
        <v>776</v>
      </c>
      <c r="L72" s="1" t="s">
        <v>74</v>
      </c>
      <c r="M72" s="1" t="s">
        <v>74</v>
      </c>
      <c r="N72" s="1" t="s">
        <v>74</v>
      </c>
      <c r="O72" s="1" t="s">
        <v>777</v>
      </c>
      <c r="P72" s="1" t="s">
        <v>778</v>
      </c>
      <c r="Q72" s="1" t="s">
        <v>779</v>
      </c>
      <c r="R72" s="1" t="s">
        <v>780</v>
      </c>
      <c r="S72" s="1" t="s">
        <v>74</v>
      </c>
      <c r="T72" s="1" t="s">
        <v>74</v>
      </c>
      <c r="U72" s="1" t="s">
        <v>74</v>
      </c>
      <c r="V72" s="1" t="s">
        <v>781</v>
      </c>
      <c r="W72" s="1" t="s">
        <v>74</v>
      </c>
      <c r="X72" s="1" t="s">
        <v>74</v>
      </c>
      <c r="Y72" s="1" t="s">
        <v>74</v>
      </c>
      <c r="Z72" s="1" t="s">
        <v>74</v>
      </c>
      <c r="AA72" s="1" t="s">
        <v>74</v>
      </c>
      <c r="AB72" s="1" t="s">
        <v>74</v>
      </c>
      <c r="AC72" s="1" t="s">
        <v>74</v>
      </c>
      <c r="AD72" s="1" t="s">
        <v>74</v>
      </c>
      <c r="AE72" s="1" t="s">
        <v>74</v>
      </c>
      <c r="AF72" s="1" t="s">
        <v>74</v>
      </c>
      <c r="AG72" s="1" t="s">
        <v>74</v>
      </c>
      <c r="AH72" s="1" t="s">
        <v>74</v>
      </c>
      <c r="AI72" s="1" t="s">
        <v>74</v>
      </c>
      <c r="AJ72" s="1" t="s">
        <v>74</v>
      </c>
      <c r="AK72" s="1" t="s">
        <v>74</v>
      </c>
      <c r="AL72" s="1" t="s">
        <v>74</v>
      </c>
      <c r="AM72" s="1" t="s">
        <v>74</v>
      </c>
      <c r="AN72" s="1" t="s">
        <v>74</v>
      </c>
      <c r="AO72" s="1" t="s">
        <v>782</v>
      </c>
      <c r="AP72" s="1" t="s">
        <v>74</v>
      </c>
      <c r="AQ72" s="1" t="s">
        <v>783</v>
      </c>
      <c r="AR72" s="1" t="s">
        <v>74</v>
      </c>
      <c r="AS72" s="1" t="s">
        <v>74</v>
      </c>
      <c r="AT72" s="1" t="s">
        <v>74</v>
      </c>
      <c r="AU72" s="1">
        <v>2001.0</v>
      </c>
      <c r="AV72" s="1" t="s">
        <v>784</v>
      </c>
      <c r="AW72" s="1" t="s">
        <v>74</v>
      </c>
      <c r="AX72" s="1" t="s">
        <v>74</v>
      </c>
      <c r="AY72" s="1" t="s">
        <v>74</v>
      </c>
      <c r="AZ72" s="1" t="s">
        <v>74</v>
      </c>
      <c r="BA72" s="1" t="s">
        <v>74</v>
      </c>
      <c r="BB72" s="1">
        <v>394.0</v>
      </c>
      <c r="BC72" s="1">
        <v>400.0</v>
      </c>
      <c r="BD72" s="1" t="s">
        <v>74</v>
      </c>
      <c r="BE72" s="1" t="s">
        <v>785</v>
      </c>
      <c r="BF72" s="2" t="str">
        <f>HYPERLINK("http://dx.doi.org/10.4028/www.scientific.net/KEM.189-191.394","http://dx.doi.org/10.4028/www.scientific.net/KEM.189-191.394")</f>
        <v>http://dx.doi.org/10.4028/www.scientific.net/KEM.189-191.394</v>
      </c>
      <c r="BG72" s="1" t="s">
        <v>74</v>
      </c>
      <c r="BH72" s="1" t="s">
        <v>74</v>
      </c>
      <c r="BI72" s="1" t="s">
        <v>74</v>
      </c>
      <c r="BJ72" s="1" t="s">
        <v>74</v>
      </c>
      <c r="BK72" s="1" t="s">
        <v>74</v>
      </c>
      <c r="BL72" s="1" t="s">
        <v>74</v>
      </c>
      <c r="BM72" s="1" t="s">
        <v>74</v>
      </c>
      <c r="BN72" s="1" t="s">
        <v>74</v>
      </c>
      <c r="BO72" s="1" t="s">
        <v>74</v>
      </c>
      <c r="BP72" s="1" t="s">
        <v>74</v>
      </c>
      <c r="BQ72" s="1" t="s">
        <v>74</v>
      </c>
      <c r="BR72" s="1" t="s">
        <v>74</v>
      </c>
      <c r="BS72" s="1" t="s">
        <v>786</v>
      </c>
      <c r="BT72" s="1" t="str">
        <f>HYPERLINK("https%3A%2F%2Fwww.webofscience.com%2Fwos%2Fwoscc%2Ffull-record%2FWOS:000168303300062","View Full Record in Web of Science")</f>
        <v>View Full Record in Web of Science</v>
      </c>
    </row>
    <row r="73" ht="12.75" customHeight="1">
      <c r="A73" s="1" t="s">
        <v>72</v>
      </c>
      <c r="B73" s="1" t="s">
        <v>787</v>
      </c>
      <c r="C73" s="1" t="s">
        <v>74</v>
      </c>
      <c r="D73" s="1" t="s">
        <v>74</v>
      </c>
      <c r="E73" s="1" t="s">
        <v>74</v>
      </c>
      <c r="F73" s="1" t="s">
        <v>787</v>
      </c>
      <c r="G73" s="1" t="s">
        <v>74</v>
      </c>
      <c r="H73" s="1" t="s">
        <v>74</v>
      </c>
      <c r="I73" s="1" t="s">
        <v>788</v>
      </c>
      <c r="J73" s="1" t="s">
        <v>789</v>
      </c>
      <c r="K73" s="1" t="s">
        <v>74</v>
      </c>
      <c r="L73" s="1" t="s">
        <v>74</v>
      </c>
      <c r="M73" s="1" t="s">
        <v>74</v>
      </c>
      <c r="N73" s="1" t="s">
        <v>74</v>
      </c>
      <c r="O73" s="1" t="s">
        <v>790</v>
      </c>
      <c r="P73" s="1" t="s">
        <v>791</v>
      </c>
      <c r="Q73" s="1" t="s">
        <v>792</v>
      </c>
      <c r="R73" s="1" t="s">
        <v>793</v>
      </c>
      <c r="S73" s="1" t="s">
        <v>794</v>
      </c>
      <c r="T73" s="1" t="s">
        <v>74</v>
      </c>
      <c r="U73" s="1" t="s">
        <v>74</v>
      </c>
      <c r="V73" s="1" t="s">
        <v>795</v>
      </c>
      <c r="W73" s="1" t="s">
        <v>74</v>
      </c>
      <c r="X73" s="1" t="s">
        <v>74</v>
      </c>
      <c r="Y73" s="1" t="s">
        <v>74</v>
      </c>
      <c r="Z73" s="1" t="s">
        <v>74</v>
      </c>
      <c r="AA73" s="1" t="s">
        <v>74</v>
      </c>
      <c r="AB73" s="1" t="s">
        <v>74</v>
      </c>
      <c r="AC73" s="1" t="s">
        <v>74</v>
      </c>
      <c r="AD73" s="1" t="s">
        <v>74</v>
      </c>
      <c r="AE73" s="1" t="s">
        <v>74</v>
      </c>
      <c r="AF73" s="1" t="s">
        <v>74</v>
      </c>
      <c r="AG73" s="1" t="s">
        <v>74</v>
      </c>
      <c r="AH73" s="1" t="s">
        <v>74</v>
      </c>
      <c r="AI73" s="1" t="s">
        <v>74</v>
      </c>
      <c r="AJ73" s="1" t="s">
        <v>74</v>
      </c>
      <c r="AK73" s="1" t="s">
        <v>74</v>
      </c>
      <c r="AL73" s="1" t="s">
        <v>74</v>
      </c>
      <c r="AM73" s="1" t="s">
        <v>74</v>
      </c>
      <c r="AN73" s="1" t="s">
        <v>74</v>
      </c>
      <c r="AO73" s="1" t="s">
        <v>796</v>
      </c>
      <c r="AP73" s="1" t="s">
        <v>797</v>
      </c>
      <c r="AQ73" s="1" t="s">
        <v>74</v>
      </c>
      <c r="AR73" s="1" t="s">
        <v>74</v>
      </c>
      <c r="AS73" s="1" t="s">
        <v>74</v>
      </c>
      <c r="AT73" s="1" t="s">
        <v>74</v>
      </c>
      <c r="AU73" s="1">
        <v>2001.0</v>
      </c>
      <c r="AV73" s="1">
        <v>42.0</v>
      </c>
      <c r="AW73" s="1" t="s">
        <v>433</v>
      </c>
      <c r="AX73" s="1" t="s">
        <v>74</v>
      </c>
      <c r="AY73" s="1" t="s">
        <v>74</v>
      </c>
      <c r="AZ73" s="1" t="s">
        <v>74</v>
      </c>
      <c r="BA73" s="1" t="s">
        <v>74</v>
      </c>
      <c r="BB73" s="1">
        <v>125.0</v>
      </c>
      <c r="BC73" s="1">
        <v>135.0</v>
      </c>
      <c r="BD73" s="1" t="s">
        <v>74</v>
      </c>
      <c r="BE73" s="1" t="s">
        <v>74</v>
      </c>
      <c r="BF73" s="1" t="s">
        <v>74</v>
      </c>
      <c r="BG73" s="1" t="s">
        <v>74</v>
      </c>
      <c r="BH73" s="1" t="s">
        <v>74</v>
      </c>
      <c r="BI73" s="1" t="s">
        <v>74</v>
      </c>
      <c r="BJ73" s="1" t="s">
        <v>74</v>
      </c>
      <c r="BK73" s="1" t="s">
        <v>74</v>
      </c>
      <c r="BL73" s="1" t="s">
        <v>74</v>
      </c>
      <c r="BM73" s="1" t="s">
        <v>74</v>
      </c>
      <c r="BN73" s="1" t="s">
        <v>74</v>
      </c>
      <c r="BO73" s="1" t="s">
        <v>74</v>
      </c>
      <c r="BP73" s="1" t="s">
        <v>74</v>
      </c>
      <c r="BQ73" s="1" t="s">
        <v>74</v>
      </c>
      <c r="BR73" s="1" t="s">
        <v>74</v>
      </c>
      <c r="BS73" s="1" t="s">
        <v>798</v>
      </c>
      <c r="BT73" s="1" t="str">
        <f>HYPERLINK("https%3A%2F%2Fwww.webofscience.com%2Fwos%2Fwoscc%2Ffull-record%2FWOS:000168120500013","View Full Record in Web of Science")</f>
        <v>View Full Record in Web of Science</v>
      </c>
    </row>
    <row r="74" ht="12.75" customHeight="1">
      <c r="A74" s="1" t="s">
        <v>72</v>
      </c>
      <c r="B74" s="1" t="s">
        <v>799</v>
      </c>
      <c r="C74" s="1" t="s">
        <v>74</v>
      </c>
      <c r="D74" s="1" t="s">
        <v>74</v>
      </c>
      <c r="E74" s="1" t="s">
        <v>74</v>
      </c>
      <c r="F74" s="1" t="s">
        <v>799</v>
      </c>
      <c r="G74" s="1" t="s">
        <v>74</v>
      </c>
      <c r="H74" s="1" t="s">
        <v>74</v>
      </c>
      <c r="I74" s="1" t="s">
        <v>800</v>
      </c>
      <c r="J74" s="1" t="s">
        <v>801</v>
      </c>
      <c r="K74" s="1" t="s">
        <v>74</v>
      </c>
      <c r="L74" s="1" t="s">
        <v>74</v>
      </c>
      <c r="M74" s="1" t="s">
        <v>74</v>
      </c>
      <c r="N74" s="1" t="s">
        <v>74</v>
      </c>
      <c r="O74" s="1" t="s">
        <v>74</v>
      </c>
      <c r="P74" s="1" t="s">
        <v>74</v>
      </c>
      <c r="Q74" s="1" t="s">
        <v>74</v>
      </c>
      <c r="R74" s="1" t="s">
        <v>74</v>
      </c>
      <c r="S74" s="1" t="s">
        <v>74</v>
      </c>
      <c r="T74" s="1" t="s">
        <v>74</v>
      </c>
      <c r="U74" s="1" t="s">
        <v>74</v>
      </c>
      <c r="V74" s="1" t="s">
        <v>802</v>
      </c>
      <c r="W74" s="1" t="s">
        <v>74</v>
      </c>
      <c r="X74" s="1" t="s">
        <v>74</v>
      </c>
      <c r="Y74" s="1" t="s">
        <v>74</v>
      </c>
      <c r="Z74" s="1" t="s">
        <v>74</v>
      </c>
      <c r="AA74" s="1" t="s">
        <v>803</v>
      </c>
      <c r="AB74" s="1" t="s">
        <v>804</v>
      </c>
      <c r="AC74" s="1" t="s">
        <v>74</v>
      </c>
      <c r="AD74" s="1" t="s">
        <v>74</v>
      </c>
      <c r="AE74" s="1" t="s">
        <v>74</v>
      </c>
      <c r="AF74" s="1" t="s">
        <v>74</v>
      </c>
      <c r="AG74" s="1" t="s">
        <v>74</v>
      </c>
      <c r="AH74" s="1" t="s">
        <v>74</v>
      </c>
      <c r="AI74" s="1" t="s">
        <v>74</v>
      </c>
      <c r="AJ74" s="1" t="s">
        <v>74</v>
      </c>
      <c r="AK74" s="1" t="s">
        <v>74</v>
      </c>
      <c r="AL74" s="1" t="s">
        <v>74</v>
      </c>
      <c r="AM74" s="1" t="s">
        <v>74</v>
      </c>
      <c r="AN74" s="1" t="s">
        <v>74</v>
      </c>
      <c r="AO74" s="1" t="s">
        <v>805</v>
      </c>
      <c r="AP74" s="1" t="s">
        <v>74</v>
      </c>
      <c r="AQ74" s="1" t="s">
        <v>74</v>
      </c>
      <c r="AR74" s="1" t="s">
        <v>74</v>
      </c>
      <c r="AS74" s="1" t="s">
        <v>74</v>
      </c>
      <c r="AT74" s="1" t="s">
        <v>806</v>
      </c>
      <c r="AU74" s="1">
        <v>2000.0</v>
      </c>
      <c r="AV74" s="1">
        <v>34.0</v>
      </c>
      <c r="AW74" s="1">
        <v>4.0</v>
      </c>
      <c r="AX74" s="1" t="s">
        <v>74</v>
      </c>
      <c r="AY74" s="1" t="s">
        <v>74</v>
      </c>
      <c r="AZ74" s="1" t="s">
        <v>74</v>
      </c>
      <c r="BA74" s="1" t="s">
        <v>74</v>
      </c>
      <c r="BB74" s="1">
        <v>279.0</v>
      </c>
      <c r="BC74" s="1">
        <v>305.0</v>
      </c>
      <c r="BD74" s="1" t="s">
        <v>74</v>
      </c>
      <c r="BE74" s="1" t="s">
        <v>807</v>
      </c>
      <c r="BF74" s="2" t="str">
        <f>HYPERLINK("http://dx.doi.org/10.1002/1097-0363(20001030)34:4&lt;279::AID-FLD58&gt;3.3.CO;2-L","http://dx.doi.org/10.1002/1097-0363(20001030)34:4&lt;279::AID-FLD58&gt;3.3.CO;2-L")</f>
        <v>http://dx.doi.org/10.1002/1097-0363(20001030)34:4&lt;279::AID-FLD58&gt;3.3.CO;2-L</v>
      </c>
      <c r="BG74" s="1" t="s">
        <v>74</v>
      </c>
      <c r="BH74" s="1" t="s">
        <v>74</v>
      </c>
      <c r="BI74" s="1" t="s">
        <v>74</v>
      </c>
      <c r="BJ74" s="1" t="s">
        <v>74</v>
      </c>
      <c r="BK74" s="1" t="s">
        <v>74</v>
      </c>
      <c r="BL74" s="1" t="s">
        <v>74</v>
      </c>
      <c r="BM74" s="1" t="s">
        <v>74</v>
      </c>
      <c r="BN74" s="1" t="s">
        <v>74</v>
      </c>
      <c r="BO74" s="1" t="s">
        <v>74</v>
      </c>
      <c r="BP74" s="1" t="s">
        <v>74</v>
      </c>
      <c r="BQ74" s="1" t="s">
        <v>74</v>
      </c>
      <c r="BR74" s="1" t="s">
        <v>74</v>
      </c>
      <c r="BS74" s="1" t="s">
        <v>808</v>
      </c>
      <c r="BT74" s="1" t="str">
        <f>HYPERLINK("https%3A%2F%2Fwww.webofscience.com%2Fwos%2Fwoscc%2Ffull-record%2FWOS:000090001900001","View Full Record in Web of Science")</f>
        <v>View Full Record in Web of Science</v>
      </c>
    </row>
    <row r="75" ht="12.75" customHeight="1">
      <c r="A75" s="1" t="s">
        <v>72</v>
      </c>
      <c r="B75" s="1" t="s">
        <v>633</v>
      </c>
      <c r="C75" s="1" t="s">
        <v>74</v>
      </c>
      <c r="D75" s="1" t="s">
        <v>74</v>
      </c>
      <c r="E75" s="1" t="s">
        <v>74</v>
      </c>
      <c r="F75" s="1" t="s">
        <v>633</v>
      </c>
      <c r="G75" s="1" t="s">
        <v>74</v>
      </c>
      <c r="H75" s="1" t="s">
        <v>74</v>
      </c>
      <c r="I75" s="1" t="s">
        <v>809</v>
      </c>
      <c r="J75" s="1" t="s">
        <v>810</v>
      </c>
      <c r="K75" s="1" t="s">
        <v>74</v>
      </c>
      <c r="L75" s="1" t="s">
        <v>74</v>
      </c>
      <c r="M75" s="1" t="s">
        <v>74</v>
      </c>
      <c r="N75" s="1" t="s">
        <v>74</v>
      </c>
      <c r="O75" s="1" t="s">
        <v>74</v>
      </c>
      <c r="P75" s="1" t="s">
        <v>74</v>
      </c>
      <c r="Q75" s="1" t="s">
        <v>74</v>
      </c>
      <c r="R75" s="1" t="s">
        <v>74</v>
      </c>
      <c r="S75" s="1" t="s">
        <v>74</v>
      </c>
      <c r="T75" s="1" t="s">
        <v>74</v>
      </c>
      <c r="U75" s="1" t="s">
        <v>74</v>
      </c>
      <c r="V75" s="1" t="s">
        <v>811</v>
      </c>
      <c r="W75" s="1" t="s">
        <v>74</v>
      </c>
      <c r="X75" s="1" t="s">
        <v>74</v>
      </c>
      <c r="Y75" s="1" t="s">
        <v>74</v>
      </c>
      <c r="Z75" s="1" t="s">
        <v>74</v>
      </c>
      <c r="AA75" s="1" t="s">
        <v>74</v>
      </c>
      <c r="AB75" s="1" t="s">
        <v>74</v>
      </c>
      <c r="AC75" s="1" t="s">
        <v>74</v>
      </c>
      <c r="AD75" s="1" t="s">
        <v>74</v>
      </c>
      <c r="AE75" s="1" t="s">
        <v>74</v>
      </c>
      <c r="AF75" s="1" t="s">
        <v>74</v>
      </c>
      <c r="AG75" s="1" t="s">
        <v>74</v>
      </c>
      <c r="AH75" s="1" t="s">
        <v>74</v>
      </c>
      <c r="AI75" s="1" t="s">
        <v>74</v>
      </c>
      <c r="AJ75" s="1" t="s">
        <v>74</v>
      </c>
      <c r="AK75" s="1" t="s">
        <v>74</v>
      </c>
      <c r="AL75" s="1" t="s">
        <v>74</v>
      </c>
      <c r="AM75" s="1" t="s">
        <v>74</v>
      </c>
      <c r="AN75" s="1" t="s">
        <v>74</v>
      </c>
      <c r="AO75" s="1" t="s">
        <v>812</v>
      </c>
      <c r="AP75" s="1" t="s">
        <v>74</v>
      </c>
      <c r="AQ75" s="1" t="s">
        <v>74</v>
      </c>
      <c r="AR75" s="1" t="s">
        <v>74</v>
      </c>
      <c r="AS75" s="1" t="s">
        <v>74</v>
      </c>
      <c r="AT75" s="1" t="s">
        <v>276</v>
      </c>
      <c r="AU75" s="1">
        <v>2000.0</v>
      </c>
      <c r="AV75" s="1">
        <v>91.0</v>
      </c>
      <c r="AW75" s="1">
        <v>10.0</v>
      </c>
      <c r="AX75" s="1" t="s">
        <v>74</v>
      </c>
      <c r="AY75" s="1" t="s">
        <v>74</v>
      </c>
      <c r="AZ75" s="1" t="s">
        <v>74</v>
      </c>
      <c r="BA75" s="1" t="s">
        <v>74</v>
      </c>
      <c r="BB75" s="1">
        <v>842.0</v>
      </c>
      <c r="BC75" s="1">
        <v>847.0</v>
      </c>
      <c r="BD75" s="1" t="s">
        <v>74</v>
      </c>
      <c r="BE75" s="1" t="s">
        <v>74</v>
      </c>
      <c r="BF75" s="1" t="s">
        <v>74</v>
      </c>
      <c r="BG75" s="1" t="s">
        <v>74</v>
      </c>
      <c r="BH75" s="1" t="s">
        <v>74</v>
      </c>
      <c r="BI75" s="1" t="s">
        <v>74</v>
      </c>
      <c r="BJ75" s="1" t="s">
        <v>74</v>
      </c>
      <c r="BK75" s="1" t="s">
        <v>74</v>
      </c>
      <c r="BL75" s="1" t="s">
        <v>74</v>
      </c>
      <c r="BM75" s="1" t="s">
        <v>74</v>
      </c>
      <c r="BN75" s="1" t="s">
        <v>74</v>
      </c>
      <c r="BO75" s="1" t="s">
        <v>74</v>
      </c>
      <c r="BP75" s="1" t="s">
        <v>74</v>
      </c>
      <c r="BQ75" s="1" t="s">
        <v>74</v>
      </c>
      <c r="BR75" s="1" t="s">
        <v>74</v>
      </c>
      <c r="BS75" s="1" t="s">
        <v>813</v>
      </c>
      <c r="BT75" s="1" t="str">
        <f>HYPERLINK("https%3A%2F%2Fwww.webofscience.com%2Fwos%2Fwoscc%2Ffull-record%2FWOS:000165530600009","View Full Record in Web of Science")</f>
        <v>View Full Record in Web of Science</v>
      </c>
    </row>
    <row r="76" ht="12.75" customHeight="1">
      <c r="A76" s="1" t="s">
        <v>72</v>
      </c>
      <c r="B76" s="1" t="s">
        <v>814</v>
      </c>
      <c r="C76" s="1" t="s">
        <v>74</v>
      </c>
      <c r="D76" s="1" t="s">
        <v>74</v>
      </c>
      <c r="E76" s="1" t="s">
        <v>74</v>
      </c>
      <c r="F76" s="1" t="s">
        <v>814</v>
      </c>
      <c r="G76" s="1" t="s">
        <v>74</v>
      </c>
      <c r="H76" s="1" t="s">
        <v>74</v>
      </c>
      <c r="I76" s="1" t="s">
        <v>815</v>
      </c>
      <c r="J76" s="1" t="s">
        <v>816</v>
      </c>
      <c r="K76" s="1" t="s">
        <v>74</v>
      </c>
      <c r="L76" s="1" t="s">
        <v>74</v>
      </c>
      <c r="M76" s="1" t="s">
        <v>74</v>
      </c>
      <c r="N76" s="1" t="s">
        <v>74</v>
      </c>
      <c r="O76" s="1" t="s">
        <v>74</v>
      </c>
      <c r="P76" s="1" t="s">
        <v>74</v>
      </c>
      <c r="Q76" s="1" t="s">
        <v>74</v>
      </c>
      <c r="R76" s="1" t="s">
        <v>74</v>
      </c>
      <c r="S76" s="1" t="s">
        <v>74</v>
      </c>
      <c r="T76" s="1" t="s">
        <v>74</v>
      </c>
      <c r="U76" s="1" t="s">
        <v>74</v>
      </c>
      <c r="V76" s="1" t="s">
        <v>74</v>
      </c>
      <c r="W76" s="1" t="s">
        <v>74</v>
      </c>
      <c r="X76" s="1" t="s">
        <v>74</v>
      </c>
      <c r="Y76" s="1" t="s">
        <v>74</v>
      </c>
      <c r="Z76" s="1" t="s">
        <v>74</v>
      </c>
      <c r="AA76" s="1" t="s">
        <v>74</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817</v>
      </c>
      <c r="AP76" s="1" t="s">
        <v>74</v>
      </c>
      <c r="AQ76" s="1" t="s">
        <v>74</v>
      </c>
      <c r="AR76" s="1" t="s">
        <v>74</v>
      </c>
      <c r="AS76" s="1" t="s">
        <v>74</v>
      </c>
      <c r="AT76" s="1" t="s">
        <v>818</v>
      </c>
      <c r="AU76" s="1">
        <v>2000.0</v>
      </c>
      <c r="AV76" s="1">
        <v>128.0</v>
      </c>
      <c r="AW76" s="1">
        <v>2.0</v>
      </c>
      <c r="AX76" s="1" t="s">
        <v>74</v>
      </c>
      <c r="AY76" s="1" t="s">
        <v>74</v>
      </c>
      <c r="AZ76" s="1" t="s">
        <v>74</v>
      </c>
      <c r="BA76" s="1" t="s">
        <v>74</v>
      </c>
      <c r="BB76" s="1">
        <v>235.0</v>
      </c>
      <c r="BC76" s="1">
        <v>236.0</v>
      </c>
      <c r="BD76" s="1" t="s">
        <v>74</v>
      </c>
      <c r="BE76" s="1" t="s">
        <v>74</v>
      </c>
      <c r="BF76" s="1" t="s">
        <v>74</v>
      </c>
      <c r="BG76" s="1" t="s">
        <v>74</v>
      </c>
      <c r="BH76" s="1" t="s">
        <v>74</v>
      </c>
      <c r="BI76" s="1" t="s">
        <v>74</v>
      </c>
      <c r="BJ76" s="1" t="s">
        <v>74</v>
      </c>
      <c r="BK76" s="1" t="s">
        <v>74</v>
      </c>
      <c r="BL76" s="1" t="s">
        <v>74</v>
      </c>
      <c r="BM76" s="1" t="s">
        <v>74</v>
      </c>
      <c r="BN76" s="1" t="s">
        <v>74</v>
      </c>
      <c r="BO76" s="1" t="s">
        <v>74</v>
      </c>
      <c r="BP76" s="1" t="s">
        <v>74</v>
      </c>
      <c r="BQ76" s="1" t="s">
        <v>74</v>
      </c>
      <c r="BR76" s="1" t="s">
        <v>74</v>
      </c>
      <c r="BS76" s="1" t="s">
        <v>819</v>
      </c>
      <c r="BT76" s="1" t="str">
        <f>HYPERLINK("https%3A%2F%2Fwww.webofscience.com%2Fwos%2Fwoscc%2Ffull-record%2FWOS:000086371900016","View Full Record in Web of Science")</f>
        <v>View Full Record in Web of Science</v>
      </c>
    </row>
    <row r="77" ht="12.75" customHeight="1">
      <c r="A77" s="1" t="s">
        <v>72</v>
      </c>
      <c r="B77" s="1" t="s">
        <v>820</v>
      </c>
      <c r="C77" s="1" t="s">
        <v>74</v>
      </c>
      <c r="D77" s="1" t="s">
        <v>74</v>
      </c>
      <c r="E77" s="1" t="s">
        <v>74</v>
      </c>
      <c r="F77" s="1" t="s">
        <v>820</v>
      </c>
      <c r="G77" s="1" t="s">
        <v>74</v>
      </c>
      <c r="H77" s="1" t="s">
        <v>74</v>
      </c>
      <c r="I77" s="1" t="s">
        <v>821</v>
      </c>
      <c r="J77" s="1" t="s">
        <v>656</v>
      </c>
      <c r="K77" s="1" t="s">
        <v>74</v>
      </c>
      <c r="L77" s="1" t="s">
        <v>74</v>
      </c>
      <c r="M77" s="1" t="s">
        <v>74</v>
      </c>
      <c r="N77" s="1" t="s">
        <v>74</v>
      </c>
      <c r="O77" s="1" t="s">
        <v>74</v>
      </c>
      <c r="P77" s="1" t="s">
        <v>74</v>
      </c>
      <c r="Q77" s="1" t="s">
        <v>74</v>
      </c>
      <c r="R77" s="1" t="s">
        <v>74</v>
      </c>
      <c r="S77" s="1" t="s">
        <v>74</v>
      </c>
      <c r="T77" s="1" t="s">
        <v>74</v>
      </c>
      <c r="U77" s="1" t="s">
        <v>74</v>
      </c>
      <c r="V77" s="1" t="s">
        <v>74</v>
      </c>
      <c r="W77" s="1" t="s">
        <v>74</v>
      </c>
      <c r="X77" s="1" t="s">
        <v>74</v>
      </c>
      <c r="Y77" s="1" t="s">
        <v>74</v>
      </c>
      <c r="Z77" s="1" t="s">
        <v>74</v>
      </c>
      <c r="AA77" s="1" t="s">
        <v>822</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657</v>
      </c>
      <c r="AP77" s="1" t="s">
        <v>74</v>
      </c>
      <c r="AQ77" s="1" t="s">
        <v>74</v>
      </c>
      <c r="AR77" s="1" t="s">
        <v>74</v>
      </c>
      <c r="AS77" s="1" t="s">
        <v>74</v>
      </c>
      <c r="AT77" s="1" t="s">
        <v>823</v>
      </c>
      <c r="AU77" s="1">
        <v>1999.0</v>
      </c>
      <c r="AV77" s="1">
        <v>218.0</v>
      </c>
      <c r="AW77" s="1" t="s">
        <v>74</v>
      </c>
      <c r="AX77" s="1">
        <v>1.0</v>
      </c>
      <c r="AY77" s="1" t="s">
        <v>74</v>
      </c>
      <c r="AZ77" s="1" t="s">
        <v>74</v>
      </c>
      <c r="BA77" s="1" t="s">
        <v>824</v>
      </c>
      <c r="BB77" s="1" t="s">
        <v>825</v>
      </c>
      <c r="BC77" s="1" t="s">
        <v>826</v>
      </c>
      <c r="BD77" s="1" t="s">
        <v>74</v>
      </c>
      <c r="BE77" s="1" t="s">
        <v>74</v>
      </c>
      <c r="BF77" s="1" t="s">
        <v>74</v>
      </c>
      <c r="BG77" s="1" t="s">
        <v>74</v>
      </c>
      <c r="BH77" s="1" t="s">
        <v>74</v>
      </c>
      <c r="BI77" s="1" t="s">
        <v>74</v>
      </c>
      <c r="BJ77" s="1" t="s">
        <v>74</v>
      </c>
      <c r="BK77" s="1" t="s">
        <v>74</v>
      </c>
      <c r="BL77" s="1" t="s">
        <v>74</v>
      </c>
      <c r="BM77" s="1" t="s">
        <v>74</v>
      </c>
      <c r="BN77" s="1" t="s">
        <v>74</v>
      </c>
      <c r="BO77" s="1" t="s">
        <v>74</v>
      </c>
      <c r="BP77" s="1" t="s">
        <v>74</v>
      </c>
      <c r="BQ77" s="1" t="s">
        <v>74</v>
      </c>
      <c r="BR77" s="1" t="s">
        <v>74</v>
      </c>
      <c r="BS77" s="1" t="s">
        <v>827</v>
      </c>
      <c r="BT77" s="1" t="str">
        <f>HYPERLINK("https%3A%2F%2Fwww.webofscience.com%2Fwos%2Fwoscc%2Ffull-record%2FWOS:000082033901007","View Full Record in Web of Science")</f>
        <v>View Full Record in Web of Science</v>
      </c>
    </row>
    <row r="78" ht="12.75" customHeight="1">
      <c r="A78" s="1" t="s">
        <v>72</v>
      </c>
      <c r="B78" s="1" t="s">
        <v>828</v>
      </c>
      <c r="C78" s="1" t="s">
        <v>74</v>
      </c>
      <c r="D78" s="1" t="s">
        <v>74</v>
      </c>
      <c r="E78" s="1" t="s">
        <v>74</v>
      </c>
      <c r="F78" s="1" t="s">
        <v>828</v>
      </c>
      <c r="G78" s="1" t="s">
        <v>74</v>
      </c>
      <c r="H78" s="1" t="s">
        <v>74</v>
      </c>
      <c r="I78" s="1" t="s">
        <v>829</v>
      </c>
      <c r="J78" s="1" t="s">
        <v>514</v>
      </c>
      <c r="K78" s="1" t="s">
        <v>74</v>
      </c>
      <c r="L78" s="1" t="s">
        <v>74</v>
      </c>
      <c r="M78" s="1" t="s">
        <v>74</v>
      </c>
      <c r="N78" s="1" t="s">
        <v>74</v>
      </c>
      <c r="O78" s="1" t="s">
        <v>74</v>
      </c>
      <c r="P78" s="1" t="s">
        <v>74</v>
      </c>
      <c r="Q78" s="1" t="s">
        <v>74</v>
      </c>
      <c r="R78" s="1" t="s">
        <v>74</v>
      </c>
      <c r="S78" s="1" t="s">
        <v>74</v>
      </c>
      <c r="T78" s="1" t="s">
        <v>74</v>
      </c>
      <c r="U78" s="1" t="s">
        <v>74</v>
      </c>
      <c r="V78" s="1" t="s">
        <v>830</v>
      </c>
      <c r="W78" s="1" t="s">
        <v>74</v>
      </c>
      <c r="X78" s="1" t="s">
        <v>74</v>
      </c>
      <c r="Y78" s="1" t="s">
        <v>74</v>
      </c>
      <c r="Z78" s="1" t="s">
        <v>74</v>
      </c>
      <c r="AA78" s="1" t="s">
        <v>74</v>
      </c>
      <c r="AB78" s="1" t="s">
        <v>74</v>
      </c>
      <c r="AC78" s="1" t="s">
        <v>74</v>
      </c>
      <c r="AD78" s="1" t="s">
        <v>74</v>
      </c>
      <c r="AE78" s="1" t="s">
        <v>74</v>
      </c>
      <c r="AF78" s="1" t="s">
        <v>74</v>
      </c>
      <c r="AG78" s="1" t="s">
        <v>74</v>
      </c>
      <c r="AH78" s="1" t="s">
        <v>74</v>
      </c>
      <c r="AI78" s="1" t="s">
        <v>74</v>
      </c>
      <c r="AJ78" s="1" t="s">
        <v>74</v>
      </c>
      <c r="AK78" s="1" t="s">
        <v>74</v>
      </c>
      <c r="AL78" s="1" t="s">
        <v>74</v>
      </c>
      <c r="AM78" s="1" t="s">
        <v>74</v>
      </c>
      <c r="AN78" s="1" t="s">
        <v>74</v>
      </c>
      <c r="AO78" s="1" t="s">
        <v>516</v>
      </c>
      <c r="AP78" s="1" t="s">
        <v>74</v>
      </c>
      <c r="AQ78" s="1" t="s">
        <v>74</v>
      </c>
      <c r="AR78" s="1" t="s">
        <v>74</v>
      </c>
      <c r="AS78" s="1" t="s">
        <v>74</v>
      </c>
      <c r="AT78" s="1" t="s">
        <v>74</v>
      </c>
      <c r="AU78" s="1">
        <v>1999.0</v>
      </c>
      <c r="AV78" s="1">
        <v>17.0</v>
      </c>
      <c r="AW78" s="1" t="s">
        <v>831</v>
      </c>
      <c r="AX78" s="1" t="s">
        <v>74</v>
      </c>
      <c r="AY78" s="1" t="s">
        <v>74</v>
      </c>
      <c r="AZ78" s="1" t="s">
        <v>74</v>
      </c>
      <c r="BA78" s="1" t="s">
        <v>74</v>
      </c>
      <c r="BB78" s="1">
        <v>775.0</v>
      </c>
      <c r="BC78" s="1">
        <v>790.0</v>
      </c>
      <c r="BD78" s="1" t="s">
        <v>74</v>
      </c>
      <c r="BE78" s="1" t="s">
        <v>832</v>
      </c>
      <c r="BF78" s="2" t="str">
        <f>HYPERLINK("http://dx.doi.org/10.1080/07373939908917569","http://dx.doi.org/10.1080/07373939908917569")</f>
        <v>http://dx.doi.org/10.1080/07373939908917569</v>
      </c>
      <c r="BG78" s="1" t="s">
        <v>74</v>
      </c>
      <c r="BH78" s="1" t="s">
        <v>74</v>
      </c>
      <c r="BI78" s="1" t="s">
        <v>74</v>
      </c>
      <c r="BJ78" s="1" t="s">
        <v>74</v>
      </c>
      <c r="BK78" s="1" t="s">
        <v>74</v>
      </c>
      <c r="BL78" s="1" t="s">
        <v>74</v>
      </c>
      <c r="BM78" s="1" t="s">
        <v>74</v>
      </c>
      <c r="BN78" s="1" t="s">
        <v>74</v>
      </c>
      <c r="BO78" s="1" t="s">
        <v>74</v>
      </c>
      <c r="BP78" s="1" t="s">
        <v>74</v>
      </c>
      <c r="BQ78" s="1" t="s">
        <v>74</v>
      </c>
      <c r="BR78" s="1" t="s">
        <v>74</v>
      </c>
      <c r="BS78" s="1" t="s">
        <v>833</v>
      </c>
      <c r="BT78" s="1" t="str">
        <f>HYPERLINK("https%3A%2F%2Fwww.webofscience.com%2Fwos%2Fwoscc%2Ffull-record%2FWOS:000080188000008","View Full Record in Web of Science")</f>
        <v>View Full Record in Web of Science</v>
      </c>
    </row>
    <row r="79" ht="12.75" customHeight="1">
      <c r="A79" s="1" t="s">
        <v>72</v>
      </c>
      <c r="B79" s="1" t="s">
        <v>834</v>
      </c>
      <c r="C79" s="1" t="s">
        <v>74</v>
      </c>
      <c r="D79" s="1" t="s">
        <v>74</v>
      </c>
      <c r="E79" s="1" t="s">
        <v>74</v>
      </c>
      <c r="F79" s="1" t="s">
        <v>834</v>
      </c>
      <c r="G79" s="1" t="s">
        <v>74</v>
      </c>
      <c r="H79" s="1" t="s">
        <v>74</v>
      </c>
      <c r="I79" s="1" t="s">
        <v>835</v>
      </c>
      <c r="J79" s="1" t="s">
        <v>514</v>
      </c>
      <c r="K79" s="1" t="s">
        <v>74</v>
      </c>
      <c r="L79" s="1" t="s">
        <v>74</v>
      </c>
      <c r="M79" s="1" t="s">
        <v>74</v>
      </c>
      <c r="N79" s="1" t="s">
        <v>74</v>
      </c>
      <c r="O79" s="1" t="s">
        <v>74</v>
      </c>
      <c r="P79" s="1" t="s">
        <v>74</v>
      </c>
      <c r="Q79" s="1" t="s">
        <v>74</v>
      </c>
      <c r="R79" s="1" t="s">
        <v>74</v>
      </c>
      <c r="S79" s="1" t="s">
        <v>74</v>
      </c>
      <c r="T79" s="1" t="s">
        <v>74</v>
      </c>
      <c r="U79" s="1" t="s">
        <v>74</v>
      </c>
      <c r="V79" s="1" t="s">
        <v>836</v>
      </c>
      <c r="W79" s="1" t="s">
        <v>74</v>
      </c>
      <c r="X79" s="1" t="s">
        <v>74</v>
      </c>
      <c r="Y79" s="1" t="s">
        <v>74</v>
      </c>
      <c r="Z79" s="1" t="s">
        <v>74</v>
      </c>
      <c r="AA79" s="1" t="s">
        <v>837</v>
      </c>
      <c r="AB79" s="1" t="s">
        <v>490</v>
      </c>
      <c r="AC79" s="1" t="s">
        <v>74</v>
      </c>
      <c r="AD79" s="1" t="s">
        <v>74</v>
      </c>
      <c r="AE79" s="1" t="s">
        <v>74</v>
      </c>
      <c r="AF79" s="1" t="s">
        <v>74</v>
      </c>
      <c r="AG79" s="1" t="s">
        <v>74</v>
      </c>
      <c r="AH79" s="1" t="s">
        <v>74</v>
      </c>
      <c r="AI79" s="1" t="s">
        <v>74</v>
      </c>
      <c r="AJ79" s="1" t="s">
        <v>74</v>
      </c>
      <c r="AK79" s="1" t="s">
        <v>74</v>
      </c>
      <c r="AL79" s="1" t="s">
        <v>74</v>
      </c>
      <c r="AM79" s="1" t="s">
        <v>74</v>
      </c>
      <c r="AN79" s="1" t="s">
        <v>74</v>
      </c>
      <c r="AO79" s="1" t="s">
        <v>516</v>
      </c>
      <c r="AP79" s="1" t="s">
        <v>74</v>
      </c>
      <c r="AQ79" s="1" t="s">
        <v>74</v>
      </c>
      <c r="AR79" s="1" t="s">
        <v>74</v>
      </c>
      <c r="AS79" s="1" t="s">
        <v>74</v>
      </c>
      <c r="AT79" s="1" t="s">
        <v>74</v>
      </c>
      <c r="AU79" s="1">
        <v>1999.0</v>
      </c>
      <c r="AV79" s="1">
        <v>17.0</v>
      </c>
      <c r="AW79" s="1" t="s">
        <v>831</v>
      </c>
      <c r="AX79" s="1" t="s">
        <v>74</v>
      </c>
      <c r="AY79" s="1" t="s">
        <v>74</v>
      </c>
      <c r="AZ79" s="1" t="s">
        <v>74</v>
      </c>
      <c r="BA79" s="1" t="s">
        <v>74</v>
      </c>
      <c r="BB79" s="1">
        <v>809.0</v>
      </c>
      <c r="BC79" s="1">
        <v>823.0</v>
      </c>
      <c r="BD79" s="1" t="s">
        <v>74</v>
      </c>
      <c r="BE79" s="1" t="s">
        <v>838</v>
      </c>
      <c r="BF79" s="2" t="str">
        <f>HYPERLINK("http://dx.doi.org/10.1080/07373939908917571","http://dx.doi.org/10.1080/07373939908917571")</f>
        <v>http://dx.doi.org/10.1080/07373939908917571</v>
      </c>
      <c r="BG79" s="1" t="s">
        <v>74</v>
      </c>
      <c r="BH79" s="1" t="s">
        <v>74</v>
      </c>
      <c r="BI79" s="1" t="s">
        <v>74</v>
      </c>
      <c r="BJ79" s="1" t="s">
        <v>74</v>
      </c>
      <c r="BK79" s="1" t="s">
        <v>74</v>
      </c>
      <c r="BL79" s="1" t="s">
        <v>74</v>
      </c>
      <c r="BM79" s="1" t="s">
        <v>74</v>
      </c>
      <c r="BN79" s="1" t="s">
        <v>74</v>
      </c>
      <c r="BO79" s="1" t="s">
        <v>74</v>
      </c>
      <c r="BP79" s="1" t="s">
        <v>74</v>
      </c>
      <c r="BQ79" s="1" t="s">
        <v>74</v>
      </c>
      <c r="BR79" s="1" t="s">
        <v>74</v>
      </c>
      <c r="BS79" s="1" t="s">
        <v>839</v>
      </c>
      <c r="BT79" s="1" t="str">
        <f>HYPERLINK("https%3A%2F%2Fwww.webofscience.com%2Fwos%2Fwoscc%2Ffull-record%2FWOS:000080188000010","View Full Record in Web of Science")</f>
        <v>View Full Record in Web of Science</v>
      </c>
    </row>
    <row r="80" ht="12.75" customHeight="1">
      <c r="A80" s="1" t="s">
        <v>72</v>
      </c>
      <c r="B80" s="1" t="s">
        <v>840</v>
      </c>
      <c r="C80" s="1" t="s">
        <v>74</v>
      </c>
      <c r="D80" s="1" t="s">
        <v>74</v>
      </c>
      <c r="E80" s="1" t="s">
        <v>74</v>
      </c>
      <c r="F80" s="1" t="s">
        <v>840</v>
      </c>
      <c r="G80" s="1" t="s">
        <v>74</v>
      </c>
      <c r="H80" s="1" t="s">
        <v>74</v>
      </c>
      <c r="I80" s="1" t="s">
        <v>841</v>
      </c>
      <c r="J80" s="1" t="s">
        <v>842</v>
      </c>
      <c r="K80" s="1" t="s">
        <v>74</v>
      </c>
      <c r="L80" s="1" t="s">
        <v>74</v>
      </c>
      <c r="M80" s="1" t="s">
        <v>74</v>
      </c>
      <c r="N80" s="1" t="s">
        <v>74</v>
      </c>
      <c r="O80" s="1" t="s">
        <v>74</v>
      </c>
      <c r="P80" s="1" t="s">
        <v>74</v>
      </c>
      <c r="Q80" s="1" t="s">
        <v>74</v>
      </c>
      <c r="R80" s="1" t="s">
        <v>74</v>
      </c>
      <c r="S80" s="1" t="s">
        <v>74</v>
      </c>
      <c r="T80" s="1" t="s">
        <v>74</v>
      </c>
      <c r="U80" s="1" t="s">
        <v>74</v>
      </c>
      <c r="V80" s="1" t="s">
        <v>843</v>
      </c>
      <c r="W80" s="1" t="s">
        <v>74</v>
      </c>
      <c r="X80" s="1" t="s">
        <v>74</v>
      </c>
      <c r="Y80" s="1" t="s">
        <v>74</v>
      </c>
      <c r="Z80" s="1" t="s">
        <v>74</v>
      </c>
      <c r="AA80" s="1" t="s">
        <v>844</v>
      </c>
      <c r="AB80" s="1" t="s">
        <v>845</v>
      </c>
      <c r="AC80" s="1" t="s">
        <v>74</v>
      </c>
      <c r="AD80" s="1" t="s">
        <v>74</v>
      </c>
      <c r="AE80" s="1" t="s">
        <v>74</v>
      </c>
      <c r="AF80" s="1" t="s">
        <v>74</v>
      </c>
      <c r="AG80" s="1" t="s">
        <v>74</v>
      </c>
      <c r="AH80" s="1" t="s">
        <v>74</v>
      </c>
      <c r="AI80" s="1" t="s">
        <v>74</v>
      </c>
      <c r="AJ80" s="1" t="s">
        <v>74</v>
      </c>
      <c r="AK80" s="1" t="s">
        <v>74</v>
      </c>
      <c r="AL80" s="1" t="s">
        <v>74</v>
      </c>
      <c r="AM80" s="1" t="s">
        <v>74</v>
      </c>
      <c r="AN80" s="1" t="s">
        <v>74</v>
      </c>
      <c r="AO80" s="1" t="s">
        <v>846</v>
      </c>
      <c r="AP80" s="1" t="s">
        <v>74</v>
      </c>
      <c r="AQ80" s="1" t="s">
        <v>74</v>
      </c>
      <c r="AR80" s="1" t="s">
        <v>74</v>
      </c>
      <c r="AS80" s="1" t="s">
        <v>74</v>
      </c>
      <c r="AT80" s="1" t="s">
        <v>847</v>
      </c>
      <c r="AU80" s="1">
        <v>1998.0</v>
      </c>
      <c r="AV80" s="1">
        <v>221.0</v>
      </c>
      <c r="AW80" s="1">
        <v>2.0</v>
      </c>
      <c r="AX80" s="1" t="s">
        <v>74</v>
      </c>
      <c r="AY80" s="1" t="s">
        <v>74</v>
      </c>
      <c r="AZ80" s="1" t="s">
        <v>74</v>
      </c>
      <c r="BA80" s="1" t="s">
        <v>74</v>
      </c>
      <c r="BB80" s="1">
        <v>499.0</v>
      </c>
      <c r="BC80" s="1">
        <v>522.0</v>
      </c>
      <c r="BD80" s="1" t="s">
        <v>74</v>
      </c>
      <c r="BE80" s="1" t="s">
        <v>848</v>
      </c>
      <c r="BF80" s="2" t="str">
        <f>HYPERLINK("http://dx.doi.org/10.1006/jmaa.1997.5899","http://dx.doi.org/10.1006/jmaa.1997.5899")</f>
        <v>http://dx.doi.org/10.1006/jmaa.1997.5899</v>
      </c>
      <c r="BG80" s="1" t="s">
        <v>74</v>
      </c>
      <c r="BH80" s="1" t="s">
        <v>74</v>
      </c>
      <c r="BI80" s="1" t="s">
        <v>74</v>
      </c>
      <c r="BJ80" s="1" t="s">
        <v>74</v>
      </c>
      <c r="BK80" s="1" t="s">
        <v>74</v>
      </c>
      <c r="BL80" s="1" t="s">
        <v>74</v>
      </c>
      <c r="BM80" s="1" t="s">
        <v>74</v>
      </c>
      <c r="BN80" s="1" t="s">
        <v>74</v>
      </c>
      <c r="BO80" s="1" t="s">
        <v>74</v>
      </c>
      <c r="BP80" s="1" t="s">
        <v>74</v>
      </c>
      <c r="BQ80" s="1" t="s">
        <v>74</v>
      </c>
      <c r="BR80" s="1" t="s">
        <v>74</v>
      </c>
      <c r="BS80" s="1" t="s">
        <v>849</v>
      </c>
      <c r="BT80" s="1" t="str">
        <f>HYPERLINK("https%3A%2F%2Fwww.webofscience.com%2Fwos%2Fwoscc%2Ffull-record%2FWOS:000073589100006","View Full Record in Web of Science")</f>
        <v>View Full Record in Web of Science</v>
      </c>
    </row>
    <row r="81" ht="12.75" customHeight="1">
      <c r="A81" s="1" t="s">
        <v>126</v>
      </c>
      <c r="B81" s="1" t="s">
        <v>850</v>
      </c>
      <c r="C81" s="1" t="s">
        <v>74</v>
      </c>
      <c r="D81" s="1" t="s">
        <v>851</v>
      </c>
      <c r="E81" s="1" t="s">
        <v>74</v>
      </c>
      <c r="F81" s="1" t="s">
        <v>850</v>
      </c>
      <c r="G81" s="1" t="s">
        <v>74</v>
      </c>
      <c r="H81" s="1" t="s">
        <v>74</v>
      </c>
      <c r="I81" s="1" t="s">
        <v>852</v>
      </c>
      <c r="J81" s="1" t="s">
        <v>853</v>
      </c>
      <c r="K81" s="1" t="s">
        <v>74</v>
      </c>
      <c r="L81" s="1" t="s">
        <v>74</v>
      </c>
      <c r="M81" s="1" t="s">
        <v>74</v>
      </c>
      <c r="N81" s="1" t="s">
        <v>74</v>
      </c>
      <c r="O81" s="1" t="s">
        <v>854</v>
      </c>
      <c r="P81" s="1" t="s">
        <v>855</v>
      </c>
      <c r="Q81" s="1" t="s">
        <v>856</v>
      </c>
      <c r="R81" s="1" t="s">
        <v>857</v>
      </c>
      <c r="S81" s="1" t="s">
        <v>74</v>
      </c>
      <c r="T81" s="1" t="s">
        <v>74</v>
      </c>
      <c r="U81" s="1" t="s">
        <v>74</v>
      </c>
      <c r="V81" s="1" t="s">
        <v>858</v>
      </c>
      <c r="W81" s="1" t="s">
        <v>74</v>
      </c>
      <c r="X81" s="1" t="s">
        <v>74</v>
      </c>
      <c r="Y81" s="1" t="s">
        <v>74</v>
      </c>
      <c r="Z81" s="1" t="s">
        <v>74</v>
      </c>
      <c r="AA81" s="1" t="s">
        <v>859</v>
      </c>
      <c r="AB81" s="1" t="s">
        <v>74</v>
      </c>
      <c r="AC81" s="1" t="s">
        <v>74</v>
      </c>
      <c r="AD81" s="1" t="s">
        <v>74</v>
      </c>
      <c r="AE81" s="1" t="s">
        <v>74</v>
      </c>
      <c r="AF81" s="1" t="s">
        <v>74</v>
      </c>
      <c r="AG81" s="1" t="s">
        <v>74</v>
      </c>
      <c r="AH81" s="1" t="s">
        <v>74</v>
      </c>
      <c r="AI81" s="1" t="s">
        <v>74</v>
      </c>
      <c r="AJ81" s="1" t="s">
        <v>74</v>
      </c>
      <c r="AK81" s="1" t="s">
        <v>74</v>
      </c>
      <c r="AL81" s="1" t="s">
        <v>74</v>
      </c>
      <c r="AM81" s="1" t="s">
        <v>74</v>
      </c>
      <c r="AN81" s="1" t="s">
        <v>74</v>
      </c>
      <c r="AO81" s="1" t="s">
        <v>74</v>
      </c>
      <c r="AP81" s="1" t="s">
        <v>74</v>
      </c>
      <c r="AQ81" s="1" t="s">
        <v>860</v>
      </c>
      <c r="AR81" s="1" t="s">
        <v>74</v>
      </c>
      <c r="AS81" s="1" t="s">
        <v>74</v>
      </c>
      <c r="AT81" s="1" t="s">
        <v>74</v>
      </c>
      <c r="AU81" s="1">
        <v>1998.0</v>
      </c>
      <c r="AV81" s="1" t="s">
        <v>74</v>
      </c>
      <c r="AW81" s="1" t="s">
        <v>74</v>
      </c>
      <c r="AX81" s="1" t="s">
        <v>74</v>
      </c>
      <c r="AY81" s="1" t="s">
        <v>74</v>
      </c>
      <c r="AZ81" s="1" t="s">
        <v>74</v>
      </c>
      <c r="BA81" s="1" t="s">
        <v>74</v>
      </c>
      <c r="BB81" s="1">
        <v>1000.0</v>
      </c>
      <c r="BC81" s="1">
        <v>1003.0</v>
      </c>
      <c r="BD81" s="1" t="s">
        <v>74</v>
      </c>
      <c r="BE81" s="1" t="s">
        <v>74</v>
      </c>
      <c r="BF81" s="1" t="s">
        <v>74</v>
      </c>
      <c r="BG81" s="1" t="s">
        <v>74</v>
      </c>
      <c r="BH81" s="1" t="s">
        <v>74</v>
      </c>
      <c r="BI81" s="1" t="s">
        <v>74</v>
      </c>
      <c r="BJ81" s="1" t="s">
        <v>74</v>
      </c>
      <c r="BK81" s="1" t="s">
        <v>74</v>
      </c>
      <c r="BL81" s="1" t="s">
        <v>74</v>
      </c>
      <c r="BM81" s="1" t="s">
        <v>74</v>
      </c>
      <c r="BN81" s="1" t="s">
        <v>74</v>
      </c>
      <c r="BO81" s="1" t="s">
        <v>74</v>
      </c>
      <c r="BP81" s="1" t="s">
        <v>74</v>
      </c>
      <c r="BQ81" s="1" t="s">
        <v>74</v>
      </c>
      <c r="BR81" s="1" t="s">
        <v>74</v>
      </c>
      <c r="BS81" s="1" t="s">
        <v>861</v>
      </c>
      <c r="BT81" s="1" t="str">
        <f>HYPERLINK("https%3A%2F%2Fwww.webofscience.com%2Fwos%2Fwoscc%2Ffull-record%2FWOS:000085593600243","View Full Record in Web of Science")</f>
        <v>View Full Record in Web of Science</v>
      </c>
    </row>
    <row r="82" ht="12.75" customHeight="1">
      <c r="A82" s="1" t="s">
        <v>72</v>
      </c>
      <c r="B82" s="1" t="s">
        <v>862</v>
      </c>
      <c r="C82" s="1" t="s">
        <v>74</v>
      </c>
      <c r="D82" s="1" t="s">
        <v>74</v>
      </c>
      <c r="E82" s="1" t="s">
        <v>74</v>
      </c>
      <c r="F82" s="1" t="s">
        <v>862</v>
      </c>
      <c r="G82" s="1" t="s">
        <v>74</v>
      </c>
      <c r="H82" s="1" t="s">
        <v>74</v>
      </c>
      <c r="I82" s="1" t="s">
        <v>863</v>
      </c>
      <c r="J82" s="1" t="s">
        <v>864</v>
      </c>
      <c r="K82" s="1" t="s">
        <v>74</v>
      </c>
      <c r="L82" s="1" t="s">
        <v>74</v>
      </c>
      <c r="M82" s="1" t="s">
        <v>74</v>
      </c>
      <c r="N82" s="1" t="s">
        <v>74</v>
      </c>
      <c r="O82" s="1" t="s">
        <v>74</v>
      </c>
      <c r="P82" s="1" t="s">
        <v>74</v>
      </c>
      <c r="Q82" s="1" t="s">
        <v>74</v>
      </c>
      <c r="R82" s="1" t="s">
        <v>74</v>
      </c>
      <c r="S82" s="1" t="s">
        <v>74</v>
      </c>
      <c r="T82" s="1" t="s">
        <v>74</v>
      </c>
      <c r="U82" s="1" t="s">
        <v>74</v>
      </c>
      <c r="V82" s="1" t="s">
        <v>865</v>
      </c>
      <c r="W82" s="1" t="s">
        <v>74</v>
      </c>
      <c r="X82" s="1" t="s">
        <v>74</v>
      </c>
      <c r="Y82" s="1" t="s">
        <v>74</v>
      </c>
      <c r="Z82" s="1" t="s">
        <v>74</v>
      </c>
      <c r="AA82" s="1" t="s">
        <v>866</v>
      </c>
      <c r="AB82" s="1" t="s">
        <v>867</v>
      </c>
      <c r="AC82" s="1" t="s">
        <v>74</v>
      </c>
      <c r="AD82" s="1" t="s">
        <v>74</v>
      </c>
      <c r="AE82" s="1" t="s">
        <v>74</v>
      </c>
      <c r="AF82" s="1" t="s">
        <v>74</v>
      </c>
      <c r="AG82" s="1" t="s">
        <v>74</v>
      </c>
      <c r="AH82" s="1" t="s">
        <v>74</v>
      </c>
      <c r="AI82" s="1" t="s">
        <v>74</v>
      </c>
      <c r="AJ82" s="1" t="s">
        <v>74</v>
      </c>
      <c r="AK82" s="1" t="s">
        <v>74</v>
      </c>
      <c r="AL82" s="1" t="s">
        <v>74</v>
      </c>
      <c r="AM82" s="1" t="s">
        <v>74</v>
      </c>
      <c r="AN82" s="1" t="s">
        <v>74</v>
      </c>
      <c r="AO82" s="1" t="s">
        <v>868</v>
      </c>
      <c r="AP82" s="1" t="s">
        <v>74</v>
      </c>
      <c r="AQ82" s="1" t="s">
        <v>74</v>
      </c>
      <c r="AR82" s="1" t="s">
        <v>74</v>
      </c>
      <c r="AS82" s="1" t="s">
        <v>74</v>
      </c>
      <c r="AT82" s="1" t="s">
        <v>276</v>
      </c>
      <c r="AU82" s="1">
        <v>1997.0</v>
      </c>
      <c r="AV82" s="1">
        <v>56.0</v>
      </c>
      <c r="AW82" s="1">
        <v>4.0</v>
      </c>
      <c r="AX82" s="1" t="s">
        <v>74</v>
      </c>
      <c r="AY82" s="1" t="s">
        <v>74</v>
      </c>
      <c r="AZ82" s="1" t="s">
        <v>74</v>
      </c>
      <c r="BA82" s="1" t="s">
        <v>74</v>
      </c>
      <c r="BB82" s="1">
        <v>4736.0</v>
      </c>
      <c r="BC82" s="1">
        <v>4743.0</v>
      </c>
      <c r="BD82" s="1" t="s">
        <v>74</v>
      </c>
      <c r="BE82" s="1" t="s">
        <v>869</v>
      </c>
      <c r="BF82" s="2" t="str">
        <f>HYPERLINK("http://dx.doi.org/10.1103/PhysRevE.56.4736","http://dx.doi.org/10.1103/PhysRevE.56.4736")</f>
        <v>http://dx.doi.org/10.1103/PhysRevE.56.4736</v>
      </c>
      <c r="BG82" s="1" t="s">
        <v>74</v>
      </c>
      <c r="BH82" s="1" t="s">
        <v>74</v>
      </c>
      <c r="BI82" s="1" t="s">
        <v>74</v>
      </c>
      <c r="BJ82" s="1" t="s">
        <v>74</v>
      </c>
      <c r="BK82" s="1" t="s">
        <v>74</v>
      </c>
      <c r="BL82" s="1" t="s">
        <v>74</v>
      </c>
      <c r="BM82" s="1" t="s">
        <v>74</v>
      </c>
      <c r="BN82" s="1" t="s">
        <v>74</v>
      </c>
      <c r="BO82" s="1" t="s">
        <v>74</v>
      </c>
      <c r="BP82" s="1" t="s">
        <v>74</v>
      </c>
      <c r="BQ82" s="1" t="s">
        <v>74</v>
      </c>
      <c r="BR82" s="1" t="s">
        <v>74</v>
      </c>
      <c r="BS82" s="1" t="s">
        <v>870</v>
      </c>
      <c r="BT82" s="1" t="str">
        <f>HYPERLINK("https%3A%2F%2Fwww.webofscience.com%2Fwos%2Fwoscc%2Ffull-record%2FWOS:A1997YC32200121","View Full Record in Web of Science")</f>
        <v>View Full Record in Web of Science</v>
      </c>
    </row>
    <row r="83" ht="12.75" customHeight="1">
      <c r="A83" s="1" t="s">
        <v>72</v>
      </c>
      <c r="B83" s="1" t="s">
        <v>871</v>
      </c>
      <c r="C83" s="1" t="s">
        <v>74</v>
      </c>
      <c r="D83" s="1" t="s">
        <v>74</v>
      </c>
      <c r="E83" s="1" t="s">
        <v>74</v>
      </c>
      <c r="F83" s="1" t="s">
        <v>871</v>
      </c>
      <c r="G83" s="1" t="s">
        <v>74</v>
      </c>
      <c r="H83" s="1" t="s">
        <v>74</v>
      </c>
      <c r="I83" s="1" t="s">
        <v>872</v>
      </c>
      <c r="J83" s="1" t="s">
        <v>873</v>
      </c>
      <c r="K83" s="1" t="s">
        <v>74</v>
      </c>
      <c r="L83" s="1" t="s">
        <v>74</v>
      </c>
      <c r="M83" s="1" t="s">
        <v>74</v>
      </c>
      <c r="N83" s="1" t="s">
        <v>74</v>
      </c>
      <c r="O83" s="1" t="s">
        <v>74</v>
      </c>
      <c r="P83" s="1" t="s">
        <v>74</v>
      </c>
      <c r="Q83" s="1" t="s">
        <v>74</v>
      </c>
      <c r="R83" s="1" t="s">
        <v>74</v>
      </c>
      <c r="S83" s="1" t="s">
        <v>74</v>
      </c>
      <c r="T83" s="1" t="s">
        <v>74</v>
      </c>
      <c r="U83" s="1" t="s">
        <v>74</v>
      </c>
      <c r="V83" s="1" t="s">
        <v>874</v>
      </c>
      <c r="W83" s="1" t="s">
        <v>74</v>
      </c>
      <c r="X83" s="1" t="s">
        <v>74</v>
      </c>
      <c r="Y83" s="1" t="s">
        <v>74</v>
      </c>
      <c r="Z83" s="1" t="s">
        <v>74</v>
      </c>
      <c r="AA83" s="1" t="s">
        <v>700</v>
      </c>
      <c r="AB83" s="1" t="s">
        <v>701</v>
      </c>
      <c r="AC83" s="1" t="s">
        <v>74</v>
      </c>
      <c r="AD83" s="1" t="s">
        <v>74</v>
      </c>
      <c r="AE83" s="1" t="s">
        <v>74</v>
      </c>
      <c r="AF83" s="1" t="s">
        <v>74</v>
      </c>
      <c r="AG83" s="1" t="s">
        <v>74</v>
      </c>
      <c r="AH83" s="1" t="s">
        <v>74</v>
      </c>
      <c r="AI83" s="1" t="s">
        <v>74</v>
      </c>
      <c r="AJ83" s="1" t="s">
        <v>74</v>
      </c>
      <c r="AK83" s="1" t="s">
        <v>74</v>
      </c>
      <c r="AL83" s="1" t="s">
        <v>74</v>
      </c>
      <c r="AM83" s="1" t="s">
        <v>74</v>
      </c>
      <c r="AN83" s="1" t="s">
        <v>74</v>
      </c>
      <c r="AO83" s="1" t="s">
        <v>875</v>
      </c>
      <c r="AP83" s="1" t="s">
        <v>74</v>
      </c>
      <c r="AQ83" s="1" t="s">
        <v>74</v>
      </c>
      <c r="AR83" s="1" t="s">
        <v>74</v>
      </c>
      <c r="AS83" s="1" t="s">
        <v>74</v>
      </c>
      <c r="AT83" s="1" t="s">
        <v>276</v>
      </c>
      <c r="AU83" s="1">
        <v>1997.0</v>
      </c>
      <c r="AV83" s="1">
        <v>58.0</v>
      </c>
      <c r="AW83" s="1">
        <v>2.0</v>
      </c>
      <c r="AX83" s="1" t="s">
        <v>74</v>
      </c>
      <c r="AY83" s="1" t="s">
        <v>74</v>
      </c>
      <c r="AZ83" s="1" t="s">
        <v>74</v>
      </c>
      <c r="BA83" s="1" t="s">
        <v>74</v>
      </c>
      <c r="BB83" s="1">
        <v>85.0</v>
      </c>
      <c r="BC83" s="1">
        <v>88.0</v>
      </c>
      <c r="BD83" s="1" t="s">
        <v>74</v>
      </c>
      <c r="BE83" s="1" t="s">
        <v>876</v>
      </c>
      <c r="BF83" s="2" t="str">
        <f>HYPERLINK("http://dx.doi.org/10.1016/S0378-8741(97)00084-6","http://dx.doi.org/10.1016/S0378-8741(97)00084-6")</f>
        <v>http://dx.doi.org/10.1016/S0378-8741(97)00084-6</v>
      </c>
      <c r="BG83" s="1" t="s">
        <v>74</v>
      </c>
      <c r="BH83" s="1" t="s">
        <v>74</v>
      </c>
      <c r="BI83" s="1" t="s">
        <v>74</v>
      </c>
      <c r="BJ83" s="1" t="s">
        <v>74</v>
      </c>
      <c r="BK83" s="1" t="s">
        <v>74</v>
      </c>
      <c r="BL83" s="1" t="s">
        <v>74</v>
      </c>
      <c r="BM83" s="1" t="s">
        <v>74</v>
      </c>
      <c r="BN83" s="1">
        <v>9406895.0</v>
      </c>
      <c r="BO83" s="1" t="s">
        <v>74</v>
      </c>
      <c r="BP83" s="1" t="s">
        <v>74</v>
      </c>
      <c r="BQ83" s="1" t="s">
        <v>74</v>
      </c>
      <c r="BR83" s="1" t="s">
        <v>74</v>
      </c>
      <c r="BS83" s="1" t="s">
        <v>877</v>
      </c>
      <c r="BT83" s="1" t="str">
        <f>HYPERLINK("https%3A%2F%2Fwww.webofscience.com%2Fwos%2Fwoscc%2Ffull-record%2FWOS:A1997YF75700002","View Full Record in Web of Science")</f>
        <v>View Full Record in Web of Science</v>
      </c>
    </row>
    <row r="84" ht="12.75" customHeight="1">
      <c r="A84" s="1" t="s">
        <v>72</v>
      </c>
      <c r="B84" s="1" t="s">
        <v>878</v>
      </c>
      <c r="C84" s="1" t="s">
        <v>74</v>
      </c>
      <c r="D84" s="1" t="s">
        <v>74</v>
      </c>
      <c r="E84" s="1" t="s">
        <v>74</v>
      </c>
      <c r="F84" s="1" t="s">
        <v>878</v>
      </c>
      <c r="G84" s="1" t="s">
        <v>74</v>
      </c>
      <c r="H84" s="1" t="s">
        <v>74</v>
      </c>
      <c r="I84" s="1" t="s">
        <v>879</v>
      </c>
      <c r="J84" s="1" t="s">
        <v>880</v>
      </c>
      <c r="K84" s="1" t="s">
        <v>74</v>
      </c>
      <c r="L84" s="1" t="s">
        <v>74</v>
      </c>
      <c r="M84" s="1" t="s">
        <v>74</v>
      </c>
      <c r="N84" s="1" t="s">
        <v>74</v>
      </c>
      <c r="O84" s="1" t="s">
        <v>74</v>
      </c>
      <c r="P84" s="1" t="s">
        <v>74</v>
      </c>
      <c r="Q84" s="1" t="s">
        <v>74</v>
      </c>
      <c r="R84" s="1" t="s">
        <v>74</v>
      </c>
      <c r="S84" s="1" t="s">
        <v>74</v>
      </c>
      <c r="T84" s="1" t="s">
        <v>74</v>
      </c>
      <c r="U84" s="1" t="s">
        <v>74</v>
      </c>
      <c r="V84" s="1" t="s">
        <v>74</v>
      </c>
      <c r="W84" s="1" t="s">
        <v>74</v>
      </c>
      <c r="X84" s="1" t="s">
        <v>74</v>
      </c>
      <c r="Y84" s="1" t="s">
        <v>74</v>
      </c>
      <c r="Z84" s="1" t="s">
        <v>74</v>
      </c>
      <c r="AA84" s="1" t="s">
        <v>74</v>
      </c>
      <c r="AB84" s="1" t="s">
        <v>701</v>
      </c>
      <c r="AC84" s="1" t="s">
        <v>74</v>
      </c>
      <c r="AD84" s="1" t="s">
        <v>74</v>
      </c>
      <c r="AE84" s="1" t="s">
        <v>74</v>
      </c>
      <c r="AF84" s="1" t="s">
        <v>74</v>
      </c>
      <c r="AG84" s="1" t="s">
        <v>74</v>
      </c>
      <c r="AH84" s="1" t="s">
        <v>74</v>
      </c>
      <c r="AI84" s="1" t="s">
        <v>74</v>
      </c>
      <c r="AJ84" s="1" t="s">
        <v>74</v>
      </c>
      <c r="AK84" s="1" t="s">
        <v>74</v>
      </c>
      <c r="AL84" s="1" t="s">
        <v>74</v>
      </c>
      <c r="AM84" s="1" t="s">
        <v>74</v>
      </c>
      <c r="AN84" s="1" t="s">
        <v>74</v>
      </c>
      <c r="AO84" s="1" t="s">
        <v>881</v>
      </c>
      <c r="AP84" s="1" t="s">
        <v>74</v>
      </c>
      <c r="AQ84" s="1" t="s">
        <v>74</v>
      </c>
      <c r="AR84" s="1" t="s">
        <v>74</v>
      </c>
      <c r="AS84" s="1" t="s">
        <v>74</v>
      </c>
      <c r="AT84" s="1" t="s">
        <v>276</v>
      </c>
      <c r="AU84" s="1">
        <v>1997.0</v>
      </c>
      <c r="AV84" s="1">
        <v>25.0</v>
      </c>
      <c r="AW84" s="1">
        <v>7.0</v>
      </c>
      <c r="AX84" s="1" t="s">
        <v>74</v>
      </c>
      <c r="AY84" s="1" t="s">
        <v>74</v>
      </c>
      <c r="AZ84" s="1" t="s">
        <v>74</v>
      </c>
      <c r="BA84" s="1" t="s">
        <v>74</v>
      </c>
      <c r="BB84" s="1">
        <v>683.0</v>
      </c>
      <c r="BC84" s="1">
        <v>684.0</v>
      </c>
      <c r="BD84" s="1" t="s">
        <v>74</v>
      </c>
      <c r="BE84" s="1" t="s">
        <v>882</v>
      </c>
      <c r="BF84" s="2" t="str">
        <f>HYPERLINK("http://dx.doi.org/10.1016/S0305-1978(97)00071-9","http://dx.doi.org/10.1016/S0305-1978(97)00071-9")</f>
        <v>http://dx.doi.org/10.1016/S0305-1978(97)00071-9</v>
      </c>
      <c r="BG84" s="1" t="s">
        <v>74</v>
      </c>
      <c r="BH84" s="1" t="s">
        <v>74</v>
      </c>
      <c r="BI84" s="1" t="s">
        <v>74</v>
      </c>
      <c r="BJ84" s="1" t="s">
        <v>74</v>
      </c>
      <c r="BK84" s="1" t="s">
        <v>74</v>
      </c>
      <c r="BL84" s="1" t="s">
        <v>74</v>
      </c>
      <c r="BM84" s="1" t="s">
        <v>74</v>
      </c>
      <c r="BN84" s="1" t="s">
        <v>74</v>
      </c>
      <c r="BO84" s="1" t="s">
        <v>74</v>
      </c>
      <c r="BP84" s="1" t="s">
        <v>74</v>
      </c>
      <c r="BQ84" s="1" t="s">
        <v>74</v>
      </c>
      <c r="BR84" s="1" t="s">
        <v>74</v>
      </c>
      <c r="BS84" s="1" t="s">
        <v>883</v>
      </c>
      <c r="BT84" s="1" t="str">
        <f>HYPERLINK("https%3A%2F%2Fwww.webofscience.com%2Fwos%2Fwoscc%2Ffull-record%2FWOS:A1997YF32500015","View Full Record in Web of Science")</f>
        <v>View Full Record in Web of Science</v>
      </c>
    </row>
    <row r="85" ht="12.75" customHeight="1">
      <c r="A85" s="1" t="s">
        <v>72</v>
      </c>
      <c r="B85" s="1" t="s">
        <v>884</v>
      </c>
      <c r="C85" s="1" t="s">
        <v>74</v>
      </c>
      <c r="D85" s="1" t="s">
        <v>74</v>
      </c>
      <c r="E85" s="1" t="s">
        <v>74</v>
      </c>
      <c r="F85" s="1" t="s">
        <v>884</v>
      </c>
      <c r="G85" s="1" t="s">
        <v>74</v>
      </c>
      <c r="H85" s="1" t="s">
        <v>74</v>
      </c>
      <c r="I85" s="1" t="s">
        <v>885</v>
      </c>
      <c r="J85" s="1" t="s">
        <v>748</v>
      </c>
      <c r="K85" s="1" t="s">
        <v>74</v>
      </c>
      <c r="L85" s="1" t="s">
        <v>74</v>
      </c>
      <c r="M85" s="1" t="s">
        <v>74</v>
      </c>
      <c r="N85" s="1" t="s">
        <v>74</v>
      </c>
      <c r="O85" s="1" t="s">
        <v>74</v>
      </c>
      <c r="P85" s="1" t="s">
        <v>74</v>
      </c>
      <c r="Q85" s="1" t="s">
        <v>74</v>
      </c>
      <c r="R85" s="1" t="s">
        <v>74</v>
      </c>
      <c r="S85" s="1" t="s">
        <v>74</v>
      </c>
      <c r="T85" s="1" t="s">
        <v>74</v>
      </c>
      <c r="U85" s="1" t="s">
        <v>74</v>
      </c>
      <c r="V85" s="1" t="s">
        <v>886</v>
      </c>
      <c r="W85" s="1" t="s">
        <v>74</v>
      </c>
      <c r="X85" s="1" t="s">
        <v>74</v>
      </c>
      <c r="Y85" s="1" t="s">
        <v>74</v>
      </c>
      <c r="Z85" s="1" t="s">
        <v>74</v>
      </c>
      <c r="AA85" s="1" t="s">
        <v>74</v>
      </c>
      <c r="AB85" s="1" t="s">
        <v>74</v>
      </c>
      <c r="AC85" s="1" t="s">
        <v>74</v>
      </c>
      <c r="AD85" s="1" t="s">
        <v>74</v>
      </c>
      <c r="AE85" s="1" t="s">
        <v>74</v>
      </c>
      <c r="AF85" s="1" t="s">
        <v>74</v>
      </c>
      <c r="AG85" s="1" t="s">
        <v>74</v>
      </c>
      <c r="AH85" s="1" t="s">
        <v>74</v>
      </c>
      <c r="AI85" s="1" t="s">
        <v>74</v>
      </c>
      <c r="AJ85" s="1" t="s">
        <v>74</v>
      </c>
      <c r="AK85" s="1" t="s">
        <v>74</v>
      </c>
      <c r="AL85" s="1" t="s">
        <v>74</v>
      </c>
      <c r="AM85" s="1" t="s">
        <v>74</v>
      </c>
      <c r="AN85" s="1" t="s">
        <v>74</v>
      </c>
      <c r="AO85" s="1" t="s">
        <v>750</v>
      </c>
      <c r="AP85" s="1" t="s">
        <v>74</v>
      </c>
      <c r="AQ85" s="1" t="s">
        <v>74</v>
      </c>
      <c r="AR85" s="1" t="s">
        <v>74</v>
      </c>
      <c r="AS85" s="1" t="s">
        <v>74</v>
      </c>
      <c r="AT85" s="1" t="s">
        <v>158</v>
      </c>
      <c r="AU85" s="1">
        <v>1997.0</v>
      </c>
      <c r="AV85" s="1">
        <v>42.0</v>
      </c>
      <c r="AW85" s="1">
        <v>3.0</v>
      </c>
      <c r="AX85" s="1" t="s">
        <v>74</v>
      </c>
      <c r="AY85" s="1" t="s">
        <v>74</v>
      </c>
      <c r="AZ85" s="1" t="s">
        <v>74</v>
      </c>
      <c r="BA85" s="1" t="s">
        <v>74</v>
      </c>
      <c r="BB85" s="1">
        <v>333.0</v>
      </c>
      <c r="BC85" s="1">
        <v>340.0</v>
      </c>
      <c r="BD85" s="1" t="s">
        <v>74</v>
      </c>
      <c r="BE85" s="1" t="s">
        <v>74</v>
      </c>
      <c r="BF85" s="1" t="s">
        <v>74</v>
      </c>
      <c r="BG85" s="1" t="s">
        <v>74</v>
      </c>
      <c r="BH85" s="1" t="s">
        <v>74</v>
      </c>
      <c r="BI85" s="1" t="s">
        <v>74</v>
      </c>
      <c r="BJ85" s="1" t="s">
        <v>74</v>
      </c>
      <c r="BK85" s="1" t="s">
        <v>74</v>
      </c>
      <c r="BL85" s="1" t="s">
        <v>74</v>
      </c>
      <c r="BM85" s="1" t="s">
        <v>74</v>
      </c>
      <c r="BN85" s="1" t="s">
        <v>74</v>
      </c>
      <c r="BO85" s="1" t="s">
        <v>74</v>
      </c>
      <c r="BP85" s="1" t="s">
        <v>74</v>
      </c>
      <c r="BQ85" s="1" t="s">
        <v>74</v>
      </c>
      <c r="BR85" s="1" t="s">
        <v>74</v>
      </c>
      <c r="BS85" s="1" t="s">
        <v>887</v>
      </c>
      <c r="BT85" s="1" t="str">
        <f>HYPERLINK("https%3A%2F%2Fwww.webofscience.com%2Fwos%2Fwoscc%2Ffull-record%2FWOS:A1997YA06800006","View Full Record in Web of Science")</f>
        <v>View Full Record in Web of Science</v>
      </c>
    </row>
    <row r="86" ht="12.75" customHeight="1">
      <c r="A86" s="1" t="s">
        <v>126</v>
      </c>
      <c r="B86" s="1" t="s">
        <v>888</v>
      </c>
      <c r="C86" s="1" t="s">
        <v>74</v>
      </c>
      <c r="D86" s="1" t="s">
        <v>889</v>
      </c>
      <c r="E86" s="1" t="s">
        <v>74</v>
      </c>
      <c r="F86" s="1" t="s">
        <v>888</v>
      </c>
      <c r="G86" s="1" t="s">
        <v>74</v>
      </c>
      <c r="H86" s="1" t="s">
        <v>74</v>
      </c>
      <c r="I86" s="1" t="s">
        <v>890</v>
      </c>
      <c r="J86" s="1" t="s">
        <v>891</v>
      </c>
      <c r="K86" s="1" t="s">
        <v>74</v>
      </c>
      <c r="L86" s="1" t="s">
        <v>74</v>
      </c>
      <c r="M86" s="1" t="s">
        <v>74</v>
      </c>
      <c r="N86" s="1" t="s">
        <v>74</v>
      </c>
      <c r="O86" s="1" t="s">
        <v>892</v>
      </c>
      <c r="P86" s="1" t="s">
        <v>893</v>
      </c>
      <c r="Q86" s="1" t="s">
        <v>894</v>
      </c>
      <c r="R86" s="1" t="s">
        <v>74</v>
      </c>
      <c r="S86" s="1" t="s">
        <v>74</v>
      </c>
      <c r="T86" s="1" t="s">
        <v>74</v>
      </c>
      <c r="U86" s="1" t="s">
        <v>74</v>
      </c>
      <c r="V86" s="1" t="s">
        <v>895</v>
      </c>
      <c r="W86" s="1" t="s">
        <v>74</v>
      </c>
      <c r="X86" s="1" t="s">
        <v>74</v>
      </c>
      <c r="Y86" s="1" t="s">
        <v>74</v>
      </c>
      <c r="Z86" s="1" t="s">
        <v>74</v>
      </c>
      <c r="AA86" s="1" t="s">
        <v>74</v>
      </c>
      <c r="AB86" s="1" t="s">
        <v>74</v>
      </c>
      <c r="AC86" s="1" t="s">
        <v>74</v>
      </c>
      <c r="AD86" s="1" t="s">
        <v>74</v>
      </c>
      <c r="AE86" s="1" t="s">
        <v>74</v>
      </c>
      <c r="AF86" s="1" t="s">
        <v>74</v>
      </c>
      <c r="AG86" s="1" t="s">
        <v>74</v>
      </c>
      <c r="AH86" s="1" t="s">
        <v>74</v>
      </c>
      <c r="AI86" s="1" t="s">
        <v>74</v>
      </c>
      <c r="AJ86" s="1" t="s">
        <v>74</v>
      </c>
      <c r="AK86" s="1" t="s">
        <v>74</v>
      </c>
      <c r="AL86" s="1" t="s">
        <v>74</v>
      </c>
      <c r="AM86" s="1" t="s">
        <v>74</v>
      </c>
      <c r="AN86" s="1" t="s">
        <v>74</v>
      </c>
      <c r="AO86" s="1" t="s">
        <v>74</v>
      </c>
      <c r="AP86" s="1" t="s">
        <v>74</v>
      </c>
      <c r="AQ86" s="1" t="s">
        <v>74</v>
      </c>
      <c r="AR86" s="1" t="s">
        <v>74</v>
      </c>
      <c r="AS86" s="1" t="s">
        <v>74</v>
      </c>
      <c r="AT86" s="1" t="s">
        <v>74</v>
      </c>
      <c r="AU86" s="1">
        <v>1995.0</v>
      </c>
      <c r="AV86" s="1" t="s">
        <v>74</v>
      </c>
      <c r="AW86" s="1" t="s">
        <v>74</v>
      </c>
      <c r="AX86" s="1" t="s">
        <v>74</v>
      </c>
      <c r="AY86" s="1" t="s">
        <v>74</v>
      </c>
      <c r="AZ86" s="1" t="s">
        <v>74</v>
      </c>
      <c r="BA86" s="1" t="s">
        <v>74</v>
      </c>
      <c r="BB86" s="1">
        <v>299.0</v>
      </c>
      <c r="BC86" s="1">
        <v>315.0</v>
      </c>
      <c r="BD86" s="1" t="s">
        <v>74</v>
      </c>
      <c r="BE86" s="1" t="s">
        <v>74</v>
      </c>
      <c r="BF86" s="1" t="s">
        <v>74</v>
      </c>
      <c r="BG86" s="1" t="s">
        <v>74</v>
      </c>
      <c r="BH86" s="1" t="s">
        <v>74</v>
      </c>
      <c r="BI86" s="1" t="s">
        <v>74</v>
      </c>
      <c r="BJ86" s="1" t="s">
        <v>74</v>
      </c>
      <c r="BK86" s="1" t="s">
        <v>74</v>
      </c>
      <c r="BL86" s="1" t="s">
        <v>74</v>
      </c>
      <c r="BM86" s="1" t="s">
        <v>74</v>
      </c>
      <c r="BN86" s="1" t="s">
        <v>74</v>
      </c>
      <c r="BO86" s="1" t="s">
        <v>74</v>
      </c>
      <c r="BP86" s="1" t="s">
        <v>74</v>
      </c>
      <c r="BQ86" s="1" t="s">
        <v>74</v>
      </c>
      <c r="BR86" s="1" t="s">
        <v>74</v>
      </c>
      <c r="BS86" s="1" t="s">
        <v>896</v>
      </c>
      <c r="BT86" s="1" t="str">
        <f>HYPERLINK("https%3A%2F%2Fwww.webofscience.com%2Fwos%2Fwoscc%2Ffull-record%2FWOS:A1995BH62G00022","View Full Record in Web of Science")</f>
        <v>View Full Record in Web of Science</v>
      </c>
    </row>
    <row r="87" ht="12.75" customHeight="1">
      <c r="A87" s="1" t="s">
        <v>126</v>
      </c>
      <c r="B87" s="1" t="s">
        <v>897</v>
      </c>
      <c r="C87" s="1" t="s">
        <v>74</v>
      </c>
      <c r="D87" s="1" t="s">
        <v>898</v>
      </c>
      <c r="E87" s="1" t="s">
        <v>74</v>
      </c>
      <c r="F87" s="1" t="s">
        <v>897</v>
      </c>
      <c r="G87" s="1" t="s">
        <v>74</v>
      </c>
      <c r="H87" s="1" t="s">
        <v>74</v>
      </c>
      <c r="I87" s="1" t="s">
        <v>899</v>
      </c>
      <c r="J87" s="1" t="s">
        <v>900</v>
      </c>
      <c r="K87" s="1" t="s">
        <v>901</v>
      </c>
      <c r="L87" s="1" t="s">
        <v>74</v>
      </c>
      <c r="M87" s="1" t="s">
        <v>74</v>
      </c>
      <c r="N87" s="1" t="s">
        <v>74</v>
      </c>
      <c r="O87" s="1" t="s">
        <v>902</v>
      </c>
      <c r="P87" s="1">
        <v>1994.0</v>
      </c>
      <c r="Q87" s="1" t="s">
        <v>903</v>
      </c>
      <c r="R87" s="1" t="s">
        <v>904</v>
      </c>
      <c r="S87" s="1" t="s">
        <v>74</v>
      </c>
      <c r="T87" s="1" t="s">
        <v>74</v>
      </c>
      <c r="U87" s="1" t="s">
        <v>74</v>
      </c>
      <c r="V87" s="1" t="s">
        <v>74</v>
      </c>
      <c r="W87" s="1" t="s">
        <v>74</v>
      </c>
      <c r="X87" s="1" t="s">
        <v>74</v>
      </c>
      <c r="Y87" s="1" t="s">
        <v>74</v>
      </c>
      <c r="Z87" s="1" t="s">
        <v>74</v>
      </c>
      <c r="AA87" s="1" t="s">
        <v>74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905</v>
      </c>
      <c r="AP87" s="1" t="s">
        <v>74</v>
      </c>
      <c r="AQ87" s="1" t="s">
        <v>74</v>
      </c>
      <c r="AR87" s="1" t="s">
        <v>74</v>
      </c>
      <c r="AS87" s="1" t="s">
        <v>74</v>
      </c>
      <c r="AT87" s="1" t="s">
        <v>74</v>
      </c>
      <c r="AU87" s="1">
        <v>1995.0</v>
      </c>
      <c r="AV87" s="1">
        <v>6.0</v>
      </c>
      <c r="AW87" s="1" t="s">
        <v>74</v>
      </c>
      <c r="AX87" s="1" t="s">
        <v>74</v>
      </c>
      <c r="AY87" s="1" t="s">
        <v>74</v>
      </c>
      <c r="AZ87" s="1" t="s">
        <v>74</v>
      </c>
      <c r="BA87" s="1" t="s">
        <v>74</v>
      </c>
      <c r="BB87" s="1">
        <v>614.0</v>
      </c>
      <c r="BC87" s="1">
        <v>618.0</v>
      </c>
      <c r="BD87" s="1" t="s">
        <v>74</v>
      </c>
      <c r="BE87" s="1" t="s">
        <v>74</v>
      </c>
      <c r="BF87" s="1" t="s">
        <v>74</v>
      </c>
      <c r="BG87" s="1" t="s">
        <v>74</v>
      </c>
      <c r="BH87" s="1" t="s">
        <v>74</v>
      </c>
      <c r="BI87" s="1" t="s">
        <v>74</v>
      </c>
      <c r="BJ87" s="1" t="s">
        <v>74</v>
      </c>
      <c r="BK87" s="1" t="s">
        <v>74</v>
      </c>
      <c r="BL87" s="1" t="s">
        <v>74</v>
      </c>
      <c r="BM87" s="1" t="s">
        <v>74</v>
      </c>
      <c r="BN87" s="1" t="s">
        <v>74</v>
      </c>
      <c r="BO87" s="1" t="s">
        <v>74</v>
      </c>
      <c r="BP87" s="1" t="s">
        <v>74</v>
      </c>
      <c r="BQ87" s="1" t="s">
        <v>74</v>
      </c>
      <c r="BR87" s="1" t="s">
        <v>74</v>
      </c>
      <c r="BS87" s="1" t="s">
        <v>906</v>
      </c>
      <c r="BT87" s="1" t="str">
        <f>HYPERLINK("https%3A%2F%2Fwww.webofscience.com%2Fwos%2Fwoscc%2Ffull-record%2FWOS:A1995BD51C00110","View Full Record in Web of Science")</f>
        <v>View Full Record in Web of Science</v>
      </c>
    </row>
    <row r="88" ht="12.75" customHeight="1">
      <c r="A88" s="1" t="s">
        <v>72</v>
      </c>
      <c r="B88" s="1" t="s">
        <v>907</v>
      </c>
      <c r="C88" s="1" t="s">
        <v>74</v>
      </c>
      <c r="D88" s="1" t="s">
        <v>74</v>
      </c>
      <c r="E88" s="1" t="s">
        <v>74</v>
      </c>
      <c r="F88" s="1" t="s">
        <v>907</v>
      </c>
      <c r="G88" s="1" t="s">
        <v>74</v>
      </c>
      <c r="H88" s="1" t="s">
        <v>74</v>
      </c>
      <c r="I88" s="1" t="s">
        <v>908</v>
      </c>
      <c r="J88" s="1" t="s">
        <v>748</v>
      </c>
      <c r="K88" s="1" t="s">
        <v>74</v>
      </c>
      <c r="L88" s="1" t="s">
        <v>74</v>
      </c>
      <c r="M88" s="1" t="s">
        <v>74</v>
      </c>
      <c r="N88" s="1" t="s">
        <v>74</v>
      </c>
      <c r="O88" s="1" t="s">
        <v>74</v>
      </c>
      <c r="P88" s="1" t="s">
        <v>74</v>
      </c>
      <c r="Q88" s="1" t="s">
        <v>74</v>
      </c>
      <c r="R88" s="1" t="s">
        <v>74</v>
      </c>
      <c r="S88" s="1" t="s">
        <v>74</v>
      </c>
      <c r="T88" s="1" t="s">
        <v>74</v>
      </c>
      <c r="U88" s="1" t="s">
        <v>74</v>
      </c>
      <c r="V88" s="1" t="s">
        <v>909</v>
      </c>
      <c r="W88" s="1" t="s">
        <v>74</v>
      </c>
      <c r="X88" s="1" t="s">
        <v>74</v>
      </c>
      <c r="Y88" s="1" t="s">
        <v>74</v>
      </c>
      <c r="Z88" s="1" t="s">
        <v>74</v>
      </c>
      <c r="AA88" s="1" t="s">
        <v>74</v>
      </c>
      <c r="AB88" s="1" t="s">
        <v>74</v>
      </c>
      <c r="AC88" s="1" t="s">
        <v>74</v>
      </c>
      <c r="AD88" s="1" t="s">
        <v>74</v>
      </c>
      <c r="AE88" s="1" t="s">
        <v>74</v>
      </c>
      <c r="AF88" s="1" t="s">
        <v>74</v>
      </c>
      <c r="AG88" s="1" t="s">
        <v>74</v>
      </c>
      <c r="AH88" s="1" t="s">
        <v>74</v>
      </c>
      <c r="AI88" s="1" t="s">
        <v>74</v>
      </c>
      <c r="AJ88" s="1" t="s">
        <v>74</v>
      </c>
      <c r="AK88" s="1" t="s">
        <v>74</v>
      </c>
      <c r="AL88" s="1" t="s">
        <v>74</v>
      </c>
      <c r="AM88" s="1" t="s">
        <v>74</v>
      </c>
      <c r="AN88" s="1" t="s">
        <v>74</v>
      </c>
      <c r="AO88" s="1" t="s">
        <v>750</v>
      </c>
      <c r="AP88" s="1" t="s">
        <v>74</v>
      </c>
      <c r="AQ88" s="1" t="s">
        <v>74</v>
      </c>
      <c r="AR88" s="1" t="s">
        <v>74</v>
      </c>
      <c r="AS88" s="1" t="s">
        <v>74</v>
      </c>
      <c r="AT88" s="1" t="s">
        <v>82</v>
      </c>
      <c r="AU88" s="1">
        <v>1993.0</v>
      </c>
      <c r="AV88" s="1">
        <v>38.0</v>
      </c>
      <c r="AW88" s="1">
        <v>4.0</v>
      </c>
      <c r="AX88" s="1" t="s">
        <v>74</v>
      </c>
      <c r="AY88" s="1" t="s">
        <v>74</v>
      </c>
      <c r="AZ88" s="1" t="s">
        <v>74</v>
      </c>
      <c r="BA88" s="1" t="s">
        <v>74</v>
      </c>
      <c r="BB88" s="1">
        <v>283.0</v>
      </c>
      <c r="BC88" s="1">
        <v>294.0</v>
      </c>
      <c r="BD88" s="1" t="s">
        <v>74</v>
      </c>
      <c r="BE88" s="1" t="s">
        <v>74</v>
      </c>
      <c r="BF88" s="1" t="s">
        <v>74</v>
      </c>
      <c r="BG88" s="1" t="s">
        <v>74</v>
      </c>
      <c r="BH88" s="1" t="s">
        <v>74</v>
      </c>
      <c r="BI88" s="1" t="s">
        <v>74</v>
      </c>
      <c r="BJ88" s="1" t="s">
        <v>74</v>
      </c>
      <c r="BK88" s="1" t="s">
        <v>74</v>
      </c>
      <c r="BL88" s="1" t="s">
        <v>74</v>
      </c>
      <c r="BM88" s="1" t="s">
        <v>74</v>
      </c>
      <c r="BN88" s="1" t="s">
        <v>74</v>
      </c>
      <c r="BO88" s="1" t="s">
        <v>74</v>
      </c>
      <c r="BP88" s="1" t="s">
        <v>74</v>
      </c>
      <c r="BQ88" s="1" t="s">
        <v>74</v>
      </c>
      <c r="BR88" s="1" t="s">
        <v>74</v>
      </c>
      <c r="BS88" s="1" t="s">
        <v>910</v>
      </c>
      <c r="BT88" s="1" t="str">
        <f>HYPERLINK("https%3A%2F%2Fwww.webofscience.com%2Fwos%2Fwoscc%2Ffull-record%2FWOS:A1993MQ92900005","View Full Record in Web of Science")</f>
        <v>View Full Record in Web of Science</v>
      </c>
    </row>
    <row r="89" ht="12.75" customHeight="1">
      <c r="A89" s="1" t="s">
        <v>72</v>
      </c>
      <c r="B89" s="1" t="s">
        <v>911</v>
      </c>
      <c r="C89" s="1" t="s">
        <v>74</v>
      </c>
      <c r="D89" s="1" t="s">
        <v>74</v>
      </c>
      <c r="E89" s="1" t="s">
        <v>74</v>
      </c>
      <c r="F89" s="1" t="s">
        <v>911</v>
      </c>
      <c r="G89" s="1" t="s">
        <v>74</v>
      </c>
      <c r="H89" s="1" t="s">
        <v>74</v>
      </c>
      <c r="I89" s="1" t="s">
        <v>912</v>
      </c>
      <c r="J89" s="1" t="s">
        <v>748</v>
      </c>
      <c r="K89" s="1" t="s">
        <v>74</v>
      </c>
      <c r="L89" s="1" t="s">
        <v>74</v>
      </c>
      <c r="M89" s="1" t="s">
        <v>74</v>
      </c>
      <c r="N89" s="1" t="s">
        <v>74</v>
      </c>
      <c r="O89" s="1" t="s">
        <v>74</v>
      </c>
      <c r="P89" s="1" t="s">
        <v>74</v>
      </c>
      <c r="Q89" s="1" t="s">
        <v>74</v>
      </c>
      <c r="R89" s="1" t="s">
        <v>74</v>
      </c>
      <c r="S89" s="1" t="s">
        <v>74</v>
      </c>
      <c r="T89" s="1" t="s">
        <v>74</v>
      </c>
      <c r="U89" s="1" t="s">
        <v>74</v>
      </c>
      <c r="V89" s="1" t="s">
        <v>913</v>
      </c>
      <c r="W89" s="1" t="s">
        <v>74</v>
      </c>
      <c r="X89" s="1" t="s">
        <v>74</v>
      </c>
      <c r="Y89" s="1" t="s">
        <v>74</v>
      </c>
      <c r="Z89" s="1" t="s">
        <v>74</v>
      </c>
      <c r="AA89" s="1" t="s">
        <v>74</v>
      </c>
      <c r="AB89" s="1" t="s">
        <v>74</v>
      </c>
      <c r="AC89" s="1" t="s">
        <v>74</v>
      </c>
      <c r="AD89" s="1" t="s">
        <v>74</v>
      </c>
      <c r="AE89" s="1" t="s">
        <v>74</v>
      </c>
      <c r="AF89" s="1" t="s">
        <v>74</v>
      </c>
      <c r="AG89" s="1" t="s">
        <v>74</v>
      </c>
      <c r="AH89" s="1" t="s">
        <v>74</v>
      </c>
      <c r="AI89" s="1" t="s">
        <v>74</v>
      </c>
      <c r="AJ89" s="1" t="s">
        <v>74</v>
      </c>
      <c r="AK89" s="1" t="s">
        <v>74</v>
      </c>
      <c r="AL89" s="1" t="s">
        <v>74</v>
      </c>
      <c r="AM89" s="1" t="s">
        <v>74</v>
      </c>
      <c r="AN89" s="1" t="s">
        <v>74</v>
      </c>
      <c r="AO89" s="1" t="s">
        <v>750</v>
      </c>
      <c r="AP89" s="1" t="s">
        <v>74</v>
      </c>
      <c r="AQ89" s="1" t="s">
        <v>74</v>
      </c>
      <c r="AR89" s="1" t="s">
        <v>74</v>
      </c>
      <c r="AS89" s="1" t="s">
        <v>74</v>
      </c>
      <c r="AT89" s="1" t="s">
        <v>158</v>
      </c>
      <c r="AU89" s="1">
        <v>1991.0</v>
      </c>
      <c r="AV89" s="1">
        <v>36.0</v>
      </c>
      <c r="AW89" s="1">
        <v>3.0</v>
      </c>
      <c r="AX89" s="1" t="s">
        <v>74</v>
      </c>
      <c r="AY89" s="1" t="s">
        <v>74</v>
      </c>
      <c r="AZ89" s="1" t="s">
        <v>74</v>
      </c>
      <c r="BA89" s="1" t="s">
        <v>74</v>
      </c>
      <c r="BB89" s="1">
        <v>169.0</v>
      </c>
      <c r="BC89" s="1">
        <v>174.0</v>
      </c>
      <c r="BD89" s="1" t="s">
        <v>74</v>
      </c>
      <c r="BE89" s="1" t="s">
        <v>74</v>
      </c>
      <c r="BF89" s="1" t="s">
        <v>74</v>
      </c>
      <c r="BG89" s="1" t="s">
        <v>74</v>
      </c>
      <c r="BH89" s="1" t="s">
        <v>74</v>
      </c>
      <c r="BI89" s="1" t="s">
        <v>74</v>
      </c>
      <c r="BJ89" s="1" t="s">
        <v>74</v>
      </c>
      <c r="BK89" s="1" t="s">
        <v>74</v>
      </c>
      <c r="BL89" s="1" t="s">
        <v>74</v>
      </c>
      <c r="BM89" s="1" t="s">
        <v>74</v>
      </c>
      <c r="BN89" s="1" t="s">
        <v>74</v>
      </c>
      <c r="BO89" s="1" t="s">
        <v>74</v>
      </c>
      <c r="BP89" s="1" t="s">
        <v>74</v>
      </c>
      <c r="BQ89" s="1" t="s">
        <v>74</v>
      </c>
      <c r="BR89" s="1" t="s">
        <v>74</v>
      </c>
      <c r="BS89" s="1" t="s">
        <v>914</v>
      </c>
      <c r="BT89" s="1" t="str">
        <f>HYPERLINK("https%3A%2F%2Fwww.webofscience.com%2Fwos%2Fwoscc%2Ffull-record%2FWOS:A1991GG30500005","View Full Record in Web of Science")</f>
        <v>View Full Record in Web of Science</v>
      </c>
    </row>
    <row r="90" ht="12.75" customHeight="1">
      <c r="A90" s="1" t="s">
        <v>72</v>
      </c>
      <c r="B90" s="1" t="s">
        <v>915</v>
      </c>
      <c r="C90" s="1" t="s">
        <v>74</v>
      </c>
      <c r="D90" s="1" t="s">
        <v>74</v>
      </c>
      <c r="E90" s="1" t="s">
        <v>74</v>
      </c>
      <c r="F90" s="1" t="s">
        <v>915</v>
      </c>
      <c r="G90" s="1" t="s">
        <v>74</v>
      </c>
      <c r="H90" s="1" t="s">
        <v>74</v>
      </c>
      <c r="I90" s="1" t="s">
        <v>916</v>
      </c>
      <c r="J90" s="1" t="s">
        <v>917</v>
      </c>
      <c r="K90" s="1" t="s">
        <v>74</v>
      </c>
      <c r="L90" s="1" t="s">
        <v>74</v>
      </c>
      <c r="M90" s="1" t="s">
        <v>74</v>
      </c>
      <c r="N90" s="1" t="s">
        <v>74</v>
      </c>
      <c r="O90" s="1" t="s">
        <v>74</v>
      </c>
      <c r="P90" s="1" t="s">
        <v>74</v>
      </c>
      <c r="Q90" s="1" t="s">
        <v>74</v>
      </c>
      <c r="R90" s="1" t="s">
        <v>74</v>
      </c>
      <c r="S90" s="1" t="s">
        <v>74</v>
      </c>
      <c r="T90" s="1" t="s">
        <v>74</v>
      </c>
      <c r="U90" s="1" t="s">
        <v>74</v>
      </c>
      <c r="V90" s="1" t="s">
        <v>74</v>
      </c>
      <c r="W90" s="1" t="s">
        <v>74</v>
      </c>
      <c r="X90" s="1" t="s">
        <v>74</v>
      </c>
      <c r="Y90" s="1" t="s">
        <v>74</v>
      </c>
      <c r="Z90" s="1" t="s">
        <v>74</v>
      </c>
      <c r="AA90" s="1" t="s">
        <v>918</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919</v>
      </c>
      <c r="AP90" s="1" t="s">
        <v>74</v>
      </c>
      <c r="AQ90" s="1" t="s">
        <v>74</v>
      </c>
      <c r="AR90" s="1" t="s">
        <v>74</v>
      </c>
      <c r="AS90" s="1" t="s">
        <v>74</v>
      </c>
      <c r="AT90" s="1" t="s">
        <v>920</v>
      </c>
      <c r="AU90" s="1">
        <v>1989.0</v>
      </c>
      <c r="AV90" s="1">
        <v>46.0</v>
      </c>
      <c r="AW90" s="1">
        <v>419.0</v>
      </c>
      <c r="AX90" s="1" t="s">
        <v>74</v>
      </c>
      <c r="AY90" s="1" t="s">
        <v>74</v>
      </c>
      <c r="AZ90" s="1" t="s">
        <v>74</v>
      </c>
      <c r="BA90" s="1" t="s">
        <v>74</v>
      </c>
      <c r="BB90" s="1">
        <v>69.0</v>
      </c>
      <c r="BC90" s="1">
        <v>74.0</v>
      </c>
      <c r="BD90" s="1" t="s">
        <v>74</v>
      </c>
      <c r="BE90" s="1" t="s">
        <v>74</v>
      </c>
      <c r="BF90" s="1" t="s">
        <v>74</v>
      </c>
      <c r="BG90" s="1" t="s">
        <v>74</v>
      </c>
      <c r="BH90" s="1" t="s">
        <v>74</v>
      </c>
      <c r="BI90" s="1" t="s">
        <v>74</v>
      </c>
      <c r="BJ90" s="1" t="s">
        <v>74</v>
      </c>
      <c r="BK90" s="1" t="s">
        <v>74</v>
      </c>
      <c r="BL90" s="1" t="s">
        <v>74</v>
      </c>
      <c r="BM90" s="1" t="s">
        <v>74</v>
      </c>
      <c r="BN90" s="1" t="s">
        <v>74</v>
      </c>
      <c r="BO90" s="1" t="s">
        <v>74</v>
      </c>
      <c r="BP90" s="1" t="s">
        <v>74</v>
      </c>
      <c r="BQ90" s="1" t="s">
        <v>74</v>
      </c>
      <c r="BR90" s="1" t="s">
        <v>74</v>
      </c>
      <c r="BS90" s="1" t="s">
        <v>921</v>
      </c>
      <c r="BT90" s="1" t="str">
        <f>HYPERLINK("https%3A%2F%2Fwww.webofscience.com%2Fwos%2Fwoscc%2Ffull-record%2FWOS:A1989T706900012","View Full Record in Web of Science")</f>
        <v>View Full Record in Web of Science</v>
      </c>
    </row>
    <row r="91" ht="12.75" customHeight="1">
      <c r="A91" s="1" t="s">
        <v>72</v>
      </c>
      <c r="B91" s="1" t="s">
        <v>922</v>
      </c>
      <c r="C91" s="1" t="s">
        <v>74</v>
      </c>
      <c r="D91" s="1" t="s">
        <v>74</v>
      </c>
      <c r="E91" s="1" t="s">
        <v>74</v>
      </c>
      <c r="F91" s="1" t="s">
        <v>922</v>
      </c>
      <c r="G91" s="1" t="s">
        <v>74</v>
      </c>
      <c r="H91" s="1" t="s">
        <v>74</v>
      </c>
      <c r="I91" s="1" t="s">
        <v>923</v>
      </c>
      <c r="J91" s="1" t="s">
        <v>924</v>
      </c>
      <c r="K91" s="1" t="s">
        <v>74</v>
      </c>
      <c r="L91" s="1" t="s">
        <v>74</v>
      </c>
      <c r="M91" s="1" t="s">
        <v>74</v>
      </c>
      <c r="N91" s="1" t="s">
        <v>74</v>
      </c>
      <c r="O91" s="1" t="s">
        <v>74</v>
      </c>
      <c r="P91" s="1" t="s">
        <v>74</v>
      </c>
      <c r="Q91" s="1" t="s">
        <v>74</v>
      </c>
      <c r="R91" s="1" t="s">
        <v>74</v>
      </c>
      <c r="S91" s="1" t="s">
        <v>74</v>
      </c>
      <c r="T91" s="1" t="s">
        <v>74</v>
      </c>
      <c r="U91" s="1" t="s">
        <v>74</v>
      </c>
      <c r="V91" s="1" t="s">
        <v>74</v>
      </c>
      <c r="W91" s="1" t="s">
        <v>74</v>
      </c>
      <c r="X91" s="1" t="s">
        <v>74</v>
      </c>
      <c r="Y91" s="1" t="s">
        <v>74</v>
      </c>
      <c r="Z91" s="1" t="s">
        <v>74</v>
      </c>
      <c r="AA91" s="1" t="s">
        <v>74</v>
      </c>
      <c r="AB91" s="1" t="s">
        <v>74</v>
      </c>
      <c r="AC91" s="1" t="s">
        <v>74</v>
      </c>
      <c r="AD91" s="1" t="s">
        <v>74</v>
      </c>
      <c r="AE91" s="1" t="s">
        <v>74</v>
      </c>
      <c r="AF91" s="1" t="s">
        <v>74</v>
      </c>
      <c r="AG91" s="1" t="s">
        <v>74</v>
      </c>
      <c r="AH91" s="1" t="s">
        <v>74</v>
      </c>
      <c r="AI91" s="1" t="s">
        <v>74</v>
      </c>
      <c r="AJ91" s="1" t="s">
        <v>74</v>
      </c>
      <c r="AK91" s="1" t="s">
        <v>74</v>
      </c>
      <c r="AL91" s="1" t="s">
        <v>74</v>
      </c>
      <c r="AM91" s="1" t="s">
        <v>74</v>
      </c>
      <c r="AN91" s="1" t="s">
        <v>74</v>
      </c>
      <c r="AO91" s="1" t="s">
        <v>925</v>
      </c>
      <c r="AP91" s="1" t="s">
        <v>74</v>
      </c>
      <c r="AQ91" s="1" t="s">
        <v>74</v>
      </c>
      <c r="AR91" s="1" t="s">
        <v>74</v>
      </c>
      <c r="AS91" s="1" t="s">
        <v>74</v>
      </c>
      <c r="AT91" s="1" t="s">
        <v>410</v>
      </c>
      <c r="AU91" s="1">
        <v>1986.0</v>
      </c>
      <c r="AV91" s="1">
        <v>19.0</v>
      </c>
      <c r="AW91" s="1">
        <v>2.0</v>
      </c>
      <c r="AX91" s="1" t="s">
        <v>74</v>
      </c>
      <c r="AY91" s="1" t="s">
        <v>74</v>
      </c>
      <c r="AZ91" s="1" t="s">
        <v>74</v>
      </c>
      <c r="BA91" s="1" t="s">
        <v>74</v>
      </c>
      <c r="BB91" s="1" t="s">
        <v>926</v>
      </c>
      <c r="BC91" s="1" t="s">
        <v>926</v>
      </c>
      <c r="BD91" s="1" t="s">
        <v>74</v>
      </c>
      <c r="BE91" s="1" t="s">
        <v>74</v>
      </c>
      <c r="BF91" s="1" t="s">
        <v>74</v>
      </c>
      <c r="BG91" s="1" t="s">
        <v>74</v>
      </c>
      <c r="BH91" s="1" t="s">
        <v>74</v>
      </c>
      <c r="BI91" s="1" t="s">
        <v>74</v>
      </c>
      <c r="BJ91" s="1" t="s">
        <v>74</v>
      </c>
      <c r="BK91" s="1" t="s">
        <v>74</v>
      </c>
      <c r="BL91" s="1" t="s">
        <v>74</v>
      </c>
      <c r="BM91" s="1" t="s">
        <v>74</v>
      </c>
      <c r="BN91" s="1" t="s">
        <v>74</v>
      </c>
      <c r="BO91" s="1" t="s">
        <v>74</v>
      </c>
      <c r="BP91" s="1" t="s">
        <v>74</v>
      </c>
      <c r="BQ91" s="1" t="s">
        <v>74</v>
      </c>
      <c r="BR91" s="1" t="s">
        <v>74</v>
      </c>
      <c r="BS91" s="1" t="s">
        <v>927</v>
      </c>
      <c r="BT91" s="1" t="str">
        <f>HYPERLINK("https%3A%2F%2Fwww.webofscience.com%2Fwos%2Fwoscc%2Ffull-record%2FWOS:A1986F093100100","View Full Record in Web of Science")</f>
        <v>View Full Record in Web of Science</v>
      </c>
    </row>
    <row r="92" ht="12.75" customHeight="1">
      <c r="A92" s="1" t="s">
        <v>72</v>
      </c>
      <c r="B92" s="1" t="s">
        <v>928</v>
      </c>
      <c r="C92" s="1" t="s">
        <v>74</v>
      </c>
      <c r="D92" s="1" t="s">
        <v>74</v>
      </c>
      <c r="E92" s="1" t="s">
        <v>74</v>
      </c>
      <c r="F92" s="1" t="s">
        <v>928</v>
      </c>
      <c r="G92" s="1" t="s">
        <v>74</v>
      </c>
      <c r="H92" s="1" t="s">
        <v>74</v>
      </c>
      <c r="I92" s="1" t="s">
        <v>929</v>
      </c>
      <c r="J92" s="1" t="s">
        <v>930</v>
      </c>
      <c r="K92" s="1" t="s">
        <v>74</v>
      </c>
      <c r="L92" s="1" t="s">
        <v>74</v>
      </c>
      <c r="M92" s="1" t="s">
        <v>74</v>
      </c>
      <c r="N92" s="1" t="s">
        <v>74</v>
      </c>
      <c r="O92" s="1" t="s">
        <v>74</v>
      </c>
      <c r="P92" s="1" t="s">
        <v>74</v>
      </c>
      <c r="Q92" s="1" t="s">
        <v>74</v>
      </c>
      <c r="R92" s="1" t="s">
        <v>74</v>
      </c>
      <c r="S92" s="1" t="s">
        <v>74</v>
      </c>
      <c r="T92" s="1" t="s">
        <v>74</v>
      </c>
      <c r="U92" s="1" t="s">
        <v>74</v>
      </c>
      <c r="V92" s="1" t="s">
        <v>74</v>
      </c>
      <c r="W92" s="1" t="s">
        <v>74</v>
      </c>
      <c r="X92" s="1" t="s">
        <v>74</v>
      </c>
      <c r="Y92" s="1" t="s">
        <v>74</v>
      </c>
      <c r="Z92" s="1" t="s">
        <v>74</v>
      </c>
      <c r="AA92" s="1" t="s">
        <v>74</v>
      </c>
      <c r="AB92" s="1" t="s">
        <v>74</v>
      </c>
      <c r="AC92" s="1" t="s">
        <v>74</v>
      </c>
      <c r="AD92" s="1" t="s">
        <v>74</v>
      </c>
      <c r="AE92" s="1" t="s">
        <v>74</v>
      </c>
      <c r="AF92" s="1" t="s">
        <v>74</v>
      </c>
      <c r="AG92" s="1" t="s">
        <v>74</v>
      </c>
      <c r="AH92" s="1" t="s">
        <v>74</v>
      </c>
      <c r="AI92" s="1" t="s">
        <v>74</v>
      </c>
      <c r="AJ92" s="1" t="s">
        <v>74</v>
      </c>
      <c r="AK92" s="1" t="s">
        <v>74</v>
      </c>
      <c r="AL92" s="1" t="s">
        <v>74</v>
      </c>
      <c r="AM92" s="1" t="s">
        <v>74</v>
      </c>
      <c r="AN92" s="1" t="s">
        <v>74</v>
      </c>
      <c r="AO92" s="1" t="s">
        <v>931</v>
      </c>
      <c r="AP92" s="1" t="s">
        <v>74</v>
      </c>
      <c r="AQ92" s="1" t="s">
        <v>74</v>
      </c>
      <c r="AR92" s="1" t="s">
        <v>74</v>
      </c>
      <c r="AS92" s="1" t="s">
        <v>74</v>
      </c>
      <c r="AT92" s="1" t="s">
        <v>74</v>
      </c>
      <c r="AU92" s="1">
        <v>1982.0</v>
      </c>
      <c r="AV92" s="1">
        <v>20.0</v>
      </c>
      <c r="AW92" s="1">
        <v>1.0</v>
      </c>
      <c r="AX92" s="1" t="s">
        <v>74</v>
      </c>
      <c r="AY92" s="1" t="s">
        <v>74</v>
      </c>
      <c r="AZ92" s="1" t="s">
        <v>74</v>
      </c>
      <c r="BA92" s="1" t="s">
        <v>74</v>
      </c>
      <c r="BB92" s="1">
        <v>73.0</v>
      </c>
      <c r="BC92" s="1">
        <v>78.0</v>
      </c>
      <c r="BD92" s="1" t="s">
        <v>74</v>
      </c>
      <c r="BE92" s="1" t="s">
        <v>932</v>
      </c>
      <c r="BF92" s="2" t="str">
        <f>HYPERLINK("http://dx.doi.org/10.1002/pol.1982.170200108","http://dx.doi.org/10.1002/pol.1982.170200108")</f>
        <v>http://dx.doi.org/10.1002/pol.1982.170200108</v>
      </c>
      <c r="BG92" s="1" t="s">
        <v>74</v>
      </c>
      <c r="BH92" s="1" t="s">
        <v>74</v>
      </c>
      <c r="BI92" s="1" t="s">
        <v>74</v>
      </c>
      <c r="BJ92" s="1" t="s">
        <v>74</v>
      </c>
      <c r="BK92" s="1" t="s">
        <v>74</v>
      </c>
      <c r="BL92" s="1" t="s">
        <v>74</v>
      </c>
      <c r="BM92" s="1" t="s">
        <v>74</v>
      </c>
      <c r="BN92" s="1" t="s">
        <v>74</v>
      </c>
      <c r="BO92" s="1" t="s">
        <v>74</v>
      </c>
      <c r="BP92" s="1" t="s">
        <v>74</v>
      </c>
      <c r="BQ92" s="1" t="s">
        <v>74</v>
      </c>
      <c r="BR92" s="1" t="s">
        <v>74</v>
      </c>
      <c r="BS92" s="1" t="s">
        <v>933</v>
      </c>
      <c r="BT92" s="1" t="str">
        <f>HYPERLINK("https%3A%2F%2Fwww.webofscience.com%2Fwos%2Fwoscc%2Ffull-record%2FWOS:A1982MX76100008","View Full Record in Web of Science")</f>
        <v>View Full Record in Web of Science</v>
      </c>
    </row>
    <row r="93" ht="12.75" customHeight="1">
      <c r="A93" s="1" t="s">
        <v>72</v>
      </c>
      <c r="B93" s="1" t="s">
        <v>934</v>
      </c>
      <c r="C93" s="1" t="s">
        <v>74</v>
      </c>
      <c r="D93" s="1" t="s">
        <v>74</v>
      </c>
      <c r="E93" s="1" t="s">
        <v>74</v>
      </c>
      <c r="F93" s="1" t="s">
        <v>934</v>
      </c>
      <c r="G93" s="1" t="s">
        <v>74</v>
      </c>
      <c r="H93" s="1" t="s">
        <v>74</v>
      </c>
      <c r="I93" s="1" t="s">
        <v>935</v>
      </c>
      <c r="J93" s="1" t="s">
        <v>936</v>
      </c>
      <c r="K93" s="1" t="s">
        <v>74</v>
      </c>
      <c r="L93" s="1" t="s">
        <v>74</v>
      </c>
      <c r="M93" s="1" t="s">
        <v>74</v>
      </c>
      <c r="N93" s="1" t="s">
        <v>74</v>
      </c>
      <c r="O93" s="1" t="s">
        <v>74</v>
      </c>
      <c r="P93" s="1" t="s">
        <v>74</v>
      </c>
      <c r="Q93" s="1" t="s">
        <v>74</v>
      </c>
      <c r="R93" s="1" t="s">
        <v>74</v>
      </c>
      <c r="S93" s="1" t="s">
        <v>74</v>
      </c>
      <c r="T93" s="1" t="s">
        <v>74</v>
      </c>
      <c r="U93" s="1" t="s">
        <v>74</v>
      </c>
      <c r="V93" s="1" t="s">
        <v>74</v>
      </c>
      <c r="W93" s="1" t="s">
        <v>74</v>
      </c>
      <c r="X93" s="1" t="s">
        <v>74</v>
      </c>
      <c r="Y93" s="1" t="s">
        <v>74</v>
      </c>
      <c r="Z93" s="1" t="s">
        <v>74</v>
      </c>
      <c r="AA93" s="1" t="s">
        <v>450</v>
      </c>
      <c r="AB93" s="1" t="s">
        <v>74</v>
      </c>
      <c r="AC93" s="1" t="s">
        <v>74</v>
      </c>
      <c r="AD93" s="1" t="s">
        <v>74</v>
      </c>
      <c r="AE93" s="1" t="s">
        <v>74</v>
      </c>
      <c r="AF93" s="1" t="s">
        <v>74</v>
      </c>
      <c r="AG93" s="1" t="s">
        <v>74</v>
      </c>
      <c r="AH93" s="1" t="s">
        <v>74</v>
      </c>
      <c r="AI93" s="1" t="s">
        <v>74</v>
      </c>
      <c r="AJ93" s="1" t="s">
        <v>74</v>
      </c>
      <c r="AK93" s="1" t="s">
        <v>74</v>
      </c>
      <c r="AL93" s="1" t="s">
        <v>74</v>
      </c>
      <c r="AM93" s="1" t="s">
        <v>74</v>
      </c>
      <c r="AN93" s="1" t="s">
        <v>74</v>
      </c>
      <c r="AO93" s="1" t="s">
        <v>937</v>
      </c>
      <c r="AP93" s="1" t="s">
        <v>74</v>
      </c>
      <c r="AQ93" s="1" t="s">
        <v>74</v>
      </c>
      <c r="AR93" s="1" t="s">
        <v>74</v>
      </c>
      <c r="AS93" s="1" t="s">
        <v>74</v>
      </c>
      <c r="AT93" s="1" t="s">
        <v>74</v>
      </c>
      <c r="AU93" s="1">
        <v>1981.0</v>
      </c>
      <c r="AV93" s="1">
        <v>16.0</v>
      </c>
      <c r="AW93" s="1">
        <v>3.0</v>
      </c>
      <c r="AX93" s="1" t="s">
        <v>74</v>
      </c>
      <c r="AY93" s="1" t="s">
        <v>74</v>
      </c>
      <c r="AZ93" s="1" t="s">
        <v>74</v>
      </c>
      <c r="BA93" s="1" t="s">
        <v>74</v>
      </c>
      <c r="BB93" s="1">
        <v>255.0</v>
      </c>
      <c r="BC93" s="1">
        <v>259.0</v>
      </c>
      <c r="BD93" s="1" t="s">
        <v>74</v>
      </c>
      <c r="BE93" s="1" t="s">
        <v>938</v>
      </c>
      <c r="BF93" s="2" t="str">
        <f>HYPERLINK("http://dx.doi.org/10.1016/0047-2670(81)80035-4","http://dx.doi.org/10.1016/0047-2670(81)80035-4")</f>
        <v>http://dx.doi.org/10.1016/0047-2670(81)80035-4</v>
      </c>
      <c r="BG93" s="1" t="s">
        <v>74</v>
      </c>
      <c r="BH93" s="1" t="s">
        <v>74</v>
      </c>
      <c r="BI93" s="1" t="s">
        <v>74</v>
      </c>
      <c r="BJ93" s="1" t="s">
        <v>74</v>
      </c>
      <c r="BK93" s="1" t="s">
        <v>74</v>
      </c>
      <c r="BL93" s="1" t="s">
        <v>74</v>
      </c>
      <c r="BM93" s="1" t="s">
        <v>74</v>
      </c>
      <c r="BN93" s="1" t="s">
        <v>74</v>
      </c>
      <c r="BO93" s="1" t="s">
        <v>74</v>
      </c>
      <c r="BP93" s="1" t="s">
        <v>74</v>
      </c>
      <c r="BQ93" s="1" t="s">
        <v>74</v>
      </c>
      <c r="BR93" s="1" t="s">
        <v>74</v>
      </c>
      <c r="BS93" s="1" t="s">
        <v>939</v>
      </c>
      <c r="BT93" s="1" t="str">
        <f>HYPERLINK("https%3A%2F%2Fwww.webofscience.com%2Fwos%2Fwoscc%2Ffull-record%2FWOS:A1981MB57000009","View Full Record in Web of Science")</f>
        <v>View Full Record in Web of Science</v>
      </c>
    </row>
    <row r="94" ht="12.75" customHeight="1">
      <c r="A94" s="1" t="s">
        <v>72</v>
      </c>
      <c r="B94" s="1" t="s">
        <v>940</v>
      </c>
      <c r="C94" s="1" t="s">
        <v>74</v>
      </c>
      <c r="D94" s="1" t="s">
        <v>74</v>
      </c>
      <c r="E94" s="1" t="s">
        <v>74</v>
      </c>
      <c r="F94" s="1" t="s">
        <v>940</v>
      </c>
      <c r="G94" s="1" t="s">
        <v>74</v>
      </c>
      <c r="H94" s="1" t="s">
        <v>74</v>
      </c>
      <c r="I94" s="1" t="s">
        <v>941</v>
      </c>
      <c r="J94" s="1" t="s">
        <v>942</v>
      </c>
      <c r="K94" s="1" t="s">
        <v>74</v>
      </c>
      <c r="L94" s="1" t="s">
        <v>74</v>
      </c>
      <c r="M94" s="1" t="s">
        <v>74</v>
      </c>
      <c r="N94" s="1" t="s">
        <v>74</v>
      </c>
      <c r="O94" s="1" t="s">
        <v>74</v>
      </c>
      <c r="P94" s="1" t="s">
        <v>74</v>
      </c>
      <c r="Q94" s="1" t="s">
        <v>74</v>
      </c>
      <c r="R94" s="1" t="s">
        <v>74</v>
      </c>
      <c r="S94" s="1" t="s">
        <v>74</v>
      </c>
      <c r="T94" s="1" t="s">
        <v>74</v>
      </c>
      <c r="U94" s="1" t="s">
        <v>74</v>
      </c>
      <c r="V94" s="1" t="s">
        <v>74</v>
      </c>
      <c r="W94" s="1" t="s">
        <v>74</v>
      </c>
      <c r="X94" s="1" t="s">
        <v>74</v>
      </c>
      <c r="Y94" s="1" t="s">
        <v>74</v>
      </c>
      <c r="Z94" s="1" t="s">
        <v>74</v>
      </c>
      <c r="AA94" s="1" t="s">
        <v>943</v>
      </c>
      <c r="AB94" s="1" t="s">
        <v>74</v>
      </c>
      <c r="AC94" s="1" t="s">
        <v>74</v>
      </c>
      <c r="AD94" s="1" t="s">
        <v>74</v>
      </c>
      <c r="AE94" s="1" t="s">
        <v>74</v>
      </c>
      <c r="AF94" s="1" t="s">
        <v>74</v>
      </c>
      <c r="AG94" s="1" t="s">
        <v>74</v>
      </c>
      <c r="AH94" s="1" t="s">
        <v>74</v>
      </c>
      <c r="AI94" s="1" t="s">
        <v>74</v>
      </c>
      <c r="AJ94" s="1" t="s">
        <v>74</v>
      </c>
      <c r="AK94" s="1" t="s">
        <v>74</v>
      </c>
      <c r="AL94" s="1" t="s">
        <v>74</v>
      </c>
      <c r="AM94" s="1" t="s">
        <v>74</v>
      </c>
      <c r="AN94" s="1" t="s">
        <v>74</v>
      </c>
      <c r="AO94" s="1" t="s">
        <v>944</v>
      </c>
      <c r="AP94" s="1" t="s">
        <v>74</v>
      </c>
      <c r="AQ94" s="1" t="s">
        <v>74</v>
      </c>
      <c r="AR94" s="1" t="s">
        <v>74</v>
      </c>
      <c r="AS94" s="1" t="s">
        <v>74</v>
      </c>
      <c r="AT94" s="1" t="s">
        <v>74</v>
      </c>
      <c r="AU94" s="1">
        <v>1975.0</v>
      </c>
      <c r="AV94" s="1">
        <v>63.0</v>
      </c>
      <c r="AW94" s="1" t="s">
        <v>945</v>
      </c>
      <c r="AX94" s="1" t="s">
        <v>74</v>
      </c>
      <c r="AY94" s="1" t="s">
        <v>74</v>
      </c>
      <c r="AZ94" s="1" t="s">
        <v>74</v>
      </c>
      <c r="BA94" s="1" t="s">
        <v>74</v>
      </c>
      <c r="BB94" s="1">
        <v>187.0</v>
      </c>
      <c r="BC94" s="1">
        <v>190.0</v>
      </c>
      <c r="BD94" s="1" t="s">
        <v>74</v>
      </c>
      <c r="BE94" s="1" t="s">
        <v>74</v>
      </c>
      <c r="BF94" s="1" t="s">
        <v>74</v>
      </c>
      <c r="BG94" s="1" t="s">
        <v>74</v>
      </c>
      <c r="BH94" s="1" t="s">
        <v>74</v>
      </c>
      <c r="BI94" s="1" t="s">
        <v>74</v>
      </c>
      <c r="BJ94" s="1" t="s">
        <v>74</v>
      </c>
      <c r="BK94" s="1" t="s">
        <v>74</v>
      </c>
      <c r="BL94" s="1" t="s">
        <v>74</v>
      </c>
      <c r="BM94" s="1" t="s">
        <v>74</v>
      </c>
      <c r="BN94" s="1" t="s">
        <v>74</v>
      </c>
      <c r="BO94" s="1" t="s">
        <v>74</v>
      </c>
      <c r="BP94" s="1" t="s">
        <v>74</v>
      </c>
      <c r="BQ94" s="1" t="s">
        <v>74</v>
      </c>
      <c r="BR94" s="1" t="s">
        <v>74</v>
      </c>
      <c r="BS94" s="1" t="s">
        <v>946</v>
      </c>
      <c r="BT94" s="1" t="str">
        <f>HYPERLINK("https%3A%2F%2Fwww.webofscience.com%2Fwos%2Fwoscc%2Ffull-record%2FWOS:A1975CA02200005","View Full Record in Web of Science")</f>
        <v>View Full Record in Web of Science</v>
      </c>
    </row>
    <row r="95" ht="12.75" customHeight="1">
      <c r="A95" s="1" t="s">
        <v>72</v>
      </c>
      <c r="B95" s="1" t="s">
        <v>947</v>
      </c>
      <c r="C95" s="1" t="s">
        <v>74</v>
      </c>
      <c r="D95" s="1" t="s">
        <v>74</v>
      </c>
      <c r="E95" s="1" t="s">
        <v>74</v>
      </c>
      <c r="F95" s="1" t="s">
        <v>948</v>
      </c>
      <c r="G95" s="1" t="s">
        <v>74</v>
      </c>
      <c r="H95" s="1" t="s">
        <v>74</v>
      </c>
      <c r="I95" s="1" t="s">
        <v>949</v>
      </c>
      <c r="J95" s="1" t="s">
        <v>950</v>
      </c>
      <c r="K95" s="1" t="s">
        <v>74</v>
      </c>
      <c r="L95" s="1" t="s">
        <v>74</v>
      </c>
      <c r="M95" s="1" t="s">
        <v>74</v>
      </c>
      <c r="N95" s="1" t="s">
        <v>74</v>
      </c>
      <c r="O95" s="1" t="s">
        <v>74</v>
      </c>
      <c r="P95" s="1" t="s">
        <v>74</v>
      </c>
      <c r="Q95" s="1" t="s">
        <v>74</v>
      </c>
      <c r="R95" s="1" t="s">
        <v>74</v>
      </c>
      <c r="S95" s="1" t="s">
        <v>74</v>
      </c>
      <c r="T95" s="1" t="s">
        <v>74</v>
      </c>
      <c r="U95" s="1" t="s">
        <v>74</v>
      </c>
      <c r="V95" s="1" t="s">
        <v>951</v>
      </c>
      <c r="W95" s="1" t="s">
        <v>74</v>
      </c>
      <c r="X95" s="1" t="s">
        <v>74</v>
      </c>
      <c r="Y95" s="1" t="s">
        <v>74</v>
      </c>
      <c r="Z95" s="1" t="s">
        <v>74</v>
      </c>
      <c r="AA95" s="1" t="s">
        <v>74</v>
      </c>
      <c r="AB95" s="1" t="s">
        <v>74</v>
      </c>
      <c r="AC95" s="1" t="s">
        <v>74</v>
      </c>
      <c r="AD95" s="1" t="s">
        <v>74</v>
      </c>
      <c r="AE95" s="1" t="s">
        <v>74</v>
      </c>
      <c r="AF95" s="1" t="s">
        <v>74</v>
      </c>
      <c r="AG95" s="1" t="s">
        <v>74</v>
      </c>
      <c r="AH95" s="1" t="s">
        <v>74</v>
      </c>
      <c r="AI95" s="1" t="s">
        <v>74</v>
      </c>
      <c r="AJ95" s="1" t="s">
        <v>74</v>
      </c>
      <c r="AK95" s="1" t="s">
        <v>74</v>
      </c>
      <c r="AL95" s="1" t="s">
        <v>74</v>
      </c>
      <c r="AM95" s="1" t="s">
        <v>74</v>
      </c>
      <c r="AN95" s="1" t="s">
        <v>74</v>
      </c>
      <c r="AO95" s="1" t="s">
        <v>74</v>
      </c>
      <c r="AP95" s="1" t="s">
        <v>952</v>
      </c>
      <c r="AQ95" s="1" t="s">
        <v>74</v>
      </c>
      <c r="AR95" s="1" t="s">
        <v>74</v>
      </c>
      <c r="AS95" s="1" t="s">
        <v>74</v>
      </c>
      <c r="AT95" s="1" t="s">
        <v>953</v>
      </c>
      <c r="AU95" s="1">
        <v>2024.0</v>
      </c>
      <c r="AV95" s="1">
        <v>17.0</v>
      </c>
      <c r="AW95" s="1">
        <v>1.0</v>
      </c>
      <c r="AX95" s="1" t="s">
        <v>74</v>
      </c>
      <c r="AY95" s="1" t="s">
        <v>74</v>
      </c>
      <c r="AZ95" s="1" t="s">
        <v>74</v>
      </c>
      <c r="BA95" s="1" t="s">
        <v>74</v>
      </c>
      <c r="BB95" s="1" t="s">
        <v>74</v>
      </c>
      <c r="BC95" s="1" t="s">
        <v>74</v>
      </c>
      <c r="BD95" s="1">
        <v>66.0</v>
      </c>
      <c r="BE95" s="1" t="s">
        <v>954</v>
      </c>
      <c r="BF95" s="2" t="str">
        <f>HYPERLINK("http://dx.doi.org/10.1186/s13041-024-01140-3","http://dx.doi.org/10.1186/s13041-024-01140-3")</f>
        <v>http://dx.doi.org/10.1186/s13041-024-01140-3</v>
      </c>
      <c r="BG95" s="1" t="s">
        <v>74</v>
      </c>
      <c r="BH95" s="1" t="s">
        <v>74</v>
      </c>
      <c r="BI95" s="1" t="s">
        <v>74</v>
      </c>
      <c r="BJ95" s="1" t="s">
        <v>74</v>
      </c>
      <c r="BK95" s="1" t="s">
        <v>74</v>
      </c>
      <c r="BL95" s="1" t="s">
        <v>74</v>
      </c>
      <c r="BM95" s="1" t="s">
        <v>74</v>
      </c>
      <c r="BN95" s="1">
        <v>3.9267102E7</v>
      </c>
      <c r="BO95" s="1" t="s">
        <v>74</v>
      </c>
      <c r="BP95" s="1" t="s">
        <v>74</v>
      </c>
      <c r="BQ95" s="1" t="s">
        <v>74</v>
      </c>
      <c r="BR95" s="1" t="s">
        <v>74</v>
      </c>
      <c r="BS95" s="1" t="s">
        <v>955</v>
      </c>
      <c r="BT95" s="1" t="str">
        <f>HYPERLINK("https%3A%2F%2Fwww.webofscience.com%2Fwos%2Fwoscc%2Ffull-record%2FWOS:001310898200001","View Full Record in Web of Science")</f>
        <v>View Full Record in Web of Science</v>
      </c>
    </row>
    <row r="96" ht="12.75" customHeight="1">
      <c r="A96" s="1" t="s">
        <v>72</v>
      </c>
      <c r="B96" s="1" t="s">
        <v>956</v>
      </c>
      <c r="C96" s="1" t="s">
        <v>74</v>
      </c>
      <c r="D96" s="1" t="s">
        <v>74</v>
      </c>
      <c r="E96" s="1" t="s">
        <v>74</v>
      </c>
      <c r="F96" s="1" t="s">
        <v>957</v>
      </c>
      <c r="G96" s="1" t="s">
        <v>74</v>
      </c>
      <c r="H96" s="1" t="s">
        <v>74</v>
      </c>
      <c r="I96" s="1" t="s">
        <v>958</v>
      </c>
      <c r="J96" s="1" t="s">
        <v>959</v>
      </c>
      <c r="K96" s="1" t="s">
        <v>74</v>
      </c>
      <c r="L96" s="1" t="s">
        <v>74</v>
      </c>
      <c r="M96" s="1" t="s">
        <v>74</v>
      </c>
      <c r="N96" s="1" t="s">
        <v>74</v>
      </c>
      <c r="O96" s="1" t="s">
        <v>74</v>
      </c>
      <c r="P96" s="1" t="s">
        <v>74</v>
      </c>
      <c r="Q96" s="1" t="s">
        <v>74</v>
      </c>
      <c r="R96" s="1" t="s">
        <v>74</v>
      </c>
      <c r="S96" s="1" t="s">
        <v>74</v>
      </c>
      <c r="T96" s="1" t="s">
        <v>74</v>
      </c>
      <c r="U96" s="1" t="s">
        <v>74</v>
      </c>
      <c r="V96" s="1" t="s">
        <v>960</v>
      </c>
      <c r="W96" s="1" t="s">
        <v>74</v>
      </c>
      <c r="X96" s="1" t="s">
        <v>74</v>
      </c>
      <c r="Y96" s="1" t="s">
        <v>74</v>
      </c>
      <c r="Z96" s="1" t="s">
        <v>74</v>
      </c>
      <c r="AA96" s="1" t="s">
        <v>284</v>
      </c>
      <c r="AB96" s="1" t="s">
        <v>961</v>
      </c>
      <c r="AC96" s="1" t="s">
        <v>74</v>
      </c>
      <c r="AD96" s="1" t="s">
        <v>74</v>
      </c>
      <c r="AE96" s="1" t="s">
        <v>74</v>
      </c>
      <c r="AF96" s="1" t="s">
        <v>74</v>
      </c>
      <c r="AG96" s="1" t="s">
        <v>74</v>
      </c>
      <c r="AH96" s="1" t="s">
        <v>74</v>
      </c>
      <c r="AI96" s="1" t="s">
        <v>74</v>
      </c>
      <c r="AJ96" s="1" t="s">
        <v>74</v>
      </c>
      <c r="AK96" s="1" t="s">
        <v>74</v>
      </c>
      <c r="AL96" s="1" t="s">
        <v>74</v>
      </c>
      <c r="AM96" s="1" t="s">
        <v>74</v>
      </c>
      <c r="AN96" s="1" t="s">
        <v>74</v>
      </c>
      <c r="AO96" s="1" t="s">
        <v>74</v>
      </c>
      <c r="AP96" s="1" t="s">
        <v>962</v>
      </c>
      <c r="AQ96" s="1" t="s">
        <v>74</v>
      </c>
      <c r="AR96" s="1" t="s">
        <v>74</v>
      </c>
      <c r="AS96" s="1" t="s">
        <v>74</v>
      </c>
      <c r="AT96" s="1" t="s">
        <v>158</v>
      </c>
      <c r="AU96" s="1">
        <v>2024.0</v>
      </c>
      <c r="AV96" s="1">
        <v>13.0</v>
      </c>
      <c r="AW96" s="1">
        <v>9.0</v>
      </c>
      <c r="AX96" s="1" t="s">
        <v>74</v>
      </c>
      <c r="AY96" s="1" t="s">
        <v>74</v>
      </c>
      <c r="AZ96" s="1" t="s">
        <v>74</v>
      </c>
      <c r="BA96" s="1" t="s">
        <v>74</v>
      </c>
      <c r="BB96" s="1" t="s">
        <v>74</v>
      </c>
      <c r="BC96" s="1" t="s">
        <v>74</v>
      </c>
      <c r="BD96" s="1">
        <v>126.0</v>
      </c>
      <c r="BE96" s="1" t="s">
        <v>963</v>
      </c>
      <c r="BF96" s="2" t="str">
        <f>HYPERLINK("http://dx.doi.org/10.3390/robotics13090126","http://dx.doi.org/10.3390/robotics13090126")</f>
        <v>http://dx.doi.org/10.3390/robotics13090126</v>
      </c>
      <c r="BG96" s="1" t="s">
        <v>74</v>
      </c>
      <c r="BH96" s="1" t="s">
        <v>74</v>
      </c>
      <c r="BI96" s="1" t="s">
        <v>74</v>
      </c>
      <c r="BJ96" s="1" t="s">
        <v>74</v>
      </c>
      <c r="BK96" s="1" t="s">
        <v>74</v>
      </c>
      <c r="BL96" s="1" t="s">
        <v>74</v>
      </c>
      <c r="BM96" s="1" t="s">
        <v>74</v>
      </c>
      <c r="BN96" s="1" t="s">
        <v>74</v>
      </c>
      <c r="BO96" s="1" t="s">
        <v>74</v>
      </c>
      <c r="BP96" s="1" t="s">
        <v>74</v>
      </c>
      <c r="BQ96" s="1" t="s">
        <v>74</v>
      </c>
      <c r="BR96" s="1" t="s">
        <v>74</v>
      </c>
      <c r="BS96" s="1" t="s">
        <v>964</v>
      </c>
      <c r="BT96" s="1" t="str">
        <f>HYPERLINK("https%3A%2F%2Fwww.webofscience.com%2Fwos%2Fwoscc%2Ffull-record%2FWOS:001322975400001","View Full Record in Web of Science")</f>
        <v>View Full Record in Web of Science</v>
      </c>
    </row>
    <row r="97" ht="12.75" customHeight="1">
      <c r="A97" s="1" t="s">
        <v>72</v>
      </c>
      <c r="B97" s="1" t="s">
        <v>965</v>
      </c>
      <c r="C97" s="1" t="s">
        <v>74</v>
      </c>
      <c r="D97" s="1" t="s">
        <v>74</v>
      </c>
      <c r="E97" s="1" t="s">
        <v>74</v>
      </c>
      <c r="F97" s="1" t="s">
        <v>966</v>
      </c>
      <c r="G97" s="1" t="s">
        <v>74</v>
      </c>
      <c r="H97" s="1" t="s">
        <v>74</v>
      </c>
      <c r="I97" s="1" t="s">
        <v>967</v>
      </c>
      <c r="J97" s="1" t="s">
        <v>968</v>
      </c>
      <c r="K97" s="1" t="s">
        <v>74</v>
      </c>
      <c r="L97" s="1" t="s">
        <v>74</v>
      </c>
      <c r="M97" s="1" t="s">
        <v>74</v>
      </c>
      <c r="N97" s="1" t="s">
        <v>74</v>
      </c>
      <c r="O97" s="1" t="s">
        <v>74</v>
      </c>
      <c r="P97" s="1" t="s">
        <v>74</v>
      </c>
      <c r="Q97" s="1" t="s">
        <v>74</v>
      </c>
      <c r="R97" s="1" t="s">
        <v>74</v>
      </c>
      <c r="S97" s="1" t="s">
        <v>74</v>
      </c>
      <c r="T97" s="1" t="s">
        <v>74</v>
      </c>
      <c r="U97" s="1" t="s">
        <v>74</v>
      </c>
      <c r="V97" s="1" t="s">
        <v>969</v>
      </c>
      <c r="W97" s="1" t="s">
        <v>74</v>
      </c>
      <c r="X97" s="1" t="s">
        <v>74</v>
      </c>
      <c r="Y97" s="1" t="s">
        <v>74</v>
      </c>
      <c r="Z97" s="1" t="s">
        <v>74</v>
      </c>
      <c r="AA97" s="1" t="s">
        <v>970</v>
      </c>
      <c r="AB97" s="1" t="s">
        <v>971</v>
      </c>
      <c r="AC97" s="1" t="s">
        <v>74</v>
      </c>
      <c r="AD97" s="1" t="s">
        <v>74</v>
      </c>
      <c r="AE97" s="1" t="s">
        <v>74</v>
      </c>
      <c r="AF97" s="1" t="s">
        <v>74</v>
      </c>
      <c r="AG97" s="1" t="s">
        <v>74</v>
      </c>
      <c r="AH97" s="1" t="s">
        <v>74</v>
      </c>
      <c r="AI97" s="1" t="s">
        <v>74</v>
      </c>
      <c r="AJ97" s="1" t="s">
        <v>74</v>
      </c>
      <c r="AK97" s="1" t="s">
        <v>74</v>
      </c>
      <c r="AL97" s="1" t="s">
        <v>74</v>
      </c>
      <c r="AM97" s="1" t="s">
        <v>74</v>
      </c>
      <c r="AN97" s="1" t="s">
        <v>74</v>
      </c>
      <c r="AO97" s="1" t="s">
        <v>972</v>
      </c>
      <c r="AP97" s="1" t="s">
        <v>973</v>
      </c>
      <c r="AQ97" s="1" t="s">
        <v>74</v>
      </c>
      <c r="AR97" s="1" t="s">
        <v>74</v>
      </c>
      <c r="AS97" s="1" t="s">
        <v>74</v>
      </c>
      <c r="AT97" s="1" t="s">
        <v>974</v>
      </c>
      <c r="AU97" s="1">
        <v>2024.0</v>
      </c>
      <c r="AV97" s="1">
        <v>193.0</v>
      </c>
      <c r="AW97" s="1" t="s">
        <v>74</v>
      </c>
      <c r="AX97" s="1" t="s">
        <v>74</v>
      </c>
      <c r="AY97" s="1" t="s">
        <v>74</v>
      </c>
      <c r="AZ97" s="1" t="s">
        <v>74</v>
      </c>
      <c r="BA97" s="1" t="s">
        <v>74</v>
      </c>
      <c r="BB97" s="1" t="s">
        <v>74</v>
      </c>
      <c r="BC97" s="1" t="s">
        <v>74</v>
      </c>
      <c r="BD97" s="1">
        <v>106750.0</v>
      </c>
      <c r="BE97" s="1" t="s">
        <v>975</v>
      </c>
      <c r="BF97" s="2" t="str">
        <f>HYPERLINK("http://dx.doi.org/10.1016/j.micpath.2024.106750","http://dx.doi.org/10.1016/j.micpath.2024.106750")</f>
        <v>http://dx.doi.org/10.1016/j.micpath.2024.106750</v>
      </c>
      <c r="BG97" s="1" t="s">
        <v>74</v>
      </c>
      <c r="BH97" s="1" t="s">
        <v>976</v>
      </c>
      <c r="BI97" s="1" t="s">
        <v>74</v>
      </c>
      <c r="BJ97" s="1" t="s">
        <v>74</v>
      </c>
      <c r="BK97" s="1" t="s">
        <v>74</v>
      </c>
      <c r="BL97" s="1" t="s">
        <v>74</v>
      </c>
      <c r="BM97" s="1" t="s">
        <v>74</v>
      </c>
      <c r="BN97" s="1">
        <v>3.8906491E7</v>
      </c>
      <c r="BO97" s="1" t="s">
        <v>74</v>
      </c>
      <c r="BP97" s="1" t="s">
        <v>74</v>
      </c>
      <c r="BQ97" s="1" t="s">
        <v>74</v>
      </c>
      <c r="BR97" s="1" t="s">
        <v>74</v>
      </c>
      <c r="BS97" s="1" t="s">
        <v>977</v>
      </c>
      <c r="BT97" s="1" t="str">
        <f>HYPERLINK("https%3A%2F%2Fwww.webofscience.com%2Fwos%2Fwoscc%2Ffull-record%2FWOS:001334479400001","View Full Record in Web of Science")</f>
        <v>View Full Record in Web of Science</v>
      </c>
    </row>
    <row r="98" ht="12.75" customHeight="1">
      <c r="A98" s="1" t="s">
        <v>72</v>
      </c>
      <c r="B98" s="1" t="s">
        <v>978</v>
      </c>
      <c r="C98" s="1" t="s">
        <v>74</v>
      </c>
      <c r="D98" s="1" t="s">
        <v>74</v>
      </c>
      <c r="E98" s="1" t="s">
        <v>74</v>
      </c>
      <c r="F98" s="1" t="s">
        <v>979</v>
      </c>
      <c r="G98" s="1" t="s">
        <v>74</v>
      </c>
      <c r="H98" s="1" t="s">
        <v>74</v>
      </c>
      <c r="I98" s="1" t="s">
        <v>980</v>
      </c>
      <c r="J98" s="1" t="s">
        <v>981</v>
      </c>
      <c r="K98" s="1" t="s">
        <v>74</v>
      </c>
      <c r="L98" s="1" t="s">
        <v>74</v>
      </c>
      <c r="M98" s="1" t="s">
        <v>74</v>
      </c>
      <c r="N98" s="1" t="s">
        <v>74</v>
      </c>
      <c r="O98" s="1" t="s">
        <v>74</v>
      </c>
      <c r="P98" s="1" t="s">
        <v>74</v>
      </c>
      <c r="Q98" s="1" t="s">
        <v>74</v>
      </c>
      <c r="R98" s="1" t="s">
        <v>74</v>
      </c>
      <c r="S98" s="1" t="s">
        <v>74</v>
      </c>
      <c r="T98" s="1" t="s">
        <v>74</v>
      </c>
      <c r="U98" s="1" t="s">
        <v>74</v>
      </c>
      <c r="V98" s="1" t="s">
        <v>982</v>
      </c>
      <c r="W98" s="1" t="s">
        <v>74</v>
      </c>
      <c r="X98" s="1" t="s">
        <v>74</v>
      </c>
      <c r="Y98" s="1" t="s">
        <v>74</v>
      </c>
      <c r="Z98" s="1" t="s">
        <v>74</v>
      </c>
      <c r="AA98" s="1" t="s">
        <v>983</v>
      </c>
      <c r="AB98" s="1" t="s">
        <v>984</v>
      </c>
      <c r="AC98" s="1" t="s">
        <v>74</v>
      </c>
      <c r="AD98" s="1" t="s">
        <v>74</v>
      </c>
      <c r="AE98" s="1" t="s">
        <v>74</v>
      </c>
      <c r="AF98" s="1" t="s">
        <v>74</v>
      </c>
      <c r="AG98" s="1" t="s">
        <v>74</v>
      </c>
      <c r="AH98" s="1" t="s">
        <v>74</v>
      </c>
      <c r="AI98" s="1" t="s">
        <v>74</v>
      </c>
      <c r="AJ98" s="1" t="s">
        <v>74</v>
      </c>
      <c r="AK98" s="1" t="s">
        <v>74</v>
      </c>
      <c r="AL98" s="1" t="s">
        <v>74</v>
      </c>
      <c r="AM98" s="1" t="s">
        <v>74</v>
      </c>
      <c r="AN98" s="1" t="s">
        <v>74</v>
      </c>
      <c r="AO98" s="1" t="s">
        <v>74</v>
      </c>
      <c r="AP98" s="1" t="s">
        <v>985</v>
      </c>
      <c r="AQ98" s="1" t="s">
        <v>74</v>
      </c>
      <c r="AR98" s="1" t="s">
        <v>74</v>
      </c>
      <c r="AS98" s="1" t="s">
        <v>74</v>
      </c>
      <c r="AT98" s="1" t="s">
        <v>818</v>
      </c>
      <c r="AU98" s="1">
        <v>2024.0</v>
      </c>
      <c r="AV98" s="1">
        <v>16.0</v>
      </c>
      <c r="AW98" s="1">
        <v>4.0</v>
      </c>
      <c r="AX98" s="1" t="s">
        <v>74</v>
      </c>
      <c r="AY98" s="1" t="s">
        <v>74</v>
      </c>
      <c r="AZ98" s="1" t="s">
        <v>74</v>
      </c>
      <c r="BA98" s="1" t="s">
        <v>74</v>
      </c>
      <c r="BB98" s="1" t="s">
        <v>74</v>
      </c>
      <c r="BC98" s="1" t="s">
        <v>74</v>
      </c>
      <c r="BD98" s="1">
        <v>1606.0</v>
      </c>
      <c r="BE98" s="1" t="s">
        <v>986</v>
      </c>
      <c r="BF98" s="2" t="str">
        <f>HYPERLINK("http://dx.doi.org/10.3390/su16041606","http://dx.doi.org/10.3390/su16041606")</f>
        <v>http://dx.doi.org/10.3390/su16041606</v>
      </c>
      <c r="BG98" s="1" t="s">
        <v>74</v>
      </c>
      <c r="BH98" s="1" t="s">
        <v>74</v>
      </c>
      <c r="BI98" s="1" t="s">
        <v>74</v>
      </c>
      <c r="BJ98" s="1" t="s">
        <v>74</v>
      </c>
      <c r="BK98" s="1" t="s">
        <v>74</v>
      </c>
      <c r="BL98" s="1" t="s">
        <v>74</v>
      </c>
      <c r="BM98" s="1" t="s">
        <v>74</v>
      </c>
      <c r="BN98" s="1" t="s">
        <v>74</v>
      </c>
      <c r="BO98" s="1" t="s">
        <v>74</v>
      </c>
      <c r="BP98" s="1" t="s">
        <v>74</v>
      </c>
      <c r="BQ98" s="1" t="s">
        <v>74</v>
      </c>
      <c r="BR98" s="1" t="s">
        <v>74</v>
      </c>
      <c r="BS98" s="1" t="s">
        <v>987</v>
      </c>
      <c r="BT98" s="1" t="str">
        <f>HYPERLINK("https%3A%2F%2Fwww.webofscience.com%2Fwos%2Fwoscc%2Ffull-record%2FWOS:001168493800001","View Full Record in Web of Science")</f>
        <v>View Full Record in Web of Science</v>
      </c>
    </row>
    <row r="99" ht="12.75" customHeight="1">
      <c r="A99" s="1" t="s">
        <v>72</v>
      </c>
      <c r="B99" s="1" t="s">
        <v>988</v>
      </c>
      <c r="C99" s="1" t="s">
        <v>74</v>
      </c>
      <c r="D99" s="1" t="s">
        <v>74</v>
      </c>
      <c r="E99" s="1" t="s">
        <v>74</v>
      </c>
      <c r="F99" s="1" t="s">
        <v>989</v>
      </c>
      <c r="G99" s="1" t="s">
        <v>74</v>
      </c>
      <c r="H99" s="1" t="s">
        <v>74</v>
      </c>
      <c r="I99" s="1" t="s">
        <v>990</v>
      </c>
      <c r="J99" s="1" t="s">
        <v>816</v>
      </c>
      <c r="K99" s="1" t="s">
        <v>74</v>
      </c>
      <c r="L99" s="1" t="s">
        <v>74</v>
      </c>
      <c r="M99" s="1" t="s">
        <v>74</v>
      </c>
      <c r="N99" s="1" t="s">
        <v>74</v>
      </c>
      <c r="O99" s="1" t="s">
        <v>74</v>
      </c>
      <c r="P99" s="1" t="s">
        <v>74</v>
      </c>
      <c r="Q99" s="1" t="s">
        <v>74</v>
      </c>
      <c r="R99" s="1" t="s">
        <v>74</v>
      </c>
      <c r="S99" s="1" t="s">
        <v>74</v>
      </c>
      <c r="T99" s="1" t="s">
        <v>74</v>
      </c>
      <c r="U99" s="1" t="s">
        <v>74</v>
      </c>
      <c r="V99" s="1" t="s">
        <v>991</v>
      </c>
      <c r="W99" s="1" t="s">
        <v>74</v>
      </c>
      <c r="X99" s="1" t="s">
        <v>74</v>
      </c>
      <c r="Y99" s="1" t="s">
        <v>74</v>
      </c>
      <c r="Z99" s="1" t="s">
        <v>74</v>
      </c>
      <c r="AA99" s="1" t="s">
        <v>992</v>
      </c>
      <c r="AB99" s="1" t="s">
        <v>993</v>
      </c>
      <c r="AC99" s="1" t="s">
        <v>74</v>
      </c>
      <c r="AD99" s="1" t="s">
        <v>74</v>
      </c>
      <c r="AE99" s="1" t="s">
        <v>74</v>
      </c>
      <c r="AF99" s="1" t="s">
        <v>74</v>
      </c>
      <c r="AG99" s="1" t="s">
        <v>74</v>
      </c>
      <c r="AH99" s="1" t="s">
        <v>74</v>
      </c>
      <c r="AI99" s="1" t="s">
        <v>74</v>
      </c>
      <c r="AJ99" s="1" t="s">
        <v>74</v>
      </c>
      <c r="AK99" s="1" t="s">
        <v>74</v>
      </c>
      <c r="AL99" s="1" t="s">
        <v>74</v>
      </c>
      <c r="AM99" s="1" t="s">
        <v>74</v>
      </c>
      <c r="AN99" s="1" t="s">
        <v>74</v>
      </c>
      <c r="AO99" s="1" t="s">
        <v>817</v>
      </c>
      <c r="AP99" s="1" t="s">
        <v>994</v>
      </c>
      <c r="AQ99" s="1" t="s">
        <v>74</v>
      </c>
      <c r="AR99" s="1" t="s">
        <v>74</v>
      </c>
      <c r="AS99" s="1" t="s">
        <v>74</v>
      </c>
      <c r="AT99" s="1" t="s">
        <v>256</v>
      </c>
      <c r="AU99" s="1">
        <v>2023.0</v>
      </c>
      <c r="AV99" s="1">
        <v>151.0</v>
      </c>
      <c r="AW99" s="1">
        <v>3.0</v>
      </c>
      <c r="AX99" s="1" t="s">
        <v>74</v>
      </c>
      <c r="AY99" s="1" t="s">
        <v>74</v>
      </c>
      <c r="AZ99" s="1" t="s">
        <v>74</v>
      </c>
      <c r="BA99" s="1" t="s">
        <v>74</v>
      </c>
      <c r="BB99" s="1">
        <v>269.0</v>
      </c>
      <c r="BC99" s="1">
        <v>279.0</v>
      </c>
      <c r="BD99" s="1" t="s">
        <v>74</v>
      </c>
      <c r="BE99" s="1" t="s">
        <v>74</v>
      </c>
      <c r="BF99" s="1" t="s">
        <v>74</v>
      </c>
      <c r="BG99" s="1" t="s">
        <v>74</v>
      </c>
      <c r="BH99" s="1" t="s">
        <v>74</v>
      </c>
      <c r="BI99" s="1" t="s">
        <v>74</v>
      </c>
      <c r="BJ99" s="1" t="s">
        <v>74</v>
      </c>
      <c r="BK99" s="1" t="s">
        <v>74</v>
      </c>
      <c r="BL99" s="1" t="s">
        <v>74</v>
      </c>
      <c r="BM99" s="1" t="s">
        <v>74</v>
      </c>
      <c r="BN99" s="1">
        <v>3.8293871E7</v>
      </c>
      <c r="BO99" s="1" t="s">
        <v>74</v>
      </c>
      <c r="BP99" s="1" t="s">
        <v>74</v>
      </c>
      <c r="BQ99" s="1" t="s">
        <v>74</v>
      </c>
      <c r="BR99" s="1" t="s">
        <v>74</v>
      </c>
      <c r="BS99" s="1" t="s">
        <v>995</v>
      </c>
      <c r="BT99" s="1" t="str">
        <f>HYPERLINK("https%3A%2F%2Fwww.webofscience.com%2Fwos%2Fwoscc%2Ffull-record%2FWOS:001163807400001","View Full Record in Web of Science")</f>
        <v>View Full Record in Web of Science</v>
      </c>
    </row>
    <row r="100" ht="12.75" customHeight="1">
      <c r="A100" s="1" t="s">
        <v>72</v>
      </c>
      <c r="B100" s="1" t="s">
        <v>996</v>
      </c>
      <c r="C100" s="1" t="s">
        <v>74</v>
      </c>
      <c r="D100" s="1" t="s">
        <v>74</v>
      </c>
      <c r="E100" s="1" t="s">
        <v>74</v>
      </c>
      <c r="F100" s="1" t="s">
        <v>997</v>
      </c>
      <c r="G100" s="1" t="s">
        <v>74</v>
      </c>
      <c r="H100" s="1" t="s">
        <v>74</v>
      </c>
      <c r="I100" s="1" t="s">
        <v>998</v>
      </c>
      <c r="J100" s="1" t="s">
        <v>999</v>
      </c>
      <c r="K100" s="1" t="s">
        <v>74</v>
      </c>
      <c r="L100" s="1" t="s">
        <v>74</v>
      </c>
      <c r="M100" s="1" t="s">
        <v>74</v>
      </c>
      <c r="N100" s="1" t="s">
        <v>74</v>
      </c>
      <c r="O100" s="1" t="s">
        <v>74</v>
      </c>
      <c r="P100" s="1" t="s">
        <v>74</v>
      </c>
      <c r="Q100" s="1" t="s">
        <v>74</v>
      </c>
      <c r="R100" s="1" t="s">
        <v>74</v>
      </c>
      <c r="S100" s="1" t="s">
        <v>74</v>
      </c>
      <c r="T100" s="1" t="s">
        <v>74</v>
      </c>
      <c r="U100" s="1" t="s">
        <v>74</v>
      </c>
      <c r="V100" s="1" t="s">
        <v>1000</v>
      </c>
      <c r="W100" s="1" t="s">
        <v>74</v>
      </c>
      <c r="X100" s="1" t="s">
        <v>74</v>
      </c>
      <c r="Y100" s="1" t="s">
        <v>74</v>
      </c>
      <c r="Z100" s="1" t="s">
        <v>74</v>
      </c>
      <c r="AA100" s="1" t="s">
        <v>79</v>
      </c>
      <c r="AB100" s="1" t="s">
        <v>74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1001</v>
      </c>
      <c r="AP100" s="1" t="s">
        <v>74</v>
      </c>
      <c r="AQ100" s="1" t="s">
        <v>74</v>
      </c>
      <c r="AR100" s="1" t="s">
        <v>74</v>
      </c>
      <c r="AS100" s="1" t="s">
        <v>74</v>
      </c>
      <c r="AT100" s="1" t="s">
        <v>818</v>
      </c>
      <c r="AU100" s="1">
        <v>2023.0</v>
      </c>
      <c r="AV100" s="1">
        <v>51.0</v>
      </c>
      <c r="AW100" s="1" t="s">
        <v>74</v>
      </c>
      <c r="AX100" s="1" t="s">
        <v>74</v>
      </c>
      <c r="AY100" s="1" t="s">
        <v>74</v>
      </c>
      <c r="AZ100" s="1" t="s">
        <v>74</v>
      </c>
      <c r="BA100" s="1" t="s">
        <v>74</v>
      </c>
      <c r="BB100" s="1" t="s">
        <v>74</v>
      </c>
      <c r="BC100" s="1" t="s">
        <v>74</v>
      </c>
      <c r="BD100" s="1">
        <v>103478.0</v>
      </c>
      <c r="BE100" s="1" t="s">
        <v>1002</v>
      </c>
      <c r="BF100" s="2" t="str">
        <f>HYPERLINK("http://dx.doi.org/10.1016/j.jwpe.2022.103478","http://dx.doi.org/10.1016/j.jwpe.2022.103478")</f>
        <v>http://dx.doi.org/10.1016/j.jwpe.2022.103478</v>
      </c>
      <c r="BG100" s="1" t="s">
        <v>74</v>
      </c>
      <c r="BH100" s="1" t="s">
        <v>1003</v>
      </c>
      <c r="BI100" s="1" t="s">
        <v>74</v>
      </c>
      <c r="BJ100" s="1" t="s">
        <v>74</v>
      </c>
      <c r="BK100" s="1" t="s">
        <v>74</v>
      </c>
      <c r="BL100" s="1" t="s">
        <v>74</v>
      </c>
      <c r="BM100" s="1" t="s">
        <v>74</v>
      </c>
      <c r="BN100" s="1" t="s">
        <v>74</v>
      </c>
      <c r="BO100" s="1" t="s">
        <v>74</v>
      </c>
      <c r="BP100" s="1" t="s">
        <v>74</v>
      </c>
      <c r="BQ100" s="1" t="s">
        <v>74</v>
      </c>
      <c r="BR100" s="1" t="s">
        <v>74</v>
      </c>
      <c r="BS100" s="1" t="s">
        <v>1004</v>
      </c>
      <c r="BT100" s="1" t="str">
        <f>HYPERLINK("https%3A%2F%2Fwww.webofscience.com%2Fwos%2Fwoscc%2Ffull-record%2FWOS:000923497700001","View Full Record in Web of Science")</f>
        <v>View Full Record in Web of Science</v>
      </c>
    </row>
    <row r="101" ht="12.75" customHeight="1">
      <c r="A101" s="1" t="s">
        <v>72</v>
      </c>
      <c r="B101" s="1" t="s">
        <v>1005</v>
      </c>
      <c r="C101" s="1" t="s">
        <v>74</v>
      </c>
      <c r="D101" s="1" t="s">
        <v>74</v>
      </c>
      <c r="E101" s="1" t="s">
        <v>74</v>
      </c>
      <c r="F101" s="1" t="s">
        <v>1006</v>
      </c>
      <c r="G101" s="1" t="s">
        <v>74</v>
      </c>
      <c r="H101" s="1" t="s">
        <v>74</v>
      </c>
      <c r="I101" s="1" t="s">
        <v>1007</v>
      </c>
      <c r="J101" s="1" t="s">
        <v>1008</v>
      </c>
      <c r="K101" s="1" t="s">
        <v>74</v>
      </c>
      <c r="L101" s="1" t="s">
        <v>74</v>
      </c>
      <c r="M101" s="1" t="s">
        <v>74</v>
      </c>
      <c r="N101" s="1" t="s">
        <v>74</v>
      </c>
      <c r="O101" s="1" t="s">
        <v>74</v>
      </c>
      <c r="P101" s="1" t="s">
        <v>74</v>
      </c>
      <c r="Q101" s="1" t="s">
        <v>74</v>
      </c>
      <c r="R101" s="1" t="s">
        <v>74</v>
      </c>
      <c r="S101" s="1" t="s">
        <v>74</v>
      </c>
      <c r="T101" s="1" t="s">
        <v>74</v>
      </c>
      <c r="U101" s="1" t="s">
        <v>74</v>
      </c>
      <c r="V101" s="1" t="s">
        <v>1009</v>
      </c>
      <c r="W101" s="1" t="s">
        <v>74</v>
      </c>
      <c r="X101" s="1" t="s">
        <v>74</v>
      </c>
      <c r="Y101" s="1" t="s">
        <v>74</v>
      </c>
      <c r="Z101" s="1" t="s">
        <v>74</v>
      </c>
      <c r="AA101" s="1" t="s">
        <v>74</v>
      </c>
      <c r="AB101" s="1" t="s">
        <v>1010</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1011</v>
      </c>
      <c r="AP101" s="1" t="s">
        <v>1012</v>
      </c>
      <c r="AQ101" s="1" t="s">
        <v>74</v>
      </c>
      <c r="AR101" s="1" t="s">
        <v>74</v>
      </c>
      <c r="AS101" s="1" t="s">
        <v>74</v>
      </c>
      <c r="AT101" s="1" t="s">
        <v>382</v>
      </c>
      <c r="AU101" s="1">
        <v>2023.0</v>
      </c>
      <c r="AV101" s="1">
        <v>48.0</v>
      </c>
      <c r="AW101" s="1">
        <v>1.0</v>
      </c>
      <c r="AX101" s="1" t="s">
        <v>74</v>
      </c>
      <c r="AY101" s="1" t="s">
        <v>74</v>
      </c>
      <c r="AZ101" s="1" t="s">
        <v>74</v>
      </c>
      <c r="BA101" s="1" t="s">
        <v>74</v>
      </c>
      <c r="BB101" s="1">
        <v>165.0</v>
      </c>
      <c r="BC101" s="1">
        <v>183.0</v>
      </c>
      <c r="BD101" s="1" t="s">
        <v>74</v>
      </c>
      <c r="BE101" s="1" t="s">
        <v>1013</v>
      </c>
      <c r="BF101" s="2" t="str">
        <f>HYPERLINK("http://dx.doi.org/10.5209/resf.68527","http://dx.doi.org/10.5209/resf.68527")</f>
        <v>http://dx.doi.org/10.5209/resf.68527</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1014</v>
      </c>
      <c r="BT101" s="1" t="str">
        <f>HYPERLINK("https%3A%2F%2Fwww.webofscience.com%2Fwos%2Fwoscc%2Ffull-record%2FWOS:000995755100001","View Full Record in Web of Science")</f>
        <v>View Full Record in Web of Science</v>
      </c>
    </row>
    <row r="102" ht="12.75" customHeight="1">
      <c r="A102" s="1" t="s">
        <v>72</v>
      </c>
      <c r="B102" s="1" t="s">
        <v>1015</v>
      </c>
      <c r="C102" s="1" t="s">
        <v>74</v>
      </c>
      <c r="D102" s="1" t="s">
        <v>74</v>
      </c>
      <c r="E102" s="1" t="s">
        <v>74</v>
      </c>
      <c r="F102" s="1" t="s">
        <v>1016</v>
      </c>
      <c r="G102" s="1" t="s">
        <v>74</v>
      </c>
      <c r="H102" s="1" t="s">
        <v>74</v>
      </c>
      <c r="I102" s="1" t="s">
        <v>1017</v>
      </c>
      <c r="J102" s="1" t="s">
        <v>1018</v>
      </c>
      <c r="K102" s="1" t="s">
        <v>74</v>
      </c>
      <c r="L102" s="1" t="s">
        <v>74</v>
      </c>
      <c r="M102" s="1" t="s">
        <v>74</v>
      </c>
      <c r="N102" s="1" t="s">
        <v>74</v>
      </c>
      <c r="O102" s="1" t="s">
        <v>74</v>
      </c>
      <c r="P102" s="1" t="s">
        <v>74</v>
      </c>
      <c r="Q102" s="1" t="s">
        <v>74</v>
      </c>
      <c r="R102" s="1" t="s">
        <v>74</v>
      </c>
      <c r="S102" s="1" t="s">
        <v>74</v>
      </c>
      <c r="T102" s="1" t="s">
        <v>74</v>
      </c>
      <c r="U102" s="1" t="s">
        <v>74</v>
      </c>
      <c r="V102" s="1" t="s">
        <v>1019</v>
      </c>
      <c r="W102" s="1" t="s">
        <v>74</v>
      </c>
      <c r="X102" s="1" t="s">
        <v>74</v>
      </c>
      <c r="Y102" s="1" t="s">
        <v>74</v>
      </c>
      <c r="Z102" s="1" t="s">
        <v>74</v>
      </c>
      <c r="AA102" s="1" t="s">
        <v>74</v>
      </c>
      <c r="AB102" s="1" t="s">
        <v>74</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1020</v>
      </c>
      <c r="AP102" s="1" t="s">
        <v>1021</v>
      </c>
      <c r="AQ102" s="1" t="s">
        <v>74</v>
      </c>
      <c r="AR102" s="1" t="s">
        <v>74</v>
      </c>
      <c r="AS102" s="1" t="s">
        <v>74</v>
      </c>
      <c r="AT102" s="1" t="s">
        <v>82</v>
      </c>
      <c r="AU102" s="1">
        <v>2022.0</v>
      </c>
      <c r="AV102" s="1" t="s">
        <v>74</v>
      </c>
      <c r="AW102" s="1">
        <v>39.0</v>
      </c>
      <c r="AX102" s="1" t="s">
        <v>74</v>
      </c>
      <c r="AY102" s="1" t="s">
        <v>74</v>
      </c>
      <c r="AZ102" s="1" t="s">
        <v>74</v>
      </c>
      <c r="BA102" s="1" t="s">
        <v>74</v>
      </c>
      <c r="BB102" s="1">
        <v>163.0</v>
      </c>
      <c r="BC102" s="1">
        <v>196.0</v>
      </c>
      <c r="BD102" s="1" t="s">
        <v>74</v>
      </c>
      <c r="BE102" s="1" t="s">
        <v>1022</v>
      </c>
      <c r="BF102" s="2" t="str">
        <f>HYPERLINK("http://dx.doi.org/10.29344/07180772.39.3061","http://dx.doi.org/10.29344/07180772.39.3061")</f>
        <v>http://dx.doi.org/10.29344/07180772.39.3061</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1023</v>
      </c>
      <c r="BT102" s="1" t="str">
        <f>HYPERLINK("https%3A%2F%2Fwww.webofscience.com%2Fwos%2Fwoscc%2Ffull-record%2FWOS:000917257300006","View Full Record in Web of Science")</f>
        <v>View Full Record in Web of Science</v>
      </c>
    </row>
    <row r="103" ht="12.75" customHeight="1">
      <c r="A103" s="1" t="s">
        <v>72</v>
      </c>
      <c r="B103" s="1" t="s">
        <v>1024</v>
      </c>
      <c r="C103" s="1" t="s">
        <v>74</v>
      </c>
      <c r="D103" s="1" t="s">
        <v>74</v>
      </c>
      <c r="E103" s="1" t="s">
        <v>74</v>
      </c>
      <c r="F103" s="1" t="s">
        <v>1025</v>
      </c>
      <c r="G103" s="1" t="s">
        <v>74</v>
      </c>
      <c r="H103" s="1" t="s">
        <v>74</v>
      </c>
      <c r="I103" s="1" t="s">
        <v>1026</v>
      </c>
      <c r="J103" s="1" t="s">
        <v>1027</v>
      </c>
      <c r="K103" s="1" t="s">
        <v>74</v>
      </c>
      <c r="L103" s="1" t="s">
        <v>74</v>
      </c>
      <c r="M103" s="1" t="s">
        <v>74</v>
      </c>
      <c r="N103" s="1" t="s">
        <v>74</v>
      </c>
      <c r="O103" s="1" t="s">
        <v>74</v>
      </c>
      <c r="P103" s="1" t="s">
        <v>74</v>
      </c>
      <c r="Q103" s="1" t="s">
        <v>74</v>
      </c>
      <c r="R103" s="1" t="s">
        <v>74</v>
      </c>
      <c r="S103" s="1" t="s">
        <v>74</v>
      </c>
      <c r="T103" s="1" t="s">
        <v>74</v>
      </c>
      <c r="U103" s="1" t="s">
        <v>74</v>
      </c>
      <c r="V103" s="1" t="s">
        <v>1028</v>
      </c>
      <c r="W103" s="1" t="s">
        <v>74</v>
      </c>
      <c r="X103" s="1" t="s">
        <v>74</v>
      </c>
      <c r="Y103" s="1" t="s">
        <v>74</v>
      </c>
      <c r="Z103" s="1" t="s">
        <v>74</v>
      </c>
      <c r="AA103" s="1" t="s">
        <v>74</v>
      </c>
      <c r="AB103" s="1" t="s">
        <v>74</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1029</v>
      </c>
      <c r="AP103" s="1" t="s">
        <v>1030</v>
      </c>
      <c r="AQ103" s="1" t="s">
        <v>74</v>
      </c>
      <c r="AR103" s="1" t="s">
        <v>74</v>
      </c>
      <c r="AS103" s="1" t="s">
        <v>74</v>
      </c>
      <c r="AT103" s="1" t="s">
        <v>91</v>
      </c>
      <c r="AU103" s="1">
        <v>2022.0</v>
      </c>
      <c r="AV103" s="1">
        <v>37.0</v>
      </c>
      <c r="AW103" s="1">
        <v>1.0</v>
      </c>
      <c r="AX103" s="1" t="s">
        <v>74</v>
      </c>
      <c r="AY103" s="1" t="s">
        <v>74</v>
      </c>
      <c r="AZ103" s="1" t="s">
        <v>74</v>
      </c>
      <c r="BA103" s="1" t="s">
        <v>74</v>
      </c>
      <c r="BB103" s="1">
        <v>275.0</v>
      </c>
      <c r="BC103" s="1">
        <v>292.0</v>
      </c>
      <c r="BD103" s="1" t="s">
        <v>74</v>
      </c>
      <c r="BE103" s="1" t="s">
        <v>1031</v>
      </c>
      <c r="BF103" s="2" t="str">
        <f>HYPERLINK("http://dx.doi.org/10.4067/S0718-23762022000100275","http://dx.doi.org/10.4067/S0718-23762022000100275")</f>
        <v>http://dx.doi.org/10.4067/S0718-23762022000100275</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1032</v>
      </c>
      <c r="BT103" s="1" t="str">
        <f>HYPERLINK("https%3A%2F%2Fwww.webofscience.com%2Fwos%2Fwoscc%2Ffull-record%2FWOS:000824370800015","View Full Record in Web of Science")</f>
        <v>View Full Record in Web of Science</v>
      </c>
    </row>
    <row r="104" ht="12.75" customHeight="1">
      <c r="A104" s="1" t="s">
        <v>72</v>
      </c>
      <c r="B104" s="1" t="s">
        <v>1033</v>
      </c>
      <c r="C104" s="1" t="s">
        <v>74</v>
      </c>
      <c r="D104" s="1" t="s">
        <v>74</v>
      </c>
      <c r="E104" s="1" t="s">
        <v>74</v>
      </c>
      <c r="F104" s="1" t="s">
        <v>1034</v>
      </c>
      <c r="G104" s="1" t="s">
        <v>74</v>
      </c>
      <c r="H104" s="1" t="s">
        <v>74</v>
      </c>
      <c r="I104" s="1" t="s">
        <v>1035</v>
      </c>
      <c r="J104" s="1" t="s">
        <v>1036</v>
      </c>
      <c r="K104" s="1" t="s">
        <v>74</v>
      </c>
      <c r="L104" s="1" t="s">
        <v>74</v>
      </c>
      <c r="M104" s="1" t="s">
        <v>74</v>
      </c>
      <c r="N104" s="1" t="s">
        <v>74</v>
      </c>
      <c r="O104" s="1" t="s">
        <v>74</v>
      </c>
      <c r="P104" s="1" t="s">
        <v>74</v>
      </c>
      <c r="Q104" s="1" t="s">
        <v>74</v>
      </c>
      <c r="R104" s="1" t="s">
        <v>74</v>
      </c>
      <c r="S104" s="1" t="s">
        <v>74</v>
      </c>
      <c r="T104" s="1" t="s">
        <v>74</v>
      </c>
      <c r="U104" s="1" t="s">
        <v>74</v>
      </c>
      <c r="V104" s="1" t="s">
        <v>1037</v>
      </c>
      <c r="W104" s="1" t="s">
        <v>74</v>
      </c>
      <c r="X104" s="1" t="s">
        <v>74</v>
      </c>
      <c r="Y104" s="1" t="s">
        <v>74</v>
      </c>
      <c r="Z104" s="1" t="s">
        <v>74</v>
      </c>
      <c r="AA104" s="1" t="s">
        <v>1038</v>
      </c>
      <c r="AB104" s="1" t="s">
        <v>1039</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74</v>
      </c>
      <c r="AP104" s="1" t="s">
        <v>1040</v>
      </c>
      <c r="AQ104" s="1" t="s">
        <v>74</v>
      </c>
      <c r="AR104" s="1" t="s">
        <v>74</v>
      </c>
      <c r="AS104" s="1" t="s">
        <v>74</v>
      </c>
      <c r="AT104" s="1" t="s">
        <v>224</v>
      </c>
      <c r="AU104" s="1">
        <v>2022.0</v>
      </c>
      <c r="AV104" s="1">
        <v>12.0</v>
      </c>
      <c r="AW104" s="1">
        <v>5.0</v>
      </c>
      <c r="AX104" s="1" t="s">
        <v>74</v>
      </c>
      <c r="AY104" s="1" t="s">
        <v>74</v>
      </c>
      <c r="AZ104" s="1" t="s">
        <v>74</v>
      </c>
      <c r="BA104" s="1" t="s">
        <v>74</v>
      </c>
      <c r="BB104" s="1" t="s">
        <v>74</v>
      </c>
      <c r="BC104" s="1" t="s">
        <v>74</v>
      </c>
      <c r="BD104" s="1">
        <v>597.0</v>
      </c>
      <c r="BE104" s="1" t="s">
        <v>1041</v>
      </c>
      <c r="BF104" s="2" t="str">
        <f>HYPERLINK("http://dx.doi.org/10.3390/buildings12050597","http://dx.doi.org/10.3390/buildings12050597")</f>
        <v>http://dx.doi.org/10.3390/buildings12050597</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1042</v>
      </c>
      <c r="BT104" s="1" t="str">
        <f>HYPERLINK("https%3A%2F%2Fwww.webofscience.com%2Fwos%2Fwoscc%2Ffull-record%2FWOS:000803532200001","View Full Record in Web of Science")</f>
        <v>View Full Record in Web of Science</v>
      </c>
    </row>
    <row r="105" ht="12.75" customHeight="1">
      <c r="A105" s="1" t="s">
        <v>72</v>
      </c>
      <c r="B105" s="1" t="s">
        <v>73</v>
      </c>
      <c r="C105" s="1" t="s">
        <v>74</v>
      </c>
      <c r="D105" s="1" t="s">
        <v>74</v>
      </c>
      <c r="E105" s="1" t="s">
        <v>74</v>
      </c>
      <c r="F105" s="1" t="s">
        <v>75</v>
      </c>
      <c r="G105" s="1" t="s">
        <v>74</v>
      </c>
      <c r="H105" s="1" t="s">
        <v>74</v>
      </c>
      <c r="I105" s="1" t="s">
        <v>1043</v>
      </c>
      <c r="J105" s="1" t="s">
        <v>1044</v>
      </c>
      <c r="K105" s="1" t="s">
        <v>74</v>
      </c>
      <c r="L105" s="1" t="s">
        <v>74</v>
      </c>
      <c r="M105" s="1" t="s">
        <v>74</v>
      </c>
      <c r="N105" s="1" t="s">
        <v>74</v>
      </c>
      <c r="O105" s="1" t="s">
        <v>74</v>
      </c>
      <c r="P105" s="1" t="s">
        <v>74</v>
      </c>
      <c r="Q105" s="1" t="s">
        <v>74</v>
      </c>
      <c r="R105" s="1" t="s">
        <v>74</v>
      </c>
      <c r="S105" s="1" t="s">
        <v>74</v>
      </c>
      <c r="T105" s="1" t="s">
        <v>74</v>
      </c>
      <c r="U105" s="1" t="s">
        <v>74</v>
      </c>
      <c r="V105" s="1" t="s">
        <v>1045</v>
      </c>
      <c r="W105" s="1" t="s">
        <v>74</v>
      </c>
      <c r="X105" s="1" t="s">
        <v>74</v>
      </c>
      <c r="Y105" s="1" t="s">
        <v>74</v>
      </c>
      <c r="Z105" s="1" t="s">
        <v>74</v>
      </c>
      <c r="AA105" s="1" t="s">
        <v>79</v>
      </c>
      <c r="AB105" s="1" t="s">
        <v>1046</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74</v>
      </c>
      <c r="AP105" s="1" t="s">
        <v>1047</v>
      </c>
      <c r="AQ105" s="1" t="s">
        <v>74</v>
      </c>
      <c r="AR105" s="1" t="s">
        <v>74</v>
      </c>
      <c r="AS105" s="1" t="s">
        <v>74</v>
      </c>
      <c r="AT105" s="1" t="s">
        <v>193</v>
      </c>
      <c r="AU105" s="1">
        <v>2022.0</v>
      </c>
      <c r="AV105" s="1">
        <v>14.0</v>
      </c>
      <c r="AW105" s="1">
        <v>8.0</v>
      </c>
      <c r="AX105" s="1" t="s">
        <v>74</v>
      </c>
      <c r="AY105" s="1" t="s">
        <v>74</v>
      </c>
      <c r="AZ105" s="1" t="s">
        <v>74</v>
      </c>
      <c r="BA105" s="1" t="s">
        <v>74</v>
      </c>
      <c r="BB105" s="1" t="s">
        <v>74</v>
      </c>
      <c r="BC105" s="1" t="s">
        <v>74</v>
      </c>
      <c r="BD105" s="1">
        <v>1498.0</v>
      </c>
      <c r="BE105" s="1" t="s">
        <v>1048</v>
      </c>
      <c r="BF105" s="2" t="str">
        <f>HYPERLINK("http://dx.doi.org/10.3390/polym14081498","http://dx.doi.org/10.3390/polym14081498")</f>
        <v>http://dx.doi.org/10.3390/polym14081498</v>
      </c>
      <c r="BG105" s="1" t="s">
        <v>74</v>
      </c>
      <c r="BH105" s="1" t="s">
        <v>74</v>
      </c>
      <c r="BI105" s="1" t="s">
        <v>74</v>
      </c>
      <c r="BJ105" s="1" t="s">
        <v>74</v>
      </c>
      <c r="BK105" s="1" t="s">
        <v>74</v>
      </c>
      <c r="BL105" s="1" t="s">
        <v>74</v>
      </c>
      <c r="BM105" s="1" t="s">
        <v>74</v>
      </c>
      <c r="BN105" s="1">
        <v>3.5458248E7</v>
      </c>
      <c r="BO105" s="1" t="s">
        <v>74</v>
      </c>
      <c r="BP105" s="1" t="s">
        <v>74</v>
      </c>
      <c r="BQ105" s="1" t="s">
        <v>74</v>
      </c>
      <c r="BR105" s="1" t="s">
        <v>74</v>
      </c>
      <c r="BS105" s="1" t="s">
        <v>1049</v>
      </c>
      <c r="BT105" s="1" t="str">
        <f>HYPERLINK("https%3A%2F%2Fwww.webofscience.com%2Fwos%2Fwoscc%2Ffull-record%2FWOS:000785265300001","View Full Record in Web of Science")</f>
        <v>View Full Record in Web of Science</v>
      </c>
    </row>
    <row r="106" ht="12.75" customHeight="1">
      <c r="A106" s="1" t="s">
        <v>72</v>
      </c>
      <c r="B106" s="1" t="s">
        <v>1050</v>
      </c>
      <c r="C106" s="1" t="s">
        <v>74</v>
      </c>
      <c r="D106" s="1" t="s">
        <v>74</v>
      </c>
      <c r="E106" s="1" t="s">
        <v>74</v>
      </c>
      <c r="F106" s="1" t="s">
        <v>1051</v>
      </c>
      <c r="G106" s="1" t="s">
        <v>74</v>
      </c>
      <c r="H106" s="1" t="s">
        <v>74</v>
      </c>
      <c r="I106" s="1" t="s">
        <v>1052</v>
      </c>
      <c r="J106" s="1" t="s">
        <v>1053</v>
      </c>
      <c r="K106" s="1" t="s">
        <v>74</v>
      </c>
      <c r="L106" s="1" t="s">
        <v>74</v>
      </c>
      <c r="M106" s="1" t="s">
        <v>74</v>
      </c>
      <c r="N106" s="1" t="s">
        <v>74</v>
      </c>
      <c r="O106" s="1" t="s">
        <v>74</v>
      </c>
      <c r="P106" s="1" t="s">
        <v>74</v>
      </c>
      <c r="Q106" s="1" t="s">
        <v>74</v>
      </c>
      <c r="R106" s="1" t="s">
        <v>74</v>
      </c>
      <c r="S106" s="1" t="s">
        <v>74</v>
      </c>
      <c r="T106" s="1" t="s">
        <v>74</v>
      </c>
      <c r="U106" s="1" t="s">
        <v>74</v>
      </c>
      <c r="V106" s="1" t="s">
        <v>74</v>
      </c>
      <c r="W106" s="1" t="s">
        <v>74</v>
      </c>
      <c r="X106" s="1" t="s">
        <v>74</v>
      </c>
      <c r="Y106" s="1" t="s">
        <v>74</v>
      </c>
      <c r="Z106" s="1" t="s">
        <v>74</v>
      </c>
      <c r="AA106" s="1" t="s">
        <v>74</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1054</v>
      </c>
      <c r="AP106" s="1" t="s">
        <v>1055</v>
      </c>
      <c r="AQ106" s="1" t="s">
        <v>74</v>
      </c>
      <c r="AR106" s="1" t="s">
        <v>74</v>
      </c>
      <c r="AS106" s="1" t="s">
        <v>74</v>
      </c>
      <c r="AT106" s="1" t="s">
        <v>382</v>
      </c>
      <c r="AU106" s="1">
        <v>2022.0</v>
      </c>
      <c r="AV106" s="1">
        <v>45.0</v>
      </c>
      <c r="AW106" s="1">
        <v>1.0</v>
      </c>
      <c r="AX106" s="1" t="s">
        <v>74</v>
      </c>
      <c r="AY106" s="1" t="s">
        <v>74</v>
      </c>
      <c r="AZ106" s="1" t="s">
        <v>74</v>
      </c>
      <c r="BA106" s="1" t="s">
        <v>74</v>
      </c>
      <c r="BB106" s="1">
        <v>515.0</v>
      </c>
      <c r="BC106" s="1">
        <v>518.0</v>
      </c>
      <c r="BD106" s="1" t="s">
        <v>74</v>
      </c>
      <c r="BE106" s="1" t="s">
        <v>1056</v>
      </c>
      <c r="BF106" s="2" t="str">
        <f>HYPERLINK("http://dx.doi.org/10.15446/rcs.v45n1.90929","http://dx.doi.org/10.15446/rcs.v45n1.90929")</f>
        <v>http://dx.doi.org/10.15446/rcs.v45n1.90929</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1057</v>
      </c>
      <c r="BT106" s="1" t="str">
        <f>HYPERLINK("https%3A%2F%2Fwww.webofscience.com%2Fwos%2Fwoscc%2Ffull-record%2FWOS:000745658900022","View Full Record in Web of Science")</f>
        <v>View Full Record in Web of Science</v>
      </c>
    </row>
    <row r="107" ht="12.75" customHeight="1">
      <c r="A107" s="1" t="s">
        <v>72</v>
      </c>
      <c r="B107" s="1" t="s">
        <v>1058</v>
      </c>
      <c r="C107" s="1" t="s">
        <v>74</v>
      </c>
      <c r="D107" s="1" t="s">
        <v>74</v>
      </c>
      <c r="E107" s="1" t="s">
        <v>74</v>
      </c>
      <c r="F107" s="1" t="s">
        <v>1059</v>
      </c>
      <c r="G107" s="1" t="s">
        <v>74</v>
      </c>
      <c r="H107" s="1" t="s">
        <v>74</v>
      </c>
      <c r="I107" s="1" t="s">
        <v>1060</v>
      </c>
      <c r="J107" s="1" t="s">
        <v>1061</v>
      </c>
      <c r="K107" s="1" t="s">
        <v>74</v>
      </c>
      <c r="L107" s="1" t="s">
        <v>74</v>
      </c>
      <c r="M107" s="1" t="s">
        <v>74</v>
      </c>
      <c r="N107" s="1" t="s">
        <v>74</v>
      </c>
      <c r="O107" s="1" t="s">
        <v>74</v>
      </c>
      <c r="P107" s="1" t="s">
        <v>74</v>
      </c>
      <c r="Q107" s="1" t="s">
        <v>74</v>
      </c>
      <c r="R107" s="1" t="s">
        <v>74</v>
      </c>
      <c r="S107" s="1" t="s">
        <v>74</v>
      </c>
      <c r="T107" s="1" t="s">
        <v>74</v>
      </c>
      <c r="U107" s="1" t="s">
        <v>74</v>
      </c>
      <c r="V107" s="1" t="s">
        <v>1062</v>
      </c>
      <c r="W107" s="1" t="s">
        <v>74</v>
      </c>
      <c r="X107" s="1" t="s">
        <v>74</v>
      </c>
      <c r="Y107" s="1" t="s">
        <v>74</v>
      </c>
      <c r="Z107" s="1" t="s">
        <v>74</v>
      </c>
      <c r="AA107" s="1" t="s">
        <v>74</v>
      </c>
      <c r="AB107" s="1" t="s">
        <v>1063</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74</v>
      </c>
      <c r="AP107" s="1" t="s">
        <v>1064</v>
      </c>
      <c r="AQ107" s="1" t="s">
        <v>74</v>
      </c>
      <c r="AR107" s="1" t="s">
        <v>74</v>
      </c>
      <c r="AS107" s="1" t="s">
        <v>74</v>
      </c>
      <c r="AT107" s="1" t="s">
        <v>224</v>
      </c>
      <c r="AU107" s="1">
        <v>2021.0</v>
      </c>
      <c r="AV107" s="1">
        <v>22.0</v>
      </c>
      <c r="AW107" s="1">
        <v>10.0</v>
      </c>
      <c r="AX107" s="1" t="s">
        <v>74</v>
      </c>
      <c r="AY107" s="1" t="s">
        <v>74</v>
      </c>
      <c r="AZ107" s="1" t="s">
        <v>74</v>
      </c>
      <c r="BA107" s="1" t="s">
        <v>74</v>
      </c>
      <c r="BB107" s="1" t="s">
        <v>74</v>
      </c>
      <c r="BC107" s="1" t="s">
        <v>74</v>
      </c>
      <c r="BD107" s="1">
        <v>5268.0</v>
      </c>
      <c r="BE107" s="1" t="s">
        <v>1065</v>
      </c>
      <c r="BF107" s="2" t="str">
        <f>HYPERLINK("http://dx.doi.org/10.3390/ijms22105268","http://dx.doi.org/10.3390/ijms22105268")</f>
        <v>http://dx.doi.org/10.3390/ijms22105268</v>
      </c>
      <c r="BG107" s="1" t="s">
        <v>74</v>
      </c>
      <c r="BH107" s="1" t="s">
        <v>74</v>
      </c>
      <c r="BI107" s="1" t="s">
        <v>74</v>
      </c>
      <c r="BJ107" s="1" t="s">
        <v>74</v>
      </c>
      <c r="BK107" s="1" t="s">
        <v>74</v>
      </c>
      <c r="BL107" s="1" t="s">
        <v>74</v>
      </c>
      <c r="BM107" s="1" t="s">
        <v>74</v>
      </c>
      <c r="BN107" s="1">
        <v>3.4067824E7</v>
      </c>
      <c r="BO107" s="1" t="s">
        <v>74</v>
      </c>
      <c r="BP107" s="1" t="s">
        <v>74</v>
      </c>
      <c r="BQ107" s="1" t="s">
        <v>74</v>
      </c>
      <c r="BR107" s="1" t="s">
        <v>74</v>
      </c>
      <c r="BS107" s="1" t="s">
        <v>1066</v>
      </c>
      <c r="BT107" s="1" t="str">
        <f>HYPERLINK("https%3A%2F%2Fwww.webofscience.com%2Fwos%2Fwoscc%2Ffull-record%2FWOS:000661986600001","View Full Record in Web of Science")</f>
        <v>View Full Record in Web of Science</v>
      </c>
    </row>
    <row r="108" ht="12.75" customHeight="1">
      <c r="A108" s="1" t="s">
        <v>126</v>
      </c>
      <c r="B108" s="1" t="s">
        <v>1067</v>
      </c>
      <c r="C108" s="1" t="s">
        <v>74</v>
      </c>
      <c r="D108" s="1" t="s">
        <v>74</v>
      </c>
      <c r="E108" s="1" t="s">
        <v>128</v>
      </c>
      <c r="F108" s="1" t="s">
        <v>1068</v>
      </c>
      <c r="G108" s="1" t="s">
        <v>74</v>
      </c>
      <c r="H108" s="1" t="s">
        <v>74</v>
      </c>
      <c r="I108" s="1" t="s">
        <v>1069</v>
      </c>
      <c r="J108" s="1" t="s">
        <v>1070</v>
      </c>
      <c r="K108" s="1" t="s">
        <v>74</v>
      </c>
      <c r="L108" s="1" t="s">
        <v>74</v>
      </c>
      <c r="M108" s="1" t="s">
        <v>74</v>
      </c>
      <c r="N108" s="1" t="s">
        <v>74</v>
      </c>
      <c r="O108" s="1" t="s">
        <v>1071</v>
      </c>
      <c r="P108" s="1" t="s">
        <v>1072</v>
      </c>
      <c r="Q108" s="1" t="s">
        <v>1073</v>
      </c>
      <c r="R108" s="1" t="s">
        <v>1074</v>
      </c>
      <c r="S108" s="1" t="s">
        <v>74</v>
      </c>
      <c r="T108" s="1" t="s">
        <v>74</v>
      </c>
      <c r="U108" s="1" t="s">
        <v>74</v>
      </c>
      <c r="V108" s="1" t="s">
        <v>1075</v>
      </c>
      <c r="W108" s="1" t="s">
        <v>74</v>
      </c>
      <c r="X108" s="1" t="s">
        <v>74</v>
      </c>
      <c r="Y108" s="1" t="s">
        <v>74</v>
      </c>
      <c r="Z108" s="1" t="s">
        <v>74</v>
      </c>
      <c r="AA108" s="1" t="s">
        <v>1076</v>
      </c>
      <c r="AB108" s="1" t="s">
        <v>1077</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74</v>
      </c>
      <c r="AP108" s="1" t="s">
        <v>74</v>
      </c>
      <c r="AQ108" s="1" t="s">
        <v>1078</v>
      </c>
      <c r="AR108" s="1" t="s">
        <v>74</v>
      </c>
      <c r="AS108" s="1" t="s">
        <v>74</v>
      </c>
      <c r="AT108" s="1" t="s">
        <v>74</v>
      </c>
      <c r="AU108" s="1">
        <v>2021.0</v>
      </c>
      <c r="AV108" s="1" t="s">
        <v>74</v>
      </c>
      <c r="AW108" s="1" t="s">
        <v>74</v>
      </c>
      <c r="AX108" s="1" t="s">
        <v>74</v>
      </c>
      <c r="AY108" s="1" t="s">
        <v>74</v>
      </c>
      <c r="AZ108" s="1" t="s">
        <v>74</v>
      </c>
      <c r="BA108" s="1" t="s">
        <v>74</v>
      </c>
      <c r="BB108" s="1" t="s">
        <v>74</v>
      </c>
      <c r="BC108" s="1" t="s">
        <v>74</v>
      </c>
      <c r="BD108" s="1" t="s">
        <v>74</v>
      </c>
      <c r="BE108" s="1" t="s">
        <v>1079</v>
      </c>
      <c r="BF108" s="2" t="str">
        <f>HYPERLINK("http://dx.doi.org/10.1109/ICAACCA51523.2021.9465251","http://dx.doi.org/10.1109/ICAACCA51523.2021.9465251")</f>
        <v>http://dx.doi.org/10.1109/ICAACCA51523.2021.9465251</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1080</v>
      </c>
      <c r="BT108" s="1" t="str">
        <f>HYPERLINK("https%3A%2F%2Fwww.webofscience.com%2Fwos%2Fwoscc%2Ffull-record%2FWOS:000855764500119","View Full Record in Web of Science")</f>
        <v>View Full Record in Web of Science</v>
      </c>
    </row>
    <row r="109" ht="12.75" customHeight="1">
      <c r="A109" s="1" t="s">
        <v>126</v>
      </c>
      <c r="B109" s="1" t="s">
        <v>1081</v>
      </c>
      <c r="C109" s="1" t="s">
        <v>74</v>
      </c>
      <c r="D109" s="1" t="s">
        <v>74</v>
      </c>
      <c r="E109" s="1" t="s">
        <v>128</v>
      </c>
      <c r="F109" s="1" t="s">
        <v>1082</v>
      </c>
      <c r="G109" s="1" t="s">
        <v>74</v>
      </c>
      <c r="H109" s="1" t="s">
        <v>74</v>
      </c>
      <c r="I109" s="1" t="s">
        <v>1083</v>
      </c>
      <c r="J109" s="1" t="s">
        <v>1070</v>
      </c>
      <c r="K109" s="1" t="s">
        <v>74</v>
      </c>
      <c r="L109" s="1" t="s">
        <v>74</v>
      </c>
      <c r="M109" s="1" t="s">
        <v>74</v>
      </c>
      <c r="N109" s="1" t="s">
        <v>74</v>
      </c>
      <c r="O109" s="1" t="s">
        <v>1071</v>
      </c>
      <c r="P109" s="1" t="s">
        <v>1072</v>
      </c>
      <c r="Q109" s="1" t="s">
        <v>1073</v>
      </c>
      <c r="R109" s="1" t="s">
        <v>1074</v>
      </c>
      <c r="S109" s="1" t="s">
        <v>74</v>
      </c>
      <c r="T109" s="1" t="s">
        <v>74</v>
      </c>
      <c r="U109" s="1" t="s">
        <v>74</v>
      </c>
      <c r="V109" s="1" t="s">
        <v>1084</v>
      </c>
      <c r="W109" s="1" t="s">
        <v>74</v>
      </c>
      <c r="X109" s="1" t="s">
        <v>74</v>
      </c>
      <c r="Y109" s="1" t="s">
        <v>74</v>
      </c>
      <c r="Z109" s="1" t="s">
        <v>74</v>
      </c>
      <c r="AA109" s="1" t="s">
        <v>1085</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74</v>
      </c>
      <c r="AP109" s="1" t="s">
        <v>74</v>
      </c>
      <c r="AQ109" s="1" t="s">
        <v>1078</v>
      </c>
      <c r="AR109" s="1" t="s">
        <v>74</v>
      </c>
      <c r="AS109" s="1" t="s">
        <v>74</v>
      </c>
      <c r="AT109" s="1" t="s">
        <v>74</v>
      </c>
      <c r="AU109" s="1">
        <v>2021.0</v>
      </c>
      <c r="AV109" s="1" t="s">
        <v>74</v>
      </c>
      <c r="AW109" s="1" t="s">
        <v>74</v>
      </c>
      <c r="AX109" s="1" t="s">
        <v>74</v>
      </c>
      <c r="AY109" s="1" t="s">
        <v>74</v>
      </c>
      <c r="AZ109" s="1" t="s">
        <v>74</v>
      </c>
      <c r="BA109" s="1" t="s">
        <v>74</v>
      </c>
      <c r="BB109" s="1" t="s">
        <v>74</v>
      </c>
      <c r="BC109" s="1" t="s">
        <v>74</v>
      </c>
      <c r="BD109" s="1" t="s">
        <v>74</v>
      </c>
      <c r="BE109" s="1" t="s">
        <v>1086</v>
      </c>
      <c r="BF109" s="2" t="str">
        <f>HYPERLINK("http://dx.doi.org/10.1109/ICAACCA51523.2021.9465316","http://dx.doi.org/10.1109/ICAACCA51523.2021.9465316")</f>
        <v>http://dx.doi.org/10.1109/ICAACCA51523.2021.9465316</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1087</v>
      </c>
      <c r="BT109" s="1" t="str">
        <f>HYPERLINK("https%3A%2F%2Fwww.webofscience.com%2Fwos%2Fwoscc%2Ffull-record%2FWOS:000855764500054","View Full Record in Web of Science")</f>
        <v>View Full Record in Web of Science</v>
      </c>
    </row>
    <row r="110" ht="12.75" customHeight="1">
      <c r="A110" s="1" t="s">
        <v>72</v>
      </c>
      <c r="B110" s="1" t="s">
        <v>1088</v>
      </c>
      <c r="C110" s="1" t="s">
        <v>74</v>
      </c>
      <c r="D110" s="1" t="s">
        <v>74</v>
      </c>
      <c r="E110" s="1" t="s">
        <v>74</v>
      </c>
      <c r="F110" s="1" t="s">
        <v>1089</v>
      </c>
      <c r="G110" s="1" t="s">
        <v>74</v>
      </c>
      <c r="H110" s="1" t="s">
        <v>74</v>
      </c>
      <c r="I110" s="1" t="s">
        <v>1090</v>
      </c>
      <c r="J110" s="1" t="s">
        <v>1091</v>
      </c>
      <c r="K110" s="1" t="s">
        <v>74</v>
      </c>
      <c r="L110" s="1" t="s">
        <v>74</v>
      </c>
      <c r="M110" s="1" t="s">
        <v>74</v>
      </c>
      <c r="N110" s="1" t="s">
        <v>74</v>
      </c>
      <c r="O110" s="1" t="s">
        <v>74</v>
      </c>
      <c r="P110" s="1" t="s">
        <v>74</v>
      </c>
      <c r="Q110" s="1" t="s">
        <v>74</v>
      </c>
      <c r="R110" s="1" t="s">
        <v>74</v>
      </c>
      <c r="S110" s="1" t="s">
        <v>74</v>
      </c>
      <c r="T110" s="1" t="s">
        <v>74</v>
      </c>
      <c r="U110" s="1" t="s">
        <v>74</v>
      </c>
      <c r="V110" s="1" t="s">
        <v>1092</v>
      </c>
      <c r="W110" s="1" t="s">
        <v>74</v>
      </c>
      <c r="X110" s="1" t="s">
        <v>74</v>
      </c>
      <c r="Y110" s="1" t="s">
        <v>74</v>
      </c>
      <c r="Z110" s="1" t="s">
        <v>74</v>
      </c>
      <c r="AA110" s="1" t="s">
        <v>74</v>
      </c>
      <c r="AB110" s="1" t="s">
        <v>74</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1093</v>
      </c>
      <c r="AP110" s="1" t="s">
        <v>74</v>
      </c>
      <c r="AQ110" s="1" t="s">
        <v>74</v>
      </c>
      <c r="AR110" s="1" t="s">
        <v>74</v>
      </c>
      <c r="AS110" s="1" t="s">
        <v>74</v>
      </c>
      <c r="AT110" s="1" t="s">
        <v>74</v>
      </c>
      <c r="AU110" s="1">
        <v>2021.0</v>
      </c>
      <c r="AV110" s="1">
        <v>49.0</v>
      </c>
      <c r="AW110" s="1" t="s">
        <v>74</v>
      </c>
      <c r="AX110" s="1" t="s">
        <v>74</v>
      </c>
      <c r="AY110" s="1" t="s">
        <v>74</v>
      </c>
      <c r="AZ110" s="1" t="s">
        <v>74</v>
      </c>
      <c r="BA110" s="1" t="s">
        <v>74</v>
      </c>
      <c r="BB110" s="1" t="s">
        <v>74</v>
      </c>
      <c r="BC110" s="1" t="s">
        <v>74</v>
      </c>
      <c r="BD110" s="1">
        <v>3.0</v>
      </c>
      <c r="BE110" s="1" t="s">
        <v>1094</v>
      </c>
      <c r="BF110" s="2" t="str">
        <f>HYPERLINK("http://dx.doi.org/10.22352/MAGALLANIA202149003","http://dx.doi.org/10.22352/MAGALLANIA202149003")</f>
        <v>http://dx.doi.org/10.22352/MAGALLANIA202149003</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1095</v>
      </c>
      <c r="BT110" s="1" t="str">
        <f>HYPERLINK("https%3A%2F%2Fwww.webofscience.com%2Fwos%2Fwoscc%2Ffull-record%2FWOS:000710995900003","View Full Record in Web of Science")</f>
        <v>View Full Record in Web of Science</v>
      </c>
    </row>
    <row r="111" ht="12.75" customHeight="1">
      <c r="A111" s="1" t="s">
        <v>72</v>
      </c>
      <c r="B111" s="1" t="s">
        <v>1096</v>
      </c>
      <c r="C111" s="1" t="s">
        <v>74</v>
      </c>
      <c r="D111" s="1" t="s">
        <v>74</v>
      </c>
      <c r="E111" s="1" t="s">
        <v>74</v>
      </c>
      <c r="F111" s="1" t="s">
        <v>1097</v>
      </c>
      <c r="G111" s="1" t="s">
        <v>74</v>
      </c>
      <c r="H111" s="1" t="s">
        <v>74</v>
      </c>
      <c r="I111" s="1" t="s">
        <v>1098</v>
      </c>
      <c r="J111" s="1" t="s">
        <v>1099</v>
      </c>
      <c r="K111" s="1" t="s">
        <v>74</v>
      </c>
      <c r="L111" s="1" t="s">
        <v>74</v>
      </c>
      <c r="M111" s="1" t="s">
        <v>74</v>
      </c>
      <c r="N111" s="1" t="s">
        <v>74</v>
      </c>
      <c r="O111" s="1" t="s">
        <v>74</v>
      </c>
      <c r="P111" s="1" t="s">
        <v>74</v>
      </c>
      <c r="Q111" s="1" t="s">
        <v>74</v>
      </c>
      <c r="R111" s="1" t="s">
        <v>74</v>
      </c>
      <c r="S111" s="1" t="s">
        <v>74</v>
      </c>
      <c r="T111" s="1" t="s">
        <v>74</v>
      </c>
      <c r="U111" s="1" t="s">
        <v>74</v>
      </c>
      <c r="V111" s="1" t="s">
        <v>1100</v>
      </c>
      <c r="W111" s="1" t="s">
        <v>74</v>
      </c>
      <c r="X111" s="1" t="s">
        <v>74</v>
      </c>
      <c r="Y111" s="1" t="s">
        <v>74</v>
      </c>
      <c r="Z111" s="1" t="s">
        <v>74</v>
      </c>
      <c r="AA111" s="1" t="s">
        <v>74</v>
      </c>
      <c r="AB111" s="1" t="s">
        <v>1101</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1102</v>
      </c>
      <c r="AP111" s="1" t="s">
        <v>1103</v>
      </c>
      <c r="AQ111" s="1" t="s">
        <v>74</v>
      </c>
      <c r="AR111" s="1" t="s">
        <v>74</v>
      </c>
      <c r="AS111" s="1" t="s">
        <v>74</v>
      </c>
      <c r="AT111" s="1" t="s">
        <v>148</v>
      </c>
      <c r="AU111" s="1">
        <v>2020.0</v>
      </c>
      <c r="AV111" s="1" t="s">
        <v>74</v>
      </c>
      <c r="AW111" s="1">
        <v>39.0</v>
      </c>
      <c r="AX111" s="1" t="s">
        <v>74</v>
      </c>
      <c r="AY111" s="1" t="s">
        <v>74</v>
      </c>
      <c r="AZ111" s="1" t="s">
        <v>74</v>
      </c>
      <c r="BA111" s="1" t="s">
        <v>74</v>
      </c>
      <c r="BB111" s="1">
        <v>24.0</v>
      </c>
      <c r="BC111" s="1">
        <v>50.0</v>
      </c>
      <c r="BD111" s="1" t="s">
        <v>74</v>
      </c>
      <c r="BE111" s="1" t="s">
        <v>1104</v>
      </c>
      <c r="BF111" s="2" t="str">
        <f>HYPERLINK("http://dx.doi.org/10.15446/hys.n39.82595","http://dx.doi.org/10.15446/hys.n39.82595")</f>
        <v>http://dx.doi.org/10.15446/hys.n39.82595</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1105</v>
      </c>
      <c r="BT111" s="1" t="str">
        <f>HYPERLINK("https%3A%2F%2Fwww.webofscience.com%2Fwos%2Fwoscc%2Ffull-record%2FWOS:000566774600002","View Full Record in Web of Science")</f>
        <v>View Full Record in Web of Science</v>
      </c>
    </row>
    <row r="112" ht="12.75" customHeight="1">
      <c r="A112" s="1" t="s">
        <v>72</v>
      </c>
      <c r="B112" s="1" t="s">
        <v>1106</v>
      </c>
      <c r="C112" s="1" t="s">
        <v>74</v>
      </c>
      <c r="D112" s="1" t="s">
        <v>74</v>
      </c>
      <c r="E112" s="1" t="s">
        <v>74</v>
      </c>
      <c r="F112" s="1" t="s">
        <v>1107</v>
      </c>
      <c r="G112" s="1" t="s">
        <v>74</v>
      </c>
      <c r="H112" s="1" t="s">
        <v>74</v>
      </c>
      <c r="I112" s="1" t="s">
        <v>1108</v>
      </c>
      <c r="J112" s="1" t="s">
        <v>1109</v>
      </c>
      <c r="K112" s="1" t="s">
        <v>74</v>
      </c>
      <c r="L112" s="1" t="s">
        <v>74</v>
      </c>
      <c r="M112" s="1" t="s">
        <v>74</v>
      </c>
      <c r="N112" s="1" t="s">
        <v>74</v>
      </c>
      <c r="O112" s="1" t="s">
        <v>74</v>
      </c>
      <c r="P112" s="1" t="s">
        <v>74</v>
      </c>
      <c r="Q112" s="1" t="s">
        <v>74</v>
      </c>
      <c r="R112" s="1" t="s">
        <v>74</v>
      </c>
      <c r="S112" s="1" t="s">
        <v>74</v>
      </c>
      <c r="T112" s="1" t="s">
        <v>74</v>
      </c>
      <c r="U112" s="1" t="s">
        <v>74</v>
      </c>
      <c r="V112" s="1" t="s">
        <v>1110</v>
      </c>
      <c r="W112" s="1" t="s">
        <v>74</v>
      </c>
      <c r="X112" s="1" t="s">
        <v>74</v>
      </c>
      <c r="Y112" s="1" t="s">
        <v>74</v>
      </c>
      <c r="Z112" s="1" t="s">
        <v>74</v>
      </c>
      <c r="AA112" s="1" t="s">
        <v>74</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1111</v>
      </c>
      <c r="AP112" s="1" t="s">
        <v>1112</v>
      </c>
      <c r="AQ112" s="1" t="s">
        <v>74</v>
      </c>
      <c r="AR112" s="1" t="s">
        <v>74</v>
      </c>
      <c r="AS112" s="1" t="s">
        <v>74</v>
      </c>
      <c r="AT112" s="1" t="s">
        <v>1113</v>
      </c>
      <c r="AU112" s="1">
        <v>2020.0</v>
      </c>
      <c r="AV112" s="1" t="s">
        <v>74</v>
      </c>
      <c r="AW112" s="1">
        <v>31.0</v>
      </c>
      <c r="AX112" s="1" t="s">
        <v>74</v>
      </c>
      <c r="AY112" s="1" t="s">
        <v>74</v>
      </c>
      <c r="AZ112" s="1" t="s">
        <v>74</v>
      </c>
      <c r="BA112" s="1" t="s">
        <v>74</v>
      </c>
      <c r="BB112" s="1">
        <v>503.0</v>
      </c>
      <c r="BC112" s="1">
        <v>530.0</v>
      </c>
      <c r="BD112" s="1" t="s">
        <v>74</v>
      </c>
      <c r="BE112" s="1" t="s">
        <v>1114</v>
      </c>
      <c r="BF112" s="2" t="str">
        <f>HYPERLINK("http://dx.doi.org/10.30827/sendebar.v31i0.11787","http://dx.doi.org/10.30827/sendebar.v31i0.11787")</f>
        <v>http://dx.doi.org/10.30827/sendebar.v31i0.11787</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1115</v>
      </c>
      <c r="BT112" s="1" t="str">
        <f>HYPERLINK("https%3A%2F%2Fwww.webofscience.com%2Fwos%2Fwoscc%2Ffull-record%2FWOS:000596033300024","View Full Record in Web of Science")</f>
        <v>View Full Record in Web of Science</v>
      </c>
    </row>
    <row r="113" ht="12.75" customHeight="1">
      <c r="A113" s="1" t="s">
        <v>72</v>
      </c>
      <c r="B113" s="1" t="s">
        <v>1116</v>
      </c>
      <c r="C113" s="1" t="s">
        <v>74</v>
      </c>
      <c r="D113" s="1" t="s">
        <v>74</v>
      </c>
      <c r="E113" s="1" t="s">
        <v>74</v>
      </c>
      <c r="F113" s="1" t="s">
        <v>1117</v>
      </c>
      <c r="G113" s="1" t="s">
        <v>74</v>
      </c>
      <c r="H113" s="1" t="s">
        <v>74</v>
      </c>
      <c r="I113" s="1" t="s">
        <v>1118</v>
      </c>
      <c r="J113" s="1" t="s">
        <v>1119</v>
      </c>
      <c r="K113" s="1" t="s">
        <v>74</v>
      </c>
      <c r="L113" s="1" t="s">
        <v>74</v>
      </c>
      <c r="M113" s="1" t="s">
        <v>74</v>
      </c>
      <c r="N113" s="1" t="s">
        <v>74</v>
      </c>
      <c r="O113" s="1" t="s">
        <v>74</v>
      </c>
      <c r="P113" s="1" t="s">
        <v>74</v>
      </c>
      <c r="Q113" s="1" t="s">
        <v>74</v>
      </c>
      <c r="R113" s="1" t="s">
        <v>74</v>
      </c>
      <c r="S113" s="1" t="s">
        <v>74</v>
      </c>
      <c r="T113" s="1" t="s">
        <v>74</v>
      </c>
      <c r="U113" s="1" t="s">
        <v>74</v>
      </c>
      <c r="V113" s="1" t="s">
        <v>1120</v>
      </c>
      <c r="W113" s="1" t="s">
        <v>74</v>
      </c>
      <c r="X113" s="1" t="s">
        <v>74</v>
      </c>
      <c r="Y113" s="1" t="s">
        <v>74</v>
      </c>
      <c r="Z113" s="1" t="s">
        <v>74</v>
      </c>
      <c r="AA113" s="1" t="s">
        <v>1121</v>
      </c>
      <c r="AB113" s="1" t="s">
        <v>1122</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1123</v>
      </c>
      <c r="AP113" s="1" t="s">
        <v>1124</v>
      </c>
      <c r="AQ113" s="1" t="s">
        <v>74</v>
      </c>
      <c r="AR113" s="1" t="s">
        <v>74</v>
      </c>
      <c r="AS113" s="1" t="s">
        <v>74</v>
      </c>
      <c r="AT113" s="1" t="s">
        <v>1125</v>
      </c>
      <c r="AU113" s="1">
        <v>2019.0</v>
      </c>
      <c r="AV113" s="1">
        <v>489.0</v>
      </c>
      <c r="AW113" s="1" t="s">
        <v>74</v>
      </c>
      <c r="AX113" s="1" t="s">
        <v>74</v>
      </c>
      <c r="AY113" s="1" t="s">
        <v>74</v>
      </c>
      <c r="AZ113" s="1" t="s">
        <v>74</v>
      </c>
      <c r="BA113" s="1" t="s">
        <v>74</v>
      </c>
      <c r="BB113" s="1" t="s">
        <v>74</v>
      </c>
      <c r="BC113" s="1" t="s">
        <v>74</v>
      </c>
      <c r="BD113" s="1">
        <v>165456.0</v>
      </c>
      <c r="BE113" s="1" t="s">
        <v>1126</v>
      </c>
      <c r="BF113" s="2" t="str">
        <f>HYPERLINK("http://dx.doi.org/10.1016/j.jmmm.2019.165456","http://dx.doi.org/10.1016/j.jmmm.2019.165456")</f>
        <v>http://dx.doi.org/10.1016/j.jmmm.2019.165456</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1127</v>
      </c>
      <c r="BT113" s="1" t="str">
        <f>HYPERLINK("https%3A%2F%2Fwww.webofscience.com%2Fwos%2Fwoscc%2Ffull-record%2FWOS:000473578000064","View Full Record in Web of Science")</f>
        <v>View Full Record in Web of Science</v>
      </c>
    </row>
    <row r="114" ht="12.75" customHeight="1">
      <c r="A114" s="1" t="s">
        <v>126</v>
      </c>
      <c r="B114" s="1" t="s">
        <v>1128</v>
      </c>
      <c r="C114" s="1" t="s">
        <v>74</v>
      </c>
      <c r="D114" s="1" t="s">
        <v>74</v>
      </c>
      <c r="E114" s="1" t="s">
        <v>128</v>
      </c>
      <c r="F114" s="1" t="s">
        <v>1129</v>
      </c>
      <c r="G114" s="1" t="s">
        <v>74</v>
      </c>
      <c r="H114" s="1" t="s">
        <v>74</v>
      </c>
      <c r="I114" s="1" t="s">
        <v>1130</v>
      </c>
      <c r="J114" s="1" t="s">
        <v>1131</v>
      </c>
      <c r="K114" s="1" t="s">
        <v>74</v>
      </c>
      <c r="L114" s="1" t="s">
        <v>74</v>
      </c>
      <c r="M114" s="1" t="s">
        <v>74</v>
      </c>
      <c r="N114" s="1" t="s">
        <v>74</v>
      </c>
      <c r="O114" s="1" t="s">
        <v>1132</v>
      </c>
      <c r="P114" s="1" t="s">
        <v>1133</v>
      </c>
      <c r="Q114" s="1" t="s">
        <v>1134</v>
      </c>
      <c r="R114" s="1" t="s">
        <v>1135</v>
      </c>
      <c r="S114" s="1" t="s">
        <v>74</v>
      </c>
      <c r="T114" s="1" t="s">
        <v>74</v>
      </c>
      <c r="U114" s="1" t="s">
        <v>74</v>
      </c>
      <c r="V114" s="1" t="s">
        <v>1136</v>
      </c>
      <c r="W114" s="1" t="s">
        <v>74</v>
      </c>
      <c r="X114" s="1" t="s">
        <v>74</v>
      </c>
      <c r="Y114" s="1" t="s">
        <v>74</v>
      </c>
      <c r="Z114" s="1" t="s">
        <v>74</v>
      </c>
      <c r="AA114" s="1" t="s">
        <v>1137</v>
      </c>
      <c r="AB114" s="1" t="s">
        <v>1138</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74</v>
      </c>
      <c r="AP114" s="1" t="s">
        <v>74</v>
      </c>
      <c r="AQ114" s="1" t="s">
        <v>1139</v>
      </c>
      <c r="AR114" s="1" t="s">
        <v>74</v>
      </c>
      <c r="AS114" s="1" t="s">
        <v>74</v>
      </c>
      <c r="AT114" s="1" t="s">
        <v>74</v>
      </c>
      <c r="AU114" s="1">
        <v>2019.0</v>
      </c>
      <c r="AV114" s="1" t="s">
        <v>74</v>
      </c>
      <c r="AW114" s="1" t="s">
        <v>74</v>
      </c>
      <c r="AX114" s="1" t="s">
        <v>74</v>
      </c>
      <c r="AY114" s="1" t="s">
        <v>74</v>
      </c>
      <c r="AZ114" s="1" t="s">
        <v>74</v>
      </c>
      <c r="BA114" s="1" t="s">
        <v>74</v>
      </c>
      <c r="BB114" s="1" t="s">
        <v>74</v>
      </c>
      <c r="BC114" s="1" t="s">
        <v>74</v>
      </c>
      <c r="BD114" s="1" t="s">
        <v>74</v>
      </c>
      <c r="BE114" s="1" t="s">
        <v>74</v>
      </c>
      <c r="BF114" s="1" t="s">
        <v>74</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1140</v>
      </c>
      <c r="BT114" s="1" t="str">
        <f>HYPERLINK("https%3A%2F%2Fwww.webofscience.com%2Fwos%2Fwoscc%2Ffull-record%2FWOS:000542919100172","View Full Record in Web of Science")</f>
        <v>View Full Record in Web of Science</v>
      </c>
    </row>
    <row r="115" ht="12.75" customHeight="1">
      <c r="A115" s="1" t="s">
        <v>105</v>
      </c>
      <c r="B115" s="1" t="s">
        <v>1141</v>
      </c>
      <c r="C115" s="1" t="s">
        <v>74</v>
      </c>
      <c r="D115" s="1" t="s">
        <v>74</v>
      </c>
      <c r="E115" s="1" t="s">
        <v>1142</v>
      </c>
      <c r="F115" s="1" t="s">
        <v>1143</v>
      </c>
      <c r="G115" s="1" t="s">
        <v>74</v>
      </c>
      <c r="H115" s="1" t="s">
        <v>74</v>
      </c>
      <c r="I115" s="1" t="s">
        <v>1144</v>
      </c>
      <c r="J115" s="1" t="s">
        <v>1145</v>
      </c>
      <c r="K115" s="1" t="s">
        <v>74</v>
      </c>
      <c r="L115" s="1" t="s">
        <v>74</v>
      </c>
      <c r="M115" s="1" t="s">
        <v>74</v>
      </c>
      <c r="N115" s="1" t="s">
        <v>74</v>
      </c>
      <c r="O115" s="1" t="s">
        <v>74</v>
      </c>
      <c r="P115" s="1" t="s">
        <v>74</v>
      </c>
      <c r="Q115" s="1" t="s">
        <v>74</v>
      </c>
      <c r="R115" s="1" t="s">
        <v>74</v>
      </c>
      <c r="S115" s="1" t="s">
        <v>74</v>
      </c>
      <c r="T115" s="1" t="s">
        <v>74</v>
      </c>
      <c r="U115" s="1" t="s">
        <v>74</v>
      </c>
      <c r="V115" s="1" t="s">
        <v>1146</v>
      </c>
      <c r="W115" s="1" t="s">
        <v>74</v>
      </c>
      <c r="X115" s="1" t="s">
        <v>74</v>
      </c>
      <c r="Y115" s="1" t="s">
        <v>74</v>
      </c>
      <c r="Z115" s="1" t="s">
        <v>74</v>
      </c>
      <c r="AA115" s="1" t="s">
        <v>1147</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74</v>
      </c>
      <c r="AP115" s="1" t="s">
        <v>74</v>
      </c>
      <c r="AQ115" s="1" t="s">
        <v>1148</v>
      </c>
      <c r="AR115" s="1" t="s">
        <v>74</v>
      </c>
      <c r="AS115" s="1" t="s">
        <v>74</v>
      </c>
      <c r="AT115" s="1" t="s">
        <v>74</v>
      </c>
      <c r="AU115" s="1">
        <v>2019.0</v>
      </c>
      <c r="AV115" s="1" t="s">
        <v>74</v>
      </c>
      <c r="AW115" s="1" t="s">
        <v>74</v>
      </c>
      <c r="AX115" s="1" t="s">
        <v>74</v>
      </c>
      <c r="AY115" s="1" t="s">
        <v>74</v>
      </c>
      <c r="AZ115" s="1" t="s">
        <v>74</v>
      </c>
      <c r="BA115" s="1" t="s">
        <v>74</v>
      </c>
      <c r="BB115" s="1">
        <v>79.0</v>
      </c>
      <c r="BC115" s="1">
        <v>88.0</v>
      </c>
      <c r="BD115" s="1" t="s">
        <v>74</v>
      </c>
      <c r="BE115" s="1" t="s">
        <v>74</v>
      </c>
      <c r="BF115" s="1" t="s">
        <v>74</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1149</v>
      </c>
      <c r="BT115" s="1" t="str">
        <f>HYPERLINK("https%3A%2F%2Fwww.webofscience.com%2Fwos%2Fwoscc%2Ffull-record%2FWOS:000886992800007","View Full Record in Web of Science")</f>
        <v>View Full Record in Web of Science</v>
      </c>
    </row>
    <row r="116" ht="12.75" customHeight="1">
      <c r="A116" s="1" t="s">
        <v>126</v>
      </c>
      <c r="B116" s="1" t="s">
        <v>1150</v>
      </c>
      <c r="C116" s="1" t="s">
        <v>74</v>
      </c>
      <c r="D116" s="1" t="s">
        <v>74</v>
      </c>
      <c r="E116" s="1" t="s">
        <v>128</v>
      </c>
      <c r="F116" s="1" t="s">
        <v>1151</v>
      </c>
      <c r="G116" s="1" t="s">
        <v>74</v>
      </c>
      <c r="H116" s="1" t="s">
        <v>74</v>
      </c>
      <c r="I116" s="1" t="s">
        <v>1152</v>
      </c>
      <c r="J116" s="1" t="s">
        <v>1153</v>
      </c>
      <c r="K116" s="1" t="s">
        <v>1154</v>
      </c>
      <c r="L116" s="1" t="s">
        <v>74</v>
      </c>
      <c r="M116" s="1" t="s">
        <v>74</v>
      </c>
      <c r="N116" s="1" t="s">
        <v>74</v>
      </c>
      <c r="O116" s="1" t="s">
        <v>1155</v>
      </c>
      <c r="P116" s="1" t="s">
        <v>1156</v>
      </c>
      <c r="Q116" s="1" t="s">
        <v>1157</v>
      </c>
      <c r="R116" s="1" t="s">
        <v>1158</v>
      </c>
      <c r="S116" s="1" t="s">
        <v>1159</v>
      </c>
      <c r="T116" s="1" t="s">
        <v>74</v>
      </c>
      <c r="U116" s="1" t="s">
        <v>74</v>
      </c>
      <c r="V116" s="1" t="s">
        <v>1160</v>
      </c>
      <c r="W116" s="1" t="s">
        <v>74</v>
      </c>
      <c r="X116" s="1" t="s">
        <v>74</v>
      </c>
      <c r="Y116" s="1" t="s">
        <v>74</v>
      </c>
      <c r="Z116" s="1" t="s">
        <v>74</v>
      </c>
      <c r="AA116" s="1" t="s">
        <v>1161</v>
      </c>
      <c r="AB116" s="1" t="s">
        <v>1162</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1163</v>
      </c>
      <c r="AP116" s="1" t="s">
        <v>74</v>
      </c>
      <c r="AQ116" s="1" t="s">
        <v>1164</v>
      </c>
      <c r="AR116" s="1" t="s">
        <v>74</v>
      </c>
      <c r="AS116" s="1" t="s">
        <v>74</v>
      </c>
      <c r="AT116" s="1" t="s">
        <v>74</v>
      </c>
      <c r="AU116" s="1">
        <v>2019.0</v>
      </c>
      <c r="AV116" s="1" t="s">
        <v>74</v>
      </c>
      <c r="AW116" s="1" t="s">
        <v>74</v>
      </c>
      <c r="AX116" s="1" t="s">
        <v>74</v>
      </c>
      <c r="AY116" s="1" t="s">
        <v>74</v>
      </c>
      <c r="AZ116" s="1" t="s">
        <v>74</v>
      </c>
      <c r="BA116" s="1" t="s">
        <v>74</v>
      </c>
      <c r="BB116" s="1" t="s">
        <v>74</v>
      </c>
      <c r="BC116" s="1" t="s">
        <v>74</v>
      </c>
      <c r="BD116" s="1" t="s">
        <v>74</v>
      </c>
      <c r="BE116" s="1" t="s">
        <v>1165</v>
      </c>
      <c r="BF116" s="2" t="str">
        <f>HYPERLINK("http://dx.doi.org/10.1109/sccc49216.2019.8966411","http://dx.doi.org/10.1109/sccc49216.2019.8966411")</f>
        <v>http://dx.doi.org/10.1109/sccc49216.2019.8966411</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1166</v>
      </c>
      <c r="BT116" s="1" t="str">
        <f>HYPERLINK("https%3A%2F%2Fwww.webofscience.com%2Fwos%2Fwoscc%2Ffull-record%2FWOS:000540055800021","View Full Record in Web of Science")</f>
        <v>View Full Record in Web of Science</v>
      </c>
    </row>
    <row r="117" ht="12.75" customHeight="1">
      <c r="A117" s="1" t="s">
        <v>72</v>
      </c>
      <c r="B117" s="1" t="s">
        <v>1167</v>
      </c>
      <c r="C117" s="1" t="s">
        <v>74</v>
      </c>
      <c r="D117" s="1" t="s">
        <v>74</v>
      </c>
      <c r="E117" s="1" t="s">
        <v>74</v>
      </c>
      <c r="F117" s="1" t="s">
        <v>1168</v>
      </c>
      <c r="G117" s="1" t="s">
        <v>74</v>
      </c>
      <c r="H117" s="1" t="s">
        <v>74</v>
      </c>
      <c r="I117" s="1" t="s">
        <v>1169</v>
      </c>
      <c r="J117" s="1" t="s">
        <v>1170</v>
      </c>
      <c r="K117" s="1" t="s">
        <v>74</v>
      </c>
      <c r="L117" s="1" t="s">
        <v>74</v>
      </c>
      <c r="M117" s="1" t="s">
        <v>74</v>
      </c>
      <c r="N117" s="1" t="s">
        <v>74</v>
      </c>
      <c r="O117" s="1" t="s">
        <v>74</v>
      </c>
      <c r="P117" s="1" t="s">
        <v>74</v>
      </c>
      <c r="Q117" s="1" t="s">
        <v>74</v>
      </c>
      <c r="R117" s="1" t="s">
        <v>74</v>
      </c>
      <c r="S117" s="1" t="s">
        <v>74</v>
      </c>
      <c r="T117" s="1" t="s">
        <v>74</v>
      </c>
      <c r="U117" s="1" t="s">
        <v>74</v>
      </c>
      <c r="V117" s="1" t="s">
        <v>74</v>
      </c>
      <c r="W117" s="1" t="s">
        <v>74</v>
      </c>
      <c r="X117" s="1" t="s">
        <v>74</v>
      </c>
      <c r="Y117" s="1" t="s">
        <v>74</v>
      </c>
      <c r="Z117" s="1" t="s">
        <v>74</v>
      </c>
      <c r="AA117" s="1" t="s">
        <v>74</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1171</v>
      </c>
      <c r="AP117" s="1" t="s">
        <v>1172</v>
      </c>
      <c r="AQ117" s="1" t="s">
        <v>74</v>
      </c>
      <c r="AR117" s="1" t="s">
        <v>74</v>
      </c>
      <c r="AS117" s="1" t="s">
        <v>74</v>
      </c>
      <c r="AT117" s="1" t="s">
        <v>82</v>
      </c>
      <c r="AU117" s="1">
        <v>2018.0</v>
      </c>
      <c r="AV117" s="1">
        <v>14.0</v>
      </c>
      <c r="AW117" s="1" t="s">
        <v>74</v>
      </c>
      <c r="AX117" s="1" t="s">
        <v>74</v>
      </c>
      <c r="AY117" s="1">
        <v>1.0</v>
      </c>
      <c r="AZ117" s="1" t="s">
        <v>74</v>
      </c>
      <c r="BA117" s="1">
        <v>11.0</v>
      </c>
      <c r="BB117" s="1" t="s">
        <v>1173</v>
      </c>
      <c r="BC117" s="1" t="s">
        <v>1174</v>
      </c>
      <c r="BD117" s="1" t="s">
        <v>74</v>
      </c>
      <c r="BE117" s="1" t="s">
        <v>74</v>
      </c>
      <c r="BF117" s="1" t="s">
        <v>74</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1175</v>
      </c>
      <c r="BT117" s="1" t="str">
        <f>HYPERLINK("https%3A%2F%2Fwww.webofscience.com%2Fwos%2Fwoscc%2Ffull-record%2FWOS:000456281300205","View Full Record in Web of Science")</f>
        <v>View Full Record in Web of Science</v>
      </c>
    </row>
    <row r="118" ht="12.75" customHeight="1">
      <c r="A118" s="1" t="s">
        <v>72</v>
      </c>
      <c r="B118" s="1" t="s">
        <v>1176</v>
      </c>
      <c r="C118" s="1" t="s">
        <v>74</v>
      </c>
      <c r="D118" s="1" t="s">
        <v>74</v>
      </c>
      <c r="E118" s="1" t="s">
        <v>74</v>
      </c>
      <c r="F118" s="1" t="s">
        <v>1177</v>
      </c>
      <c r="G118" s="1" t="s">
        <v>74</v>
      </c>
      <c r="H118" s="1" t="s">
        <v>74</v>
      </c>
      <c r="I118" s="1" t="s">
        <v>1178</v>
      </c>
      <c r="J118" s="1" t="s">
        <v>1179</v>
      </c>
      <c r="K118" s="1" t="s">
        <v>74</v>
      </c>
      <c r="L118" s="1" t="s">
        <v>74</v>
      </c>
      <c r="M118" s="1" t="s">
        <v>74</v>
      </c>
      <c r="N118" s="1" t="s">
        <v>74</v>
      </c>
      <c r="O118" s="1" t="s">
        <v>74</v>
      </c>
      <c r="P118" s="1" t="s">
        <v>74</v>
      </c>
      <c r="Q118" s="1" t="s">
        <v>74</v>
      </c>
      <c r="R118" s="1" t="s">
        <v>74</v>
      </c>
      <c r="S118" s="1" t="s">
        <v>74</v>
      </c>
      <c r="T118" s="1" t="s">
        <v>74</v>
      </c>
      <c r="U118" s="1" t="s">
        <v>74</v>
      </c>
      <c r="V118" s="1" t="s">
        <v>1180</v>
      </c>
      <c r="W118" s="1" t="s">
        <v>74</v>
      </c>
      <c r="X118" s="1" t="s">
        <v>74</v>
      </c>
      <c r="Y118" s="1" t="s">
        <v>74</v>
      </c>
      <c r="Z118" s="1" t="s">
        <v>74</v>
      </c>
      <c r="AA118" s="1" t="s">
        <v>1181</v>
      </c>
      <c r="AB118" s="1" t="s">
        <v>1182</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1183</v>
      </c>
      <c r="AP118" s="1" t="s">
        <v>1184</v>
      </c>
      <c r="AQ118" s="1" t="s">
        <v>74</v>
      </c>
      <c r="AR118" s="1" t="s">
        <v>74</v>
      </c>
      <c r="AS118" s="1" t="s">
        <v>74</v>
      </c>
      <c r="AT118" s="1" t="s">
        <v>410</v>
      </c>
      <c r="AU118" s="1">
        <v>2018.0</v>
      </c>
      <c r="AV118" s="1">
        <v>55.0</v>
      </c>
      <c r="AW118" s="1">
        <v>11.0</v>
      </c>
      <c r="AX118" s="1" t="s">
        <v>74</v>
      </c>
      <c r="AY118" s="1" t="s">
        <v>74</v>
      </c>
      <c r="AZ118" s="1" t="s">
        <v>74</v>
      </c>
      <c r="BA118" s="1" t="s">
        <v>74</v>
      </c>
      <c r="BB118" s="1">
        <v>4687.0</v>
      </c>
      <c r="BC118" s="1">
        <v>4693.0</v>
      </c>
      <c r="BD118" s="1" t="s">
        <v>74</v>
      </c>
      <c r="BE118" s="1" t="s">
        <v>1185</v>
      </c>
      <c r="BF118" s="2" t="str">
        <f>HYPERLINK("http://dx.doi.org/10.1007/s13197-018-3395-4","http://dx.doi.org/10.1007/s13197-018-3395-4")</f>
        <v>http://dx.doi.org/10.1007/s13197-018-3395-4</v>
      </c>
      <c r="BG118" s="1" t="s">
        <v>74</v>
      </c>
      <c r="BH118" s="1" t="s">
        <v>74</v>
      </c>
      <c r="BI118" s="1" t="s">
        <v>74</v>
      </c>
      <c r="BJ118" s="1" t="s">
        <v>74</v>
      </c>
      <c r="BK118" s="1" t="s">
        <v>74</v>
      </c>
      <c r="BL118" s="1" t="s">
        <v>74</v>
      </c>
      <c r="BM118" s="1" t="s">
        <v>74</v>
      </c>
      <c r="BN118" s="1">
        <v>3.0333666E7</v>
      </c>
      <c r="BO118" s="1" t="s">
        <v>74</v>
      </c>
      <c r="BP118" s="1" t="s">
        <v>74</v>
      </c>
      <c r="BQ118" s="1" t="s">
        <v>74</v>
      </c>
      <c r="BR118" s="1" t="s">
        <v>74</v>
      </c>
      <c r="BS118" s="1" t="s">
        <v>1186</v>
      </c>
      <c r="BT118" s="1" t="str">
        <f>HYPERLINK("https%3A%2F%2Fwww.webofscience.com%2Fwos%2Fwoscc%2Ffull-record%2FWOS:000446480300034","View Full Record in Web of Science")</f>
        <v>View Full Record in Web of Science</v>
      </c>
    </row>
    <row r="119" ht="12.75" customHeight="1">
      <c r="A119" s="1" t="s">
        <v>72</v>
      </c>
      <c r="B119" s="1" t="s">
        <v>1187</v>
      </c>
      <c r="C119" s="1" t="s">
        <v>74</v>
      </c>
      <c r="D119" s="1" t="s">
        <v>74</v>
      </c>
      <c r="E119" s="1" t="s">
        <v>74</v>
      </c>
      <c r="F119" s="1" t="s">
        <v>1188</v>
      </c>
      <c r="G119" s="1" t="s">
        <v>74</v>
      </c>
      <c r="H119" s="1" t="s">
        <v>74</v>
      </c>
      <c r="I119" s="1" t="s">
        <v>1189</v>
      </c>
      <c r="J119" s="1" t="s">
        <v>1190</v>
      </c>
      <c r="K119" s="1" t="s">
        <v>74</v>
      </c>
      <c r="L119" s="1" t="s">
        <v>74</v>
      </c>
      <c r="M119" s="1" t="s">
        <v>74</v>
      </c>
      <c r="N119" s="1" t="s">
        <v>74</v>
      </c>
      <c r="O119" s="1" t="s">
        <v>74</v>
      </c>
      <c r="P119" s="1" t="s">
        <v>74</v>
      </c>
      <c r="Q119" s="1" t="s">
        <v>74</v>
      </c>
      <c r="R119" s="1" t="s">
        <v>74</v>
      </c>
      <c r="S119" s="1" t="s">
        <v>74</v>
      </c>
      <c r="T119" s="1" t="s">
        <v>74</v>
      </c>
      <c r="U119" s="1" t="s">
        <v>74</v>
      </c>
      <c r="V119" s="1" t="s">
        <v>74</v>
      </c>
      <c r="W119" s="1" t="s">
        <v>74</v>
      </c>
      <c r="X119" s="1" t="s">
        <v>74</v>
      </c>
      <c r="Y119" s="1" t="s">
        <v>74</v>
      </c>
      <c r="Z119" s="1" t="s">
        <v>74</v>
      </c>
      <c r="AA119" s="1" t="s">
        <v>74</v>
      </c>
      <c r="AB119" s="1" t="s">
        <v>74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1191</v>
      </c>
      <c r="AP119" s="1" t="s">
        <v>1192</v>
      </c>
      <c r="AQ119" s="1" t="s">
        <v>74</v>
      </c>
      <c r="AR119" s="1" t="s">
        <v>74</v>
      </c>
      <c r="AS119" s="1" t="s">
        <v>74</v>
      </c>
      <c r="AT119" s="1" t="s">
        <v>1193</v>
      </c>
      <c r="AU119" s="1">
        <v>2018.0</v>
      </c>
      <c r="AV119" s="1">
        <v>34.0</v>
      </c>
      <c r="AW119" s="1">
        <v>1.0</v>
      </c>
      <c r="AX119" s="1" t="s">
        <v>74</v>
      </c>
      <c r="AY119" s="1" t="s">
        <v>74</v>
      </c>
      <c r="AZ119" s="1" t="s">
        <v>74</v>
      </c>
      <c r="BA119" s="1" t="s">
        <v>74</v>
      </c>
      <c r="BB119" s="1">
        <v>94.0</v>
      </c>
      <c r="BC119" s="1">
        <v>103.0</v>
      </c>
      <c r="BD119" s="1" t="s">
        <v>74</v>
      </c>
      <c r="BE119" s="1" t="s">
        <v>74</v>
      </c>
      <c r="BF119" s="1" t="s">
        <v>74</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1194</v>
      </c>
      <c r="BT119" s="1" t="str">
        <f>HYPERLINK("https%3A%2F%2Fwww.webofscience.com%2Fwos%2Fwoscc%2Ffull-record%2FWOS:000454332800010","View Full Record in Web of Science")</f>
        <v>View Full Record in Web of Science</v>
      </c>
    </row>
    <row r="120" ht="12.75" customHeight="1">
      <c r="A120" s="1" t="s">
        <v>72</v>
      </c>
      <c r="B120" s="1" t="s">
        <v>1195</v>
      </c>
      <c r="C120" s="1" t="s">
        <v>74</v>
      </c>
      <c r="D120" s="1" t="s">
        <v>74</v>
      </c>
      <c r="E120" s="1" t="s">
        <v>74</v>
      </c>
      <c r="F120" s="1" t="s">
        <v>1196</v>
      </c>
      <c r="G120" s="1" t="s">
        <v>74</v>
      </c>
      <c r="H120" s="1" t="s">
        <v>74</v>
      </c>
      <c r="I120" s="1" t="s">
        <v>1197</v>
      </c>
      <c r="J120" s="1" t="s">
        <v>1198</v>
      </c>
      <c r="K120" s="1" t="s">
        <v>74</v>
      </c>
      <c r="L120" s="1" t="s">
        <v>74</v>
      </c>
      <c r="M120" s="1" t="s">
        <v>74</v>
      </c>
      <c r="N120" s="1" t="s">
        <v>74</v>
      </c>
      <c r="O120" s="1" t="s">
        <v>74</v>
      </c>
      <c r="P120" s="1" t="s">
        <v>74</v>
      </c>
      <c r="Q120" s="1" t="s">
        <v>74</v>
      </c>
      <c r="R120" s="1" t="s">
        <v>74</v>
      </c>
      <c r="S120" s="1" t="s">
        <v>74</v>
      </c>
      <c r="T120" s="1" t="s">
        <v>74</v>
      </c>
      <c r="U120" s="1" t="s">
        <v>74</v>
      </c>
      <c r="V120" s="1" t="s">
        <v>74</v>
      </c>
      <c r="W120" s="1" t="s">
        <v>74</v>
      </c>
      <c r="X120" s="1" t="s">
        <v>74</v>
      </c>
      <c r="Y120" s="1" t="s">
        <v>74</v>
      </c>
      <c r="Z120" s="1" t="s">
        <v>74</v>
      </c>
      <c r="AA120" s="1" t="s">
        <v>1199</v>
      </c>
      <c r="AB120" s="1" t="s">
        <v>74</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1200</v>
      </c>
      <c r="AP120" s="1" t="s">
        <v>74</v>
      </c>
      <c r="AQ120" s="1" t="s">
        <v>74</v>
      </c>
      <c r="AR120" s="1" t="s">
        <v>74</v>
      </c>
      <c r="AS120" s="1" t="s">
        <v>74</v>
      </c>
      <c r="AT120" s="1" t="s">
        <v>1201</v>
      </c>
      <c r="AU120" s="1">
        <v>2018.0</v>
      </c>
      <c r="AV120" s="1">
        <v>53.0</v>
      </c>
      <c r="AW120" s="1">
        <v>3.0</v>
      </c>
      <c r="AX120" s="1" t="s">
        <v>74</v>
      </c>
      <c r="AY120" s="1" t="s">
        <v>74</v>
      </c>
      <c r="AZ120" s="1" t="s">
        <v>74</v>
      </c>
      <c r="BA120" s="1" t="s">
        <v>74</v>
      </c>
      <c r="BB120" s="1">
        <v>4.0</v>
      </c>
      <c r="BC120" s="1">
        <v>9.0</v>
      </c>
      <c r="BD120" s="1" t="s">
        <v>74</v>
      </c>
      <c r="BE120" s="1" t="s">
        <v>74</v>
      </c>
      <c r="BF120" s="1" t="s">
        <v>74</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1202</v>
      </c>
      <c r="BT120" s="1" t="str">
        <f>HYPERLINK("https%3A%2F%2Fwww.webofscience.com%2Fwos%2Fwoscc%2Ffull-record%2FWOS:000431669100002","View Full Record in Web of Science")</f>
        <v>View Full Record in Web of Science</v>
      </c>
    </row>
    <row r="121" ht="12.75" customHeight="1">
      <c r="A121" s="1" t="s">
        <v>72</v>
      </c>
      <c r="B121" s="1" t="s">
        <v>1203</v>
      </c>
      <c r="C121" s="1" t="s">
        <v>74</v>
      </c>
      <c r="D121" s="1" t="s">
        <v>74</v>
      </c>
      <c r="E121" s="1" t="s">
        <v>74</v>
      </c>
      <c r="F121" s="1" t="s">
        <v>1204</v>
      </c>
      <c r="G121" s="1" t="s">
        <v>74</v>
      </c>
      <c r="H121" s="1" t="s">
        <v>74</v>
      </c>
      <c r="I121" s="1" t="s">
        <v>1205</v>
      </c>
      <c r="J121" s="1" t="s">
        <v>1206</v>
      </c>
      <c r="K121" s="1" t="s">
        <v>74</v>
      </c>
      <c r="L121" s="1" t="s">
        <v>74</v>
      </c>
      <c r="M121" s="1" t="s">
        <v>74</v>
      </c>
      <c r="N121" s="1" t="s">
        <v>74</v>
      </c>
      <c r="O121" s="1" t="s">
        <v>74</v>
      </c>
      <c r="P121" s="1" t="s">
        <v>74</v>
      </c>
      <c r="Q121" s="1" t="s">
        <v>74</v>
      </c>
      <c r="R121" s="1" t="s">
        <v>74</v>
      </c>
      <c r="S121" s="1" t="s">
        <v>74</v>
      </c>
      <c r="T121" s="1" t="s">
        <v>74</v>
      </c>
      <c r="U121" s="1" t="s">
        <v>74</v>
      </c>
      <c r="V121" s="1" t="s">
        <v>1207</v>
      </c>
      <c r="W121" s="1" t="s">
        <v>74</v>
      </c>
      <c r="X121" s="1" t="s">
        <v>74</v>
      </c>
      <c r="Y121" s="1" t="s">
        <v>74</v>
      </c>
      <c r="Z121" s="1" t="s">
        <v>74</v>
      </c>
      <c r="AA121" s="1" t="s">
        <v>1208</v>
      </c>
      <c r="AB121" s="1" t="s">
        <v>1209</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1210</v>
      </c>
      <c r="AP121" s="1" t="s">
        <v>1211</v>
      </c>
      <c r="AQ121" s="1" t="s">
        <v>74</v>
      </c>
      <c r="AR121" s="1" t="s">
        <v>74</v>
      </c>
      <c r="AS121" s="1" t="s">
        <v>74</v>
      </c>
      <c r="AT121" s="1" t="s">
        <v>123</v>
      </c>
      <c r="AU121" s="1">
        <v>2018.0</v>
      </c>
      <c r="AV121" s="1">
        <v>162.0</v>
      </c>
      <c r="AW121" s="1" t="s">
        <v>74</v>
      </c>
      <c r="AX121" s="1" t="s">
        <v>74</v>
      </c>
      <c r="AY121" s="1" t="s">
        <v>74</v>
      </c>
      <c r="AZ121" s="1" t="s">
        <v>74</v>
      </c>
      <c r="BA121" s="1" t="s">
        <v>74</v>
      </c>
      <c r="BB121" s="1">
        <v>153.0</v>
      </c>
      <c r="BC121" s="1">
        <v>156.0</v>
      </c>
      <c r="BD121" s="1" t="s">
        <v>74</v>
      </c>
      <c r="BE121" s="1" t="s">
        <v>1212</v>
      </c>
      <c r="BF121" s="2" t="str">
        <f>HYPERLINK("http://dx.doi.org/10.1016/j.econlet.2017.11.023","http://dx.doi.org/10.1016/j.econlet.2017.11.023")</f>
        <v>http://dx.doi.org/10.1016/j.econlet.2017.11.023</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1213</v>
      </c>
      <c r="BT121" s="1" t="str">
        <f>HYPERLINK("https%3A%2F%2Fwww.webofscience.com%2Fwos%2Fwoscc%2Ffull-record%2FWOS:000423001500035","View Full Record in Web of Science")</f>
        <v>View Full Record in Web of Science</v>
      </c>
    </row>
    <row r="122" ht="12.75" customHeight="1">
      <c r="A122" s="1" t="s">
        <v>105</v>
      </c>
      <c r="B122" s="1" t="s">
        <v>1214</v>
      </c>
      <c r="C122" s="1" t="s">
        <v>74</v>
      </c>
      <c r="D122" s="1" t="s">
        <v>1215</v>
      </c>
      <c r="E122" s="1" t="s">
        <v>74</v>
      </c>
      <c r="F122" s="1" t="s">
        <v>1216</v>
      </c>
      <c r="G122" s="1" t="s">
        <v>74</v>
      </c>
      <c r="H122" s="1" t="s">
        <v>74</v>
      </c>
      <c r="I122" s="1" t="s">
        <v>1217</v>
      </c>
      <c r="J122" s="1" t="s">
        <v>1218</v>
      </c>
      <c r="K122" s="1" t="s">
        <v>74</v>
      </c>
      <c r="L122" s="1" t="s">
        <v>74</v>
      </c>
      <c r="M122" s="1" t="s">
        <v>74</v>
      </c>
      <c r="N122" s="1" t="s">
        <v>74</v>
      </c>
      <c r="O122" s="1" t="s">
        <v>74</v>
      </c>
      <c r="P122" s="1" t="s">
        <v>74</v>
      </c>
      <c r="Q122" s="1" t="s">
        <v>74</v>
      </c>
      <c r="R122" s="1" t="s">
        <v>74</v>
      </c>
      <c r="S122" s="1" t="s">
        <v>74</v>
      </c>
      <c r="T122" s="1" t="s">
        <v>74</v>
      </c>
      <c r="U122" s="1" t="s">
        <v>74</v>
      </c>
      <c r="V122" s="1" t="s">
        <v>74</v>
      </c>
      <c r="W122" s="1" t="s">
        <v>74</v>
      </c>
      <c r="X122" s="1" t="s">
        <v>74</v>
      </c>
      <c r="Y122" s="1" t="s">
        <v>74</v>
      </c>
      <c r="Z122" s="1" t="s">
        <v>74</v>
      </c>
      <c r="AA122" s="1" t="s">
        <v>74</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74</v>
      </c>
      <c r="AP122" s="1" t="s">
        <v>74</v>
      </c>
      <c r="AQ122" s="1" t="s">
        <v>1219</v>
      </c>
      <c r="AR122" s="1" t="s">
        <v>74</v>
      </c>
      <c r="AS122" s="1" t="s">
        <v>74</v>
      </c>
      <c r="AT122" s="1" t="s">
        <v>74</v>
      </c>
      <c r="AU122" s="1">
        <v>2018.0</v>
      </c>
      <c r="AV122" s="1" t="s">
        <v>74</v>
      </c>
      <c r="AW122" s="1" t="s">
        <v>74</v>
      </c>
      <c r="AX122" s="1" t="s">
        <v>74</v>
      </c>
      <c r="AY122" s="1" t="s">
        <v>74</v>
      </c>
      <c r="AZ122" s="1" t="s">
        <v>74</v>
      </c>
      <c r="BA122" s="1" t="s">
        <v>74</v>
      </c>
      <c r="BB122" s="1">
        <v>225.0</v>
      </c>
      <c r="BC122" s="1">
        <v>246.0</v>
      </c>
      <c r="BD122" s="1" t="s">
        <v>74</v>
      </c>
      <c r="BE122" s="1" t="s">
        <v>74</v>
      </c>
      <c r="BF122" s="1" t="s">
        <v>74</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1220</v>
      </c>
      <c r="BT122" s="1" t="str">
        <f>HYPERLINK("https%3A%2F%2Fwww.webofscience.com%2Fwos%2Fwoscc%2Ffull-record%2FWOS:000575669100010","View Full Record in Web of Science")</f>
        <v>View Full Record in Web of Science</v>
      </c>
    </row>
    <row r="123" ht="12.75" customHeight="1">
      <c r="A123" s="1" t="s">
        <v>126</v>
      </c>
      <c r="B123" s="1" t="s">
        <v>1221</v>
      </c>
      <c r="C123" s="1" t="s">
        <v>74</v>
      </c>
      <c r="D123" s="1" t="s">
        <v>1222</v>
      </c>
      <c r="E123" s="1" t="s">
        <v>74</v>
      </c>
      <c r="F123" s="1" t="s">
        <v>1223</v>
      </c>
      <c r="G123" s="1" t="s">
        <v>74</v>
      </c>
      <c r="H123" s="1" t="s">
        <v>74</v>
      </c>
      <c r="I123" s="1" t="s">
        <v>1224</v>
      </c>
      <c r="J123" s="1" t="s">
        <v>1225</v>
      </c>
      <c r="K123" s="1" t="s">
        <v>1226</v>
      </c>
      <c r="L123" s="1" t="s">
        <v>74</v>
      </c>
      <c r="M123" s="1" t="s">
        <v>74</v>
      </c>
      <c r="N123" s="1" t="s">
        <v>74</v>
      </c>
      <c r="O123" s="1" t="s">
        <v>1227</v>
      </c>
      <c r="P123" s="1" t="s">
        <v>1228</v>
      </c>
      <c r="Q123" s="1" t="s">
        <v>1229</v>
      </c>
      <c r="R123" s="1" t="s">
        <v>1230</v>
      </c>
      <c r="S123" s="1" t="s">
        <v>1231</v>
      </c>
      <c r="T123" s="1" t="s">
        <v>74</v>
      </c>
      <c r="U123" s="1" t="s">
        <v>74</v>
      </c>
      <c r="V123" s="1" t="s">
        <v>1232</v>
      </c>
      <c r="W123" s="1" t="s">
        <v>74</v>
      </c>
      <c r="X123" s="1" t="s">
        <v>74</v>
      </c>
      <c r="Y123" s="1" t="s">
        <v>74</v>
      </c>
      <c r="Z123" s="1" t="s">
        <v>74</v>
      </c>
      <c r="AA123" s="1" t="s">
        <v>1233</v>
      </c>
      <c r="AB123" s="1" t="s">
        <v>1234</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1235</v>
      </c>
      <c r="AP123" s="1" t="s">
        <v>1236</v>
      </c>
      <c r="AQ123" s="1" t="s">
        <v>74</v>
      </c>
      <c r="AR123" s="1" t="s">
        <v>74</v>
      </c>
      <c r="AS123" s="1" t="s">
        <v>74</v>
      </c>
      <c r="AT123" s="1" t="s">
        <v>74</v>
      </c>
      <c r="AU123" s="1">
        <v>2018.0</v>
      </c>
      <c r="AV123" s="1">
        <v>1043.0</v>
      </c>
      <c r="AW123" s="1" t="s">
        <v>74</v>
      </c>
      <c r="AX123" s="1" t="s">
        <v>74</v>
      </c>
      <c r="AY123" s="1" t="s">
        <v>74</v>
      </c>
      <c r="AZ123" s="1" t="s">
        <v>74</v>
      </c>
      <c r="BA123" s="1" t="s">
        <v>74</v>
      </c>
      <c r="BB123" s="1" t="s">
        <v>74</v>
      </c>
      <c r="BC123" s="1" t="s">
        <v>74</v>
      </c>
      <c r="BD123" s="1">
        <v>12050.0</v>
      </c>
      <c r="BE123" s="1" t="s">
        <v>1237</v>
      </c>
      <c r="BF123" s="2" t="str">
        <f>HYPERLINK("http://dx.doi.org/10.1088/1742-6596/1043/1/012050","http://dx.doi.org/10.1088/1742-6596/1043/1/012050")</f>
        <v>http://dx.doi.org/10.1088/1742-6596/1043/1/012050</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1238</v>
      </c>
      <c r="BT123" s="1" t="str">
        <f>HYPERLINK("https%3A%2F%2Fwww.webofscience.com%2Fwos%2Fwoscc%2Ffull-record%2FWOS:000545262900050","View Full Record in Web of Science")</f>
        <v>View Full Record in Web of Science</v>
      </c>
    </row>
    <row r="124" ht="12.75" customHeight="1">
      <c r="A124" s="1" t="s">
        <v>72</v>
      </c>
      <c r="B124" s="1" t="s">
        <v>1239</v>
      </c>
      <c r="C124" s="1" t="s">
        <v>74</v>
      </c>
      <c r="D124" s="1" t="s">
        <v>74</v>
      </c>
      <c r="E124" s="1" t="s">
        <v>74</v>
      </c>
      <c r="F124" s="1" t="s">
        <v>1240</v>
      </c>
      <c r="G124" s="1" t="s">
        <v>74</v>
      </c>
      <c r="H124" s="1" t="s">
        <v>74</v>
      </c>
      <c r="I124" s="1" t="s">
        <v>1241</v>
      </c>
      <c r="J124" s="1" t="s">
        <v>1242</v>
      </c>
      <c r="K124" s="1" t="s">
        <v>74</v>
      </c>
      <c r="L124" s="1" t="s">
        <v>74</v>
      </c>
      <c r="M124" s="1" t="s">
        <v>74</v>
      </c>
      <c r="N124" s="1" t="s">
        <v>74</v>
      </c>
      <c r="O124" s="1" t="s">
        <v>74</v>
      </c>
      <c r="P124" s="1" t="s">
        <v>74</v>
      </c>
      <c r="Q124" s="1" t="s">
        <v>74</v>
      </c>
      <c r="R124" s="1" t="s">
        <v>74</v>
      </c>
      <c r="S124" s="1" t="s">
        <v>74</v>
      </c>
      <c r="T124" s="1" t="s">
        <v>74</v>
      </c>
      <c r="U124" s="1" t="s">
        <v>74</v>
      </c>
      <c r="V124" s="1" t="s">
        <v>1243</v>
      </c>
      <c r="W124" s="1" t="s">
        <v>74</v>
      </c>
      <c r="X124" s="1" t="s">
        <v>74</v>
      </c>
      <c r="Y124" s="1" t="s">
        <v>74</v>
      </c>
      <c r="Z124" s="1" t="s">
        <v>74</v>
      </c>
      <c r="AA124" s="1" t="s">
        <v>1244</v>
      </c>
      <c r="AB124" s="1" t="s">
        <v>1245</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1246</v>
      </c>
      <c r="AP124" s="1" t="s">
        <v>1247</v>
      </c>
      <c r="AQ124" s="1" t="s">
        <v>74</v>
      </c>
      <c r="AR124" s="1" t="s">
        <v>74</v>
      </c>
      <c r="AS124" s="1" t="s">
        <v>74</v>
      </c>
      <c r="AT124" s="1" t="s">
        <v>123</v>
      </c>
      <c r="AU124" s="1">
        <v>2018.0</v>
      </c>
      <c r="AV124" s="1">
        <v>75.0</v>
      </c>
      <c r="AW124" s="1">
        <v>1.0</v>
      </c>
      <c r="AX124" s="1" t="s">
        <v>74</v>
      </c>
      <c r="AY124" s="1" t="s">
        <v>74</v>
      </c>
      <c r="AZ124" s="1" t="s">
        <v>74</v>
      </c>
      <c r="BA124" s="1" t="s">
        <v>74</v>
      </c>
      <c r="BB124" s="1">
        <v>415.0</v>
      </c>
      <c r="BC124" s="1">
        <v>425.0</v>
      </c>
      <c r="BD124" s="1" t="s">
        <v>74</v>
      </c>
      <c r="BE124" s="1" t="s">
        <v>1248</v>
      </c>
      <c r="BF124" s="2" t="str">
        <f>HYPERLINK("http://dx.doi.org/10.1007/s00289-017-2024-0","http://dx.doi.org/10.1007/s00289-017-2024-0")</f>
        <v>http://dx.doi.org/10.1007/s00289-017-2024-0</v>
      </c>
      <c r="BG124" s="1" t="s">
        <v>74</v>
      </c>
      <c r="BH124" s="1" t="s">
        <v>74</v>
      </c>
      <c r="BI124" s="1" t="s">
        <v>74</v>
      </c>
      <c r="BJ124" s="1" t="s">
        <v>74</v>
      </c>
      <c r="BK124" s="1" t="s">
        <v>74</v>
      </c>
      <c r="BL124" s="1" t="s">
        <v>74</v>
      </c>
      <c r="BM124" s="1" t="s">
        <v>74</v>
      </c>
      <c r="BN124" s="1" t="s">
        <v>74</v>
      </c>
      <c r="BO124" s="1" t="s">
        <v>74</v>
      </c>
      <c r="BP124" s="1" t="s">
        <v>74</v>
      </c>
      <c r="BQ124" s="1" t="s">
        <v>74</v>
      </c>
      <c r="BR124" s="1" t="s">
        <v>74</v>
      </c>
      <c r="BS124" s="1" t="s">
        <v>1249</v>
      </c>
      <c r="BT124" s="1" t="str">
        <f>HYPERLINK("https%3A%2F%2Fwww.webofscience.com%2Fwos%2Fwoscc%2Ffull-record%2FWOS:000419586800026","View Full Record in Web of Science")</f>
        <v>View Full Record in Web of Science</v>
      </c>
    </row>
    <row r="125" ht="12.75" customHeight="1">
      <c r="A125" s="1" t="s">
        <v>126</v>
      </c>
      <c r="B125" s="1" t="s">
        <v>1250</v>
      </c>
      <c r="C125" s="1" t="s">
        <v>74</v>
      </c>
      <c r="D125" s="1" t="s">
        <v>1251</v>
      </c>
      <c r="E125" s="1" t="s">
        <v>74</v>
      </c>
      <c r="F125" s="1" t="s">
        <v>1252</v>
      </c>
      <c r="G125" s="1" t="s">
        <v>74</v>
      </c>
      <c r="H125" s="1" t="s">
        <v>74</v>
      </c>
      <c r="I125" s="1" t="s">
        <v>1253</v>
      </c>
      <c r="J125" s="1" t="s">
        <v>1254</v>
      </c>
      <c r="K125" s="1" t="s">
        <v>499</v>
      </c>
      <c r="L125" s="1" t="s">
        <v>74</v>
      </c>
      <c r="M125" s="1" t="s">
        <v>74</v>
      </c>
      <c r="N125" s="1" t="s">
        <v>74</v>
      </c>
      <c r="O125" s="1" t="s">
        <v>1255</v>
      </c>
      <c r="P125" s="1" t="s">
        <v>1256</v>
      </c>
      <c r="Q125" s="1" t="s">
        <v>1257</v>
      </c>
      <c r="R125" s="1" t="s">
        <v>74</v>
      </c>
      <c r="S125" s="1" t="s">
        <v>74</v>
      </c>
      <c r="T125" s="1" t="s">
        <v>74</v>
      </c>
      <c r="U125" s="1" t="s">
        <v>74</v>
      </c>
      <c r="V125" s="1" t="s">
        <v>1258</v>
      </c>
      <c r="W125" s="1" t="s">
        <v>74</v>
      </c>
      <c r="X125" s="1" t="s">
        <v>74</v>
      </c>
      <c r="Y125" s="1" t="s">
        <v>74</v>
      </c>
      <c r="Z125" s="1" t="s">
        <v>74</v>
      </c>
      <c r="AA125" s="1" t="s">
        <v>74</v>
      </c>
      <c r="AB125" s="1" t="s">
        <v>1259</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506</v>
      </c>
      <c r="AP125" s="1" t="s">
        <v>507</v>
      </c>
      <c r="AQ125" s="1" t="s">
        <v>1260</v>
      </c>
      <c r="AR125" s="1" t="s">
        <v>74</v>
      </c>
      <c r="AS125" s="1" t="s">
        <v>74</v>
      </c>
      <c r="AT125" s="1" t="s">
        <v>74</v>
      </c>
      <c r="AU125" s="1">
        <v>2017.0</v>
      </c>
      <c r="AV125" s="1">
        <v>10572.0</v>
      </c>
      <c r="AW125" s="1" t="s">
        <v>74</v>
      </c>
      <c r="AX125" s="1" t="s">
        <v>74</v>
      </c>
      <c r="AY125" s="1" t="s">
        <v>74</v>
      </c>
      <c r="AZ125" s="1" t="s">
        <v>74</v>
      </c>
      <c r="BA125" s="1" t="s">
        <v>74</v>
      </c>
      <c r="BB125" s="1">
        <v>205.0</v>
      </c>
      <c r="BC125" s="1">
        <v>215.0</v>
      </c>
      <c r="BD125" s="1" t="s">
        <v>74</v>
      </c>
      <c r="BE125" s="1" t="s">
        <v>74</v>
      </c>
      <c r="BF125" s="1" t="s">
        <v>74</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1261</v>
      </c>
      <c r="BT125" s="1" t="str">
        <f>HYPERLINK("https%3A%2F%2Fwww.webofscience.com%2Fwos%2Fwoscc%2Ffull-record%2FWOS:000712338200014","View Full Record in Web of Science")</f>
        <v>View Full Record in Web of Science</v>
      </c>
    </row>
    <row r="126" ht="12.75" customHeight="1">
      <c r="A126" s="1" t="s">
        <v>72</v>
      </c>
      <c r="B126" s="1" t="s">
        <v>1262</v>
      </c>
      <c r="C126" s="1" t="s">
        <v>74</v>
      </c>
      <c r="D126" s="1" t="s">
        <v>74</v>
      </c>
      <c r="E126" s="1" t="s">
        <v>74</v>
      </c>
      <c r="F126" s="1" t="s">
        <v>1263</v>
      </c>
      <c r="G126" s="1" t="s">
        <v>74</v>
      </c>
      <c r="H126" s="1" t="s">
        <v>74</v>
      </c>
      <c r="I126" s="1" t="s">
        <v>1264</v>
      </c>
      <c r="J126" s="1" t="s">
        <v>1265</v>
      </c>
      <c r="K126" s="1" t="s">
        <v>74</v>
      </c>
      <c r="L126" s="1" t="s">
        <v>74</v>
      </c>
      <c r="M126" s="1" t="s">
        <v>74</v>
      </c>
      <c r="N126" s="1" t="s">
        <v>74</v>
      </c>
      <c r="O126" s="1" t="s">
        <v>74</v>
      </c>
      <c r="P126" s="1" t="s">
        <v>74</v>
      </c>
      <c r="Q126" s="1" t="s">
        <v>74</v>
      </c>
      <c r="R126" s="1" t="s">
        <v>74</v>
      </c>
      <c r="S126" s="1" t="s">
        <v>74</v>
      </c>
      <c r="T126" s="1" t="s">
        <v>74</v>
      </c>
      <c r="U126" s="1" t="s">
        <v>74</v>
      </c>
      <c r="V126" s="1" t="s">
        <v>1266</v>
      </c>
      <c r="W126" s="1" t="s">
        <v>74</v>
      </c>
      <c r="X126" s="1" t="s">
        <v>74</v>
      </c>
      <c r="Y126" s="1" t="s">
        <v>74</v>
      </c>
      <c r="Z126" s="1" t="s">
        <v>74</v>
      </c>
      <c r="AA126" s="1" t="s">
        <v>1267</v>
      </c>
      <c r="AB126" s="1" t="s">
        <v>1268</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1269</v>
      </c>
      <c r="AP126" s="1" t="s">
        <v>1270</v>
      </c>
      <c r="AQ126" s="1" t="s">
        <v>74</v>
      </c>
      <c r="AR126" s="1" t="s">
        <v>74</v>
      </c>
      <c r="AS126" s="1" t="s">
        <v>74</v>
      </c>
      <c r="AT126" s="1" t="s">
        <v>74</v>
      </c>
      <c r="AU126" s="1">
        <v>2017.0</v>
      </c>
      <c r="AV126" s="1">
        <v>20.0</v>
      </c>
      <c r="AW126" s="1" t="s">
        <v>74</v>
      </c>
      <c r="AX126" s="1" t="s">
        <v>74</v>
      </c>
      <c r="AY126" s="1">
        <v>2.0</v>
      </c>
      <c r="AZ126" s="1" t="s">
        <v>74</v>
      </c>
      <c r="BA126" s="1" t="s">
        <v>74</v>
      </c>
      <c r="BB126" s="1">
        <v>304.0</v>
      </c>
      <c r="BC126" s="1">
        <v>310.0</v>
      </c>
      <c r="BD126" s="1" t="s">
        <v>74</v>
      </c>
      <c r="BE126" s="1" t="s">
        <v>1271</v>
      </c>
      <c r="BF126" s="2" t="str">
        <f>HYPERLINK("http://dx.doi.org/10.1590/1980-5373-MR-2016-1082","http://dx.doi.org/10.1590/1980-5373-MR-2016-1082")</f>
        <v>http://dx.doi.org/10.1590/1980-5373-MR-2016-1082</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1272</v>
      </c>
      <c r="BT126" s="1" t="str">
        <f>HYPERLINK("https%3A%2F%2Fwww.webofscience.com%2Fwos%2Fwoscc%2Ffull-record%2FWOS:000430187600047","View Full Record in Web of Science")</f>
        <v>View Full Record in Web of Science</v>
      </c>
    </row>
    <row r="127" ht="12.75" customHeight="1">
      <c r="A127" s="1" t="s">
        <v>72</v>
      </c>
      <c r="B127" s="1" t="s">
        <v>1273</v>
      </c>
      <c r="C127" s="1" t="s">
        <v>74</v>
      </c>
      <c r="D127" s="1" t="s">
        <v>74</v>
      </c>
      <c r="E127" s="1" t="s">
        <v>74</v>
      </c>
      <c r="F127" s="1" t="s">
        <v>1274</v>
      </c>
      <c r="G127" s="1" t="s">
        <v>74</v>
      </c>
      <c r="H127" s="1" t="s">
        <v>74</v>
      </c>
      <c r="I127" s="1" t="s">
        <v>1275</v>
      </c>
      <c r="J127" s="1" t="s">
        <v>1276</v>
      </c>
      <c r="K127" s="1" t="s">
        <v>74</v>
      </c>
      <c r="L127" s="1" t="s">
        <v>74</v>
      </c>
      <c r="M127" s="1" t="s">
        <v>74</v>
      </c>
      <c r="N127" s="1" t="s">
        <v>74</v>
      </c>
      <c r="O127" s="1" t="s">
        <v>74</v>
      </c>
      <c r="P127" s="1" t="s">
        <v>74</v>
      </c>
      <c r="Q127" s="1" t="s">
        <v>74</v>
      </c>
      <c r="R127" s="1" t="s">
        <v>74</v>
      </c>
      <c r="S127" s="1" t="s">
        <v>74</v>
      </c>
      <c r="T127" s="1" t="s">
        <v>74</v>
      </c>
      <c r="U127" s="1" t="s">
        <v>74</v>
      </c>
      <c r="V127" s="1" t="s">
        <v>1277</v>
      </c>
      <c r="W127" s="1" t="s">
        <v>74</v>
      </c>
      <c r="X127" s="1" t="s">
        <v>74</v>
      </c>
      <c r="Y127" s="1" t="s">
        <v>74</v>
      </c>
      <c r="Z127" s="1" t="s">
        <v>74</v>
      </c>
      <c r="AA127" s="1" t="s">
        <v>1278</v>
      </c>
      <c r="AB127" s="1" t="s">
        <v>1279</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1280</v>
      </c>
      <c r="AP127" s="1" t="s">
        <v>1281</v>
      </c>
      <c r="AQ127" s="1" t="s">
        <v>74</v>
      </c>
      <c r="AR127" s="1" t="s">
        <v>74</v>
      </c>
      <c r="AS127" s="1" t="s">
        <v>74</v>
      </c>
      <c r="AT127" s="1" t="s">
        <v>276</v>
      </c>
      <c r="AU127" s="1">
        <v>2016.0</v>
      </c>
      <c r="AV127" s="1">
        <v>23.0</v>
      </c>
      <c r="AW127" s="1">
        <v>15.0</v>
      </c>
      <c r="AX127" s="1" t="s">
        <v>74</v>
      </c>
      <c r="AY127" s="1" t="s">
        <v>74</v>
      </c>
      <c r="AZ127" s="1" t="s">
        <v>74</v>
      </c>
      <c r="BA127" s="1" t="s">
        <v>74</v>
      </c>
      <c r="BB127" s="1">
        <v>1079.0</v>
      </c>
      <c r="BC127" s="1">
        <v>1083.0</v>
      </c>
      <c r="BD127" s="1" t="s">
        <v>74</v>
      </c>
      <c r="BE127" s="1" t="s">
        <v>1282</v>
      </c>
      <c r="BF127" s="2" t="str">
        <f>HYPERLINK("http://dx.doi.org/10.1080/13504851.2015.1136387","http://dx.doi.org/10.1080/13504851.2015.1136387")</f>
        <v>http://dx.doi.org/10.1080/13504851.2015.1136387</v>
      </c>
      <c r="BG127" s="1" t="s">
        <v>74</v>
      </c>
      <c r="BH127" s="1" t="s">
        <v>74</v>
      </c>
      <c r="BI127" s="1" t="s">
        <v>74</v>
      </c>
      <c r="BJ127" s="1" t="s">
        <v>74</v>
      </c>
      <c r="BK127" s="1" t="s">
        <v>74</v>
      </c>
      <c r="BL127" s="1" t="s">
        <v>74</v>
      </c>
      <c r="BM127" s="1" t="s">
        <v>74</v>
      </c>
      <c r="BN127" s="1" t="s">
        <v>74</v>
      </c>
      <c r="BO127" s="1" t="s">
        <v>74</v>
      </c>
      <c r="BP127" s="1" t="s">
        <v>74</v>
      </c>
      <c r="BQ127" s="1" t="s">
        <v>74</v>
      </c>
      <c r="BR127" s="1" t="s">
        <v>74</v>
      </c>
      <c r="BS127" s="1" t="s">
        <v>1283</v>
      </c>
      <c r="BT127" s="1" t="str">
        <f>HYPERLINK("https%3A%2F%2Fwww.webofscience.com%2Fwos%2Fwoscc%2Ffull-record%2FWOS:000382546900008","View Full Record in Web of Science")</f>
        <v>View Full Record in Web of Science</v>
      </c>
    </row>
    <row r="128" ht="12.75" customHeight="1">
      <c r="A128" s="1" t="s">
        <v>72</v>
      </c>
      <c r="B128" s="1" t="s">
        <v>1284</v>
      </c>
      <c r="C128" s="1" t="s">
        <v>74</v>
      </c>
      <c r="D128" s="1" t="s">
        <v>74</v>
      </c>
      <c r="E128" s="1" t="s">
        <v>74</v>
      </c>
      <c r="F128" s="1" t="s">
        <v>1285</v>
      </c>
      <c r="G128" s="1" t="s">
        <v>74</v>
      </c>
      <c r="H128" s="1" t="s">
        <v>74</v>
      </c>
      <c r="I128" s="1" t="s">
        <v>1286</v>
      </c>
      <c r="J128" s="1" t="s">
        <v>1287</v>
      </c>
      <c r="K128" s="1" t="s">
        <v>74</v>
      </c>
      <c r="L128" s="1" t="s">
        <v>74</v>
      </c>
      <c r="M128" s="1" t="s">
        <v>74</v>
      </c>
      <c r="N128" s="1" t="s">
        <v>74</v>
      </c>
      <c r="O128" s="1" t="s">
        <v>74</v>
      </c>
      <c r="P128" s="1" t="s">
        <v>74</v>
      </c>
      <c r="Q128" s="1" t="s">
        <v>74</v>
      </c>
      <c r="R128" s="1" t="s">
        <v>74</v>
      </c>
      <c r="S128" s="1" t="s">
        <v>74</v>
      </c>
      <c r="T128" s="1" t="s">
        <v>74</v>
      </c>
      <c r="U128" s="1" t="s">
        <v>74</v>
      </c>
      <c r="V128" s="1" t="s">
        <v>1288</v>
      </c>
      <c r="W128" s="1" t="s">
        <v>74</v>
      </c>
      <c r="X128" s="1" t="s">
        <v>74</v>
      </c>
      <c r="Y128" s="1" t="s">
        <v>74</v>
      </c>
      <c r="Z128" s="1" t="s">
        <v>74</v>
      </c>
      <c r="AA128" s="1" t="s">
        <v>1289</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1290</v>
      </c>
      <c r="AP128" s="1" t="s">
        <v>1291</v>
      </c>
      <c r="AQ128" s="1" t="s">
        <v>74</v>
      </c>
      <c r="AR128" s="1" t="s">
        <v>74</v>
      </c>
      <c r="AS128" s="1" t="s">
        <v>74</v>
      </c>
      <c r="AT128" s="1" t="s">
        <v>158</v>
      </c>
      <c r="AU128" s="1">
        <v>2016.0</v>
      </c>
      <c r="AV128" s="1">
        <v>34.0</v>
      </c>
      <c r="AW128" s="1">
        <v>5.0</v>
      </c>
      <c r="AX128" s="1" t="s">
        <v>74</v>
      </c>
      <c r="AY128" s="1" t="s">
        <v>74</v>
      </c>
      <c r="AZ128" s="1" t="s">
        <v>74</v>
      </c>
      <c r="BA128" s="1" t="s">
        <v>74</v>
      </c>
      <c r="BB128" s="1">
        <v>643.0</v>
      </c>
      <c r="BC128" s="1">
        <v>669.0</v>
      </c>
      <c r="BD128" s="1" t="s">
        <v>74</v>
      </c>
      <c r="BE128" s="1" t="s">
        <v>1292</v>
      </c>
      <c r="BF128" s="2" t="str">
        <f>HYPERLINK("http://dx.doi.org/10.1111/dpr.12166","http://dx.doi.org/10.1111/dpr.12166")</f>
        <v>http://dx.doi.org/10.1111/dpr.12166</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1293</v>
      </c>
      <c r="BT128" s="1" t="str">
        <f>HYPERLINK("https%3A%2F%2Fwww.webofscience.com%2Fwos%2Fwoscc%2Ffull-record%2FWOS:000388291800002","View Full Record in Web of Science")</f>
        <v>View Full Record in Web of Science</v>
      </c>
    </row>
    <row r="129" ht="12.75" customHeight="1">
      <c r="A129" s="1" t="s">
        <v>72</v>
      </c>
      <c r="B129" s="1" t="s">
        <v>1005</v>
      </c>
      <c r="C129" s="1" t="s">
        <v>74</v>
      </c>
      <c r="D129" s="1" t="s">
        <v>74</v>
      </c>
      <c r="E129" s="1" t="s">
        <v>74</v>
      </c>
      <c r="F129" s="1" t="s">
        <v>1294</v>
      </c>
      <c r="G129" s="1" t="s">
        <v>74</v>
      </c>
      <c r="H129" s="1" t="s">
        <v>74</v>
      </c>
      <c r="I129" s="1" t="s">
        <v>1295</v>
      </c>
      <c r="J129" s="1" t="s">
        <v>1296</v>
      </c>
      <c r="K129" s="1" t="s">
        <v>74</v>
      </c>
      <c r="L129" s="1" t="s">
        <v>74</v>
      </c>
      <c r="M129" s="1" t="s">
        <v>74</v>
      </c>
      <c r="N129" s="1" t="s">
        <v>74</v>
      </c>
      <c r="O129" s="1" t="s">
        <v>74</v>
      </c>
      <c r="P129" s="1" t="s">
        <v>74</v>
      </c>
      <c r="Q129" s="1" t="s">
        <v>74</v>
      </c>
      <c r="R129" s="1" t="s">
        <v>74</v>
      </c>
      <c r="S129" s="1" t="s">
        <v>74</v>
      </c>
      <c r="T129" s="1" t="s">
        <v>74</v>
      </c>
      <c r="U129" s="1" t="s">
        <v>74</v>
      </c>
      <c r="V129" s="1" t="s">
        <v>74</v>
      </c>
      <c r="W129" s="1" t="s">
        <v>74</v>
      </c>
      <c r="X129" s="1" t="s">
        <v>74</v>
      </c>
      <c r="Y129" s="1" t="s">
        <v>74</v>
      </c>
      <c r="Z129" s="1" t="s">
        <v>74</v>
      </c>
      <c r="AA129" s="1" t="s">
        <v>74</v>
      </c>
      <c r="AB129" s="1" t="s">
        <v>74</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1297</v>
      </c>
      <c r="AP129" s="1" t="s">
        <v>74</v>
      </c>
      <c r="AQ129" s="1" t="s">
        <v>74</v>
      </c>
      <c r="AR129" s="1" t="s">
        <v>74</v>
      </c>
      <c r="AS129" s="1" t="s">
        <v>74</v>
      </c>
      <c r="AT129" s="1" t="s">
        <v>91</v>
      </c>
      <c r="AU129" s="1">
        <v>2016.0</v>
      </c>
      <c r="AV129" s="1" t="s">
        <v>74</v>
      </c>
      <c r="AW129" s="1">
        <v>42.0</v>
      </c>
      <c r="AX129" s="1" t="s">
        <v>74</v>
      </c>
      <c r="AY129" s="1" t="s">
        <v>74</v>
      </c>
      <c r="AZ129" s="1" t="s">
        <v>74</v>
      </c>
      <c r="BA129" s="1" t="s">
        <v>74</v>
      </c>
      <c r="BB129" s="1">
        <v>235.0</v>
      </c>
      <c r="BC129" s="1">
        <v>251.0</v>
      </c>
      <c r="BD129" s="1" t="s">
        <v>74</v>
      </c>
      <c r="BE129" s="1" t="s">
        <v>74</v>
      </c>
      <c r="BF129" s="1" t="s">
        <v>74</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1298</v>
      </c>
      <c r="BT129" s="1" t="str">
        <f>HYPERLINK("https%3A%2F%2Fwww.webofscience.com%2Fwos%2Fwoscc%2Ffull-record%2FWOS:000386762300015","View Full Record in Web of Science")</f>
        <v>View Full Record in Web of Science</v>
      </c>
    </row>
    <row r="130" ht="12.75" customHeight="1">
      <c r="A130" s="1" t="s">
        <v>72</v>
      </c>
      <c r="B130" s="1" t="s">
        <v>1299</v>
      </c>
      <c r="C130" s="1" t="s">
        <v>74</v>
      </c>
      <c r="D130" s="1" t="s">
        <v>74</v>
      </c>
      <c r="E130" s="1" t="s">
        <v>74</v>
      </c>
      <c r="F130" s="1" t="s">
        <v>1300</v>
      </c>
      <c r="G130" s="1" t="s">
        <v>74</v>
      </c>
      <c r="H130" s="1" t="s">
        <v>74</v>
      </c>
      <c r="I130" s="1" t="s">
        <v>1301</v>
      </c>
      <c r="J130" s="1" t="s">
        <v>1302</v>
      </c>
      <c r="K130" s="1" t="s">
        <v>74</v>
      </c>
      <c r="L130" s="1" t="s">
        <v>74</v>
      </c>
      <c r="M130" s="1" t="s">
        <v>74</v>
      </c>
      <c r="N130" s="1" t="s">
        <v>74</v>
      </c>
      <c r="O130" s="1" t="s">
        <v>74</v>
      </c>
      <c r="P130" s="1" t="s">
        <v>74</v>
      </c>
      <c r="Q130" s="1" t="s">
        <v>74</v>
      </c>
      <c r="R130" s="1" t="s">
        <v>74</v>
      </c>
      <c r="S130" s="1" t="s">
        <v>74</v>
      </c>
      <c r="T130" s="1" t="s">
        <v>74</v>
      </c>
      <c r="U130" s="1" t="s">
        <v>74</v>
      </c>
      <c r="V130" s="1" t="s">
        <v>1303</v>
      </c>
      <c r="W130" s="1" t="s">
        <v>74</v>
      </c>
      <c r="X130" s="1" t="s">
        <v>74</v>
      </c>
      <c r="Y130" s="1" t="s">
        <v>74</v>
      </c>
      <c r="Z130" s="1" t="s">
        <v>74</v>
      </c>
      <c r="AA130" s="1" t="s">
        <v>74</v>
      </c>
      <c r="AB130" s="1" t="s">
        <v>74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1304</v>
      </c>
      <c r="AP130" s="1" t="s">
        <v>1305</v>
      </c>
      <c r="AQ130" s="1" t="s">
        <v>74</v>
      </c>
      <c r="AR130" s="1" t="s">
        <v>74</v>
      </c>
      <c r="AS130" s="1" t="s">
        <v>74</v>
      </c>
      <c r="AT130" s="1" t="s">
        <v>171</v>
      </c>
      <c r="AU130" s="1">
        <v>2016.0</v>
      </c>
      <c r="AV130" s="1" t="s">
        <v>74</v>
      </c>
      <c r="AW130" s="1">
        <v>57.0</v>
      </c>
      <c r="AX130" s="1" t="s">
        <v>74</v>
      </c>
      <c r="AY130" s="1" t="s">
        <v>74</v>
      </c>
      <c r="AZ130" s="1" t="s">
        <v>74</v>
      </c>
      <c r="BA130" s="1" t="s">
        <v>74</v>
      </c>
      <c r="BB130" s="1">
        <v>25.0</v>
      </c>
      <c r="BC130" s="1">
        <v>41.0</v>
      </c>
      <c r="BD130" s="1" t="s">
        <v>74</v>
      </c>
      <c r="BE130" s="1" t="s">
        <v>1306</v>
      </c>
      <c r="BF130" s="2" t="str">
        <f>HYPERLINK("http://dx.doi.org/10.4067/S0071-17132016000100002","http://dx.doi.org/10.4067/S0071-17132016000100002")</f>
        <v>http://dx.doi.org/10.4067/S0071-17132016000100002</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1307</v>
      </c>
      <c r="BT130" s="1" t="str">
        <f>HYPERLINK("https%3A%2F%2Fwww.webofscience.com%2Fwos%2Fwoscc%2Ffull-record%2FWOS:000390013900002","View Full Record in Web of Science")</f>
        <v>View Full Record in Web of Science</v>
      </c>
    </row>
    <row r="131" ht="12.75" customHeight="1">
      <c r="A131" s="1" t="s">
        <v>72</v>
      </c>
      <c r="B131" s="1" t="s">
        <v>1308</v>
      </c>
      <c r="C131" s="1" t="s">
        <v>74</v>
      </c>
      <c r="D131" s="1" t="s">
        <v>74</v>
      </c>
      <c r="E131" s="1" t="s">
        <v>74</v>
      </c>
      <c r="F131" s="1" t="s">
        <v>1309</v>
      </c>
      <c r="G131" s="1" t="s">
        <v>74</v>
      </c>
      <c r="H131" s="1" t="s">
        <v>74</v>
      </c>
      <c r="I131" s="1" t="s">
        <v>1310</v>
      </c>
      <c r="J131" s="1" t="s">
        <v>1311</v>
      </c>
      <c r="K131" s="1" t="s">
        <v>74</v>
      </c>
      <c r="L131" s="1" t="s">
        <v>74</v>
      </c>
      <c r="M131" s="1" t="s">
        <v>74</v>
      </c>
      <c r="N131" s="1" t="s">
        <v>74</v>
      </c>
      <c r="O131" s="1" t="s">
        <v>74</v>
      </c>
      <c r="P131" s="1" t="s">
        <v>74</v>
      </c>
      <c r="Q131" s="1" t="s">
        <v>74</v>
      </c>
      <c r="R131" s="1" t="s">
        <v>74</v>
      </c>
      <c r="S131" s="1" t="s">
        <v>74</v>
      </c>
      <c r="T131" s="1" t="s">
        <v>74</v>
      </c>
      <c r="U131" s="1" t="s">
        <v>74</v>
      </c>
      <c r="V131" s="1" t="s">
        <v>1312</v>
      </c>
      <c r="W131" s="1" t="s">
        <v>74</v>
      </c>
      <c r="X131" s="1" t="s">
        <v>74</v>
      </c>
      <c r="Y131" s="1" t="s">
        <v>74</v>
      </c>
      <c r="Z131" s="1" t="s">
        <v>74</v>
      </c>
      <c r="AA131" s="1" t="s">
        <v>1313</v>
      </c>
      <c r="AB131" s="1" t="s">
        <v>1314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1315</v>
      </c>
      <c r="AP131" s="1" t="s">
        <v>1316</v>
      </c>
      <c r="AQ131" s="1" t="s">
        <v>74</v>
      </c>
      <c r="AR131" s="1" t="s">
        <v>74</v>
      </c>
      <c r="AS131" s="1" t="s">
        <v>74</v>
      </c>
      <c r="AT131" s="1" t="s">
        <v>193</v>
      </c>
      <c r="AU131" s="1">
        <v>2016.0</v>
      </c>
      <c r="AV131" s="1">
        <v>64.0</v>
      </c>
      <c r="AW131" s="1" t="s">
        <v>74</v>
      </c>
      <c r="AX131" s="1" t="s">
        <v>74</v>
      </c>
      <c r="AY131" s="1" t="s">
        <v>74</v>
      </c>
      <c r="AZ131" s="1" t="s">
        <v>74</v>
      </c>
      <c r="BA131" s="1" t="s">
        <v>74</v>
      </c>
      <c r="BB131" s="1">
        <v>119.0</v>
      </c>
      <c r="BC131" s="1">
        <v>129.0</v>
      </c>
      <c r="BD131" s="1" t="s">
        <v>74</v>
      </c>
      <c r="BE131" s="1" t="s">
        <v>1317</v>
      </c>
      <c r="BF131" s="2" t="str">
        <f>HYPERLINK("http://dx.doi.org/10.1016/j.diamond.2016.02.003","http://dx.doi.org/10.1016/j.diamond.2016.02.003")</f>
        <v>http://dx.doi.org/10.1016/j.diamond.2016.02.003</v>
      </c>
      <c r="BG131" s="1" t="s">
        <v>74</v>
      </c>
      <c r="BH131" s="1" t="s">
        <v>74</v>
      </c>
      <c r="BI131" s="1" t="s">
        <v>74</v>
      </c>
      <c r="BJ131" s="1" t="s">
        <v>74</v>
      </c>
      <c r="BK131" s="1" t="s">
        <v>74</v>
      </c>
      <c r="BL131" s="1" t="s">
        <v>74</v>
      </c>
      <c r="BM131" s="1" t="s">
        <v>74</v>
      </c>
      <c r="BN131" s="1" t="s">
        <v>74</v>
      </c>
      <c r="BO131" s="1" t="s">
        <v>74</v>
      </c>
      <c r="BP131" s="1" t="s">
        <v>74</v>
      </c>
      <c r="BQ131" s="1" t="s">
        <v>74</v>
      </c>
      <c r="BR131" s="1" t="s">
        <v>74</v>
      </c>
      <c r="BS131" s="1" t="s">
        <v>1318</v>
      </c>
      <c r="BT131" s="1" t="str">
        <f>HYPERLINK("https%3A%2F%2Fwww.webofscience.com%2Fwos%2Fwoscc%2Ffull-record%2FWOS:000374608100016","View Full Record in Web of Science")</f>
        <v>View Full Record in Web of Science</v>
      </c>
    </row>
    <row r="132" ht="12.75" customHeight="1">
      <c r="A132" s="1" t="s">
        <v>72</v>
      </c>
      <c r="B132" s="1" t="s">
        <v>1319</v>
      </c>
      <c r="C132" s="1" t="s">
        <v>74</v>
      </c>
      <c r="D132" s="1" t="s">
        <v>74</v>
      </c>
      <c r="E132" s="1" t="s">
        <v>74</v>
      </c>
      <c r="F132" s="1" t="s">
        <v>1320</v>
      </c>
      <c r="G132" s="1" t="s">
        <v>74</v>
      </c>
      <c r="H132" s="1" t="s">
        <v>74</v>
      </c>
      <c r="I132" s="1" t="s">
        <v>1321</v>
      </c>
      <c r="J132" s="1" t="s">
        <v>1322</v>
      </c>
      <c r="K132" s="1" t="s">
        <v>74</v>
      </c>
      <c r="L132" s="1" t="s">
        <v>74</v>
      </c>
      <c r="M132" s="1" t="s">
        <v>74</v>
      </c>
      <c r="N132" s="1" t="s">
        <v>74</v>
      </c>
      <c r="O132" s="1" t="s">
        <v>74</v>
      </c>
      <c r="P132" s="1" t="s">
        <v>74</v>
      </c>
      <c r="Q132" s="1" t="s">
        <v>74</v>
      </c>
      <c r="R132" s="1" t="s">
        <v>74</v>
      </c>
      <c r="S132" s="1" t="s">
        <v>74</v>
      </c>
      <c r="T132" s="1" t="s">
        <v>74</v>
      </c>
      <c r="U132" s="1" t="s">
        <v>74</v>
      </c>
      <c r="V132" s="1" t="s">
        <v>74</v>
      </c>
      <c r="W132" s="1" t="s">
        <v>74</v>
      </c>
      <c r="X132" s="1" t="s">
        <v>74</v>
      </c>
      <c r="Y132" s="1" t="s">
        <v>74</v>
      </c>
      <c r="Z132" s="1" t="s">
        <v>74</v>
      </c>
      <c r="AA132" s="1" t="s">
        <v>1323</v>
      </c>
      <c r="AB132" s="1" t="s">
        <v>1324</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1325</v>
      </c>
      <c r="AP132" s="1" t="s">
        <v>74</v>
      </c>
      <c r="AQ132" s="1" t="s">
        <v>74</v>
      </c>
      <c r="AR132" s="1" t="s">
        <v>74</v>
      </c>
      <c r="AS132" s="1" t="s">
        <v>74</v>
      </c>
      <c r="AT132" s="1" t="s">
        <v>1326</v>
      </c>
      <c r="AU132" s="1">
        <v>2016.0</v>
      </c>
      <c r="AV132" s="1">
        <v>5.0</v>
      </c>
      <c r="AW132" s="1" t="s">
        <v>74</v>
      </c>
      <c r="AX132" s="1" t="s">
        <v>74</v>
      </c>
      <c r="AY132" s="1" t="s">
        <v>74</v>
      </c>
      <c r="AZ132" s="1" t="s">
        <v>74</v>
      </c>
      <c r="BA132" s="1" t="s">
        <v>74</v>
      </c>
      <c r="BB132" s="1" t="s">
        <v>74</v>
      </c>
      <c r="BC132" s="1" t="s">
        <v>74</v>
      </c>
      <c r="BD132" s="1" t="s">
        <v>1327</v>
      </c>
      <c r="BE132" s="1" t="s">
        <v>1328</v>
      </c>
      <c r="BF132" s="2" t="str">
        <f>HYPERLINK("http://dx.doi.org/10.7554/eLife.12852","http://dx.doi.org/10.7554/eLife.12852")</f>
        <v>http://dx.doi.org/10.7554/eLife.12852</v>
      </c>
      <c r="BG132" s="1" t="s">
        <v>74</v>
      </c>
      <c r="BH132" s="1" t="s">
        <v>74</v>
      </c>
      <c r="BI132" s="1" t="s">
        <v>74</v>
      </c>
      <c r="BJ132" s="1" t="s">
        <v>74</v>
      </c>
      <c r="BK132" s="1" t="s">
        <v>74</v>
      </c>
      <c r="BL132" s="1" t="s">
        <v>74</v>
      </c>
      <c r="BM132" s="1" t="s">
        <v>74</v>
      </c>
      <c r="BN132" s="1">
        <v>2.6780669E7</v>
      </c>
      <c r="BO132" s="1" t="s">
        <v>74</v>
      </c>
      <c r="BP132" s="1" t="s">
        <v>74</v>
      </c>
      <c r="BQ132" s="1" t="s">
        <v>74</v>
      </c>
      <c r="BR132" s="1" t="s">
        <v>74</v>
      </c>
      <c r="BS132" s="1" t="s">
        <v>1329</v>
      </c>
      <c r="BT132" s="1" t="str">
        <f>HYPERLINK("https%3A%2F%2Fwww.webofscience.com%2Fwos%2Fwoscc%2Ffull-record%2FWOS:000368227700001","View Full Record in Web of Science")</f>
        <v>View Full Record in Web of Science</v>
      </c>
    </row>
    <row r="133" ht="12.75" customHeight="1">
      <c r="A133" s="1" t="s">
        <v>126</v>
      </c>
      <c r="B133" s="1" t="s">
        <v>1330</v>
      </c>
      <c r="C133" s="1" t="s">
        <v>74</v>
      </c>
      <c r="D133" s="1" t="s">
        <v>1331</v>
      </c>
      <c r="E133" s="1" t="s">
        <v>74</v>
      </c>
      <c r="F133" s="1" t="s">
        <v>1332</v>
      </c>
      <c r="G133" s="1" t="s">
        <v>74</v>
      </c>
      <c r="H133" s="1" t="s">
        <v>74</v>
      </c>
      <c r="I133" s="1" t="s">
        <v>1333</v>
      </c>
      <c r="J133" s="1" t="s">
        <v>1334</v>
      </c>
      <c r="K133" s="1" t="s">
        <v>1335</v>
      </c>
      <c r="L133" s="1" t="s">
        <v>74</v>
      </c>
      <c r="M133" s="1" t="s">
        <v>74</v>
      </c>
      <c r="N133" s="1" t="s">
        <v>74</v>
      </c>
      <c r="O133" s="1" t="s">
        <v>1336</v>
      </c>
      <c r="P133" s="1" t="s">
        <v>1337</v>
      </c>
      <c r="Q133" s="1" t="s">
        <v>1134</v>
      </c>
      <c r="R133" s="1" t="s">
        <v>74</v>
      </c>
      <c r="S133" s="1" t="s">
        <v>74</v>
      </c>
      <c r="T133" s="1" t="s">
        <v>74</v>
      </c>
      <c r="U133" s="1" t="s">
        <v>74</v>
      </c>
      <c r="V133" s="1" t="s">
        <v>1338</v>
      </c>
      <c r="W133" s="1" t="s">
        <v>74</v>
      </c>
      <c r="X133" s="1" t="s">
        <v>74</v>
      </c>
      <c r="Y133" s="1" t="s">
        <v>74</v>
      </c>
      <c r="Z133" s="1" t="s">
        <v>74</v>
      </c>
      <c r="AA133" s="1" t="s">
        <v>74</v>
      </c>
      <c r="AB133" s="1" t="s">
        <v>74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1339</v>
      </c>
      <c r="AP133" s="1" t="s">
        <v>1340</v>
      </c>
      <c r="AQ133" s="1" t="s">
        <v>1341</v>
      </c>
      <c r="AR133" s="1" t="s">
        <v>74</v>
      </c>
      <c r="AS133" s="1" t="s">
        <v>74</v>
      </c>
      <c r="AT133" s="1" t="s">
        <v>74</v>
      </c>
      <c r="AU133" s="1">
        <v>2016.0</v>
      </c>
      <c r="AV133" s="1">
        <v>173.0</v>
      </c>
      <c r="AW133" s="1" t="s">
        <v>74</v>
      </c>
      <c r="AX133" s="1" t="s">
        <v>74</v>
      </c>
      <c r="AY133" s="1" t="s">
        <v>74</v>
      </c>
      <c r="AZ133" s="1" t="s">
        <v>74</v>
      </c>
      <c r="BA133" s="1" t="s">
        <v>74</v>
      </c>
      <c r="BB133" s="1">
        <v>193.0</v>
      </c>
      <c r="BC133" s="1">
        <v>198.0</v>
      </c>
      <c r="BD133" s="1" t="s">
        <v>74</v>
      </c>
      <c r="BE133" s="1" t="s">
        <v>1342</v>
      </c>
      <c r="BF133" s="2" t="str">
        <f>HYPERLINK("http://dx.doi.org/10.1007/978-3-319-24871-4_14","http://dx.doi.org/10.1007/978-3-319-24871-4_14")</f>
        <v>http://dx.doi.org/10.1007/978-3-319-24871-4_14</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1343</v>
      </c>
      <c r="BT133" s="1" t="str">
        <f>HYPERLINK("https%3A%2F%2Fwww.webofscience.com%2Fwos%2Fwoscc%2Ffull-record%2FWOS:000369305600014","View Full Record in Web of Science")</f>
        <v>View Full Record in Web of Science</v>
      </c>
    </row>
    <row r="134" ht="12.75" customHeight="1">
      <c r="A134" s="1" t="s">
        <v>126</v>
      </c>
      <c r="B134" s="1" t="s">
        <v>1344</v>
      </c>
      <c r="C134" s="1" t="s">
        <v>74</v>
      </c>
      <c r="D134" s="1" t="s">
        <v>1345</v>
      </c>
      <c r="E134" s="1" t="s">
        <v>74</v>
      </c>
      <c r="F134" s="1" t="s">
        <v>1346</v>
      </c>
      <c r="G134" s="1" t="s">
        <v>74</v>
      </c>
      <c r="H134" s="1" t="s">
        <v>74</v>
      </c>
      <c r="I134" s="1" t="s">
        <v>1347</v>
      </c>
      <c r="J134" s="1" t="s">
        <v>1348</v>
      </c>
      <c r="K134" s="1" t="s">
        <v>1349</v>
      </c>
      <c r="L134" s="1" t="s">
        <v>74</v>
      </c>
      <c r="M134" s="1" t="s">
        <v>74</v>
      </c>
      <c r="N134" s="1" t="s">
        <v>74</v>
      </c>
      <c r="O134" s="1" t="s">
        <v>1350</v>
      </c>
      <c r="P134" s="1" t="s">
        <v>1351</v>
      </c>
      <c r="Q134" s="1" t="s">
        <v>1352</v>
      </c>
      <c r="R134" s="1" t="s">
        <v>1353</v>
      </c>
      <c r="S134" s="1" t="s">
        <v>1354</v>
      </c>
      <c r="T134" s="1" t="s">
        <v>74</v>
      </c>
      <c r="U134" s="1" t="s">
        <v>74</v>
      </c>
      <c r="V134" s="1" t="s">
        <v>74</v>
      </c>
      <c r="W134" s="1" t="s">
        <v>74</v>
      </c>
      <c r="X134" s="1" t="s">
        <v>74</v>
      </c>
      <c r="Y134" s="1" t="s">
        <v>74</v>
      </c>
      <c r="Z134" s="1" t="s">
        <v>74</v>
      </c>
      <c r="AA134" s="1" t="s">
        <v>74</v>
      </c>
      <c r="AB134" s="1" t="s">
        <v>1010</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74</v>
      </c>
      <c r="AP134" s="1" t="s">
        <v>74</v>
      </c>
      <c r="AQ134" s="1" t="s">
        <v>1355</v>
      </c>
      <c r="AR134" s="1" t="s">
        <v>74</v>
      </c>
      <c r="AS134" s="1" t="s">
        <v>74</v>
      </c>
      <c r="AT134" s="1" t="s">
        <v>74</v>
      </c>
      <c r="AU134" s="1">
        <v>2015.0</v>
      </c>
      <c r="AV134" s="1">
        <v>35.0</v>
      </c>
      <c r="AW134" s="1" t="s">
        <v>74</v>
      </c>
      <c r="AX134" s="1" t="s">
        <v>74</v>
      </c>
      <c r="AY134" s="1" t="s">
        <v>74</v>
      </c>
      <c r="AZ134" s="1" t="s">
        <v>74</v>
      </c>
      <c r="BA134" s="1" t="s">
        <v>74</v>
      </c>
      <c r="BB134" s="1">
        <v>265.0</v>
      </c>
      <c r="BC134" s="1">
        <v>276.0</v>
      </c>
      <c r="BD134" s="1" t="s">
        <v>74</v>
      </c>
      <c r="BE134" s="1" t="s">
        <v>1356</v>
      </c>
      <c r="BF134" s="2" t="str">
        <f>HYPERLINK("http://dx.doi.org/10.1007/978-3-319-17960-5_17","http://dx.doi.org/10.1007/978-3-319-17960-5_17")</f>
        <v>http://dx.doi.org/10.1007/978-3-319-17960-5_17</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1357</v>
      </c>
      <c r="BT134" s="1" t="str">
        <f>HYPERLINK("https%3A%2F%2Fwww.webofscience.com%2Fwos%2Fwoscc%2Ffull-record%2FWOS:000380549400017","View Full Record in Web of Science")</f>
        <v>View Full Record in Web of Science</v>
      </c>
    </row>
    <row r="135" ht="12.75" customHeight="1">
      <c r="A135" s="1" t="s">
        <v>126</v>
      </c>
      <c r="B135" s="1" t="s">
        <v>1358</v>
      </c>
      <c r="C135" s="1" t="s">
        <v>74</v>
      </c>
      <c r="D135" s="1" t="s">
        <v>350</v>
      </c>
      <c r="E135" s="1" t="s">
        <v>74</v>
      </c>
      <c r="F135" s="1" t="s">
        <v>1359</v>
      </c>
      <c r="G135" s="1" t="s">
        <v>74</v>
      </c>
      <c r="H135" s="1" t="s">
        <v>74</v>
      </c>
      <c r="I135" s="1" t="s">
        <v>1360</v>
      </c>
      <c r="J135" s="1" t="s">
        <v>1361</v>
      </c>
      <c r="K135" s="1" t="s">
        <v>1362</v>
      </c>
      <c r="L135" s="1" t="s">
        <v>74</v>
      </c>
      <c r="M135" s="1" t="s">
        <v>74</v>
      </c>
      <c r="N135" s="1" t="s">
        <v>74</v>
      </c>
      <c r="O135" s="1" t="s">
        <v>1363</v>
      </c>
      <c r="P135" s="1" t="s">
        <v>1364</v>
      </c>
      <c r="Q135" s="1" t="s">
        <v>1365</v>
      </c>
      <c r="R135" s="1" t="s">
        <v>74</v>
      </c>
      <c r="S135" s="1" t="s">
        <v>74</v>
      </c>
      <c r="T135" s="1" t="s">
        <v>74</v>
      </c>
      <c r="U135" s="1" t="s">
        <v>74</v>
      </c>
      <c r="V135" s="1" t="s">
        <v>1366</v>
      </c>
      <c r="W135" s="1" t="s">
        <v>74</v>
      </c>
      <c r="X135" s="1" t="s">
        <v>74</v>
      </c>
      <c r="Y135" s="1" t="s">
        <v>74</v>
      </c>
      <c r="Z135" s="1" t="s">
        <v>74</v>
      </c>
      <c r="AA135" s="1" t="s">
        <v>1367</v>
      </c>
      <c r="AB135" s="1" t="s">
        <v>74</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1368</v>
      </c>
      <c r="AP135" s="1" t="s">
        <v>74</v>
      </c>
      <c r="AQ135" s="1" t="s">
        <v>1369</v>
      </c>
      <c r="AR135" s="1" t="s">
        <v>74</v>
      </c>
      <c r="AS135" s="1" t="s">
        <v>74</v>
      </c>
      <c r="AT135" s="1" t="s">
        <v>74</v>
      </c>
      <c r="AU135" s="1">
        <v>2015.0</v>
      </c>
      <c r="AV135" s="1" t="s">
        <v>74</v>
      </c>
      <c r="AW135" s="1" t="s">
        <v>74</v>
      </c>
      <c r="AX135" s="1" t="s">
        <v>74</v>
      </c>
      <c r="AY135" s="1" t="s">
        <v>74</v>
      </c>
      <c r="AZ135" s="1" t="s">
        <v>74</v>
      </c>
      <c r="BA135" s="1" t="s">
        <v>74</v>
      </c>
      <c r="BB135" s="1">
        <v>7958.0</v>
      </c>
      <c r="BC135" s="1">
        <v>7965.0</v>
      </c>
      <c r="BD135" s="1" t="s">
        <v>74</v>
      </c>
      <c r="BE135" s="1" t="s">
        <v>74</v>
      </c>
      <c r="BF135" s="1" t="s">
        <v>74</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1370</v>
      </c>
      <c r="BT135" s="1" t="str">
        <f>HYPERLINK("https%3A%2F%2Fwww.webofscience.com%2Fwos%2Fwoscc%2Ffull-record%2FWOS:000398586307143","View Full Record in Web of Science")</f>
        <v>View Full Record in Web of Science</v>
      </c>
    </row>
    <row r="136" ht="12.75" customHeight="1">
      <c r="A136" s="1" t="s">
        <v>126</v>
      </c>
      <c r="B136" s="1" t="s">
        <v>1371</v>
      </c>
      <c r="C136" s="1" t="s">
        <v>74</v>
      </c>
      <c r="D136" s="1" t="s">
        <v>1372</v>
      </c>
      <c r="E136" s="1" t="s">
        <v>74</v>
      </c>
      <c r="F136" s="1" t="s">
        <v>1373</v>
      </c>
      <c r="G136" s="1" t="s">
        <v>74</v>
      </c>
      <c r="H136" s="1" t="s">
        <v>74</v>
      </c>
      <c r="I136" s="1" t="s">
        <v>1374</v>
      </c>
      <c r="J136" s="1" t="s">
        <v>1375</v>
      </c>
      <c r="K136" s="1" t="s">
        <v>1376</v>
      </c>
      <c r="L136" s="1" t="s">
        <v>74</v>
      </c>
      <c r="M136" s="1" t="s">
        <v>74</v>
      </c>
      <c r="N136" s="1" t="s">
        <v>74</v>
      </c>
      <c r="O136" s="1" t="s">
        <v>1377</v>
      </c>
      <c r="P136" s="1" t="s">
        <v>1378</v>
      </c>
      <c r="Q136" s="1" t="s">
        <v>1379</v>
      </c>
      <c r="R136" s="1" t="s">
        <v>1380</v>
      </c>
      <c r="S136" s="1" t="s">
        <v>74</v>
      </c>
      <c r="T136" s="1" t="s">
        <v>74</v>
      </c>
      <c r="U136" s="1" t="s">
        <v>74</v>
      </c>
      <c r="V136" s="1" t="s">
        <v>1381</v>
      </c>
      <c r="W136" s="1" t="s">
        <v>74</v>
      </c>
      <c r="X136" s="1" t="s">
        <v>74</v>
      </c>
      <c r="Y136" s="1" t="s">
        <v>74</v>
      </c>
      <c r="Z136" s="1" t="s">
        <v>74</v>
      </c>
      <c r="AA136" s="1" t="s">
        <v>1382</v>
      </c>
      <c r="AB136" s="1" t="s">
        <v>1383</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1384</v>
      </c>
      <c r="AP136" s="1" t="s">
        <v>74</v>
      </c>
      <c r="AQ136" s="1" t="s">
        <v>74</v>
      </c>
      <c r="AR136" s="1" t="s">
        <v>74</v>
      </c>
      <c r="AS136" s="1" t="s">
        <v>74</v>
      </c>
      <c r="AT136" s="1" t="s">
        <v>74</v>
      </c>
      <c r="AU136" s="1">
        <v>2015.0</v>
      </c>
      <c r="AV136" s="1">
        <v>55.0</v>
      </c>
      <c r="AW136" s="1" t="s">
        <v>74</v>
      </c>
      <c r="AX136" s="1" t="s">
        <v>74</v>
      </c>
      <c r="AY136" s="1" t="s">
        <v>74</v>
      </c>
      <c r="AZ136" s="1" t="s">
        <v>74</v>
      </c>
      <c r="BA136" s="1" t="s">
        <v>74</v>
      </c>
      <c r="BB136" s="1">
        <v>1420.0</v>
      </c>
      <c r="BC136" s="1">
        <v>1425.0</v>
      </c>
      <c r="BD136" s="1" t="s">
        <v>74</v>
      </c>
      <c r="BE136" s="1" t="s">
        <v>1385</v>
      </c>
      <c r="BF136" s="2" t="str">
        <f>HYPERLINK("http://dx.doi.org/10.1016/j.procs.2015.07.136","http://dx.doi.org/10.1016/j.procs.2015.07.136")</f>
        <v>http://dx.doi.org/10.1016/j.procs.2015.07.136</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1386</v>
      </c>
      <c r="BT136" s="1" t="str">
        <f>HYPERLINK("https%3A%2F%2Fwww.webofscience.com%2Fwos%2Fwoscc%2Ffull-record%2FWOS:000360101400162","View Full Record in Web of Science")</f>
        <v>View Full Record in Web of Science</v>
      </c>
    </row>
    <row r="137" ht="12.75" customHeight="1">
      <c r="A137" s="1" t="s">
        <v>72</v>
      </c>
      <c r="B137" s="1" t="s">
        <v>1387</v>
      </c>
      <c r="C137" s="1" t="s">
        <v>74</v>
      </c>
      <c r="D137" s="1" t="s">
        <v>74</v>
      </c>
      <c r="E137" s="1" t="s">
        <v>74</v>
      </c>
      <c r="F137" s="1" t="s">
        <v>1388</v>
      </c>
      <c r="G137" s="1" t="s">
        <v>74</v>
      </c>
      <c r="H137" s="1" t="s">
        <v>74</v>
      </c>
      <c r="I137" s="1" t="s">
        <v>1389</v>
      </c>
      <c r="J137" s="1" t="s">
        <v>1390</v>
      </c>
      <c r="K137" s="1" t="s">
        <v>74</v>
      </c>
      <c r="L137" s="1" t="s">
        <v>74</v>
      </c>
      <c r="M137" s="1" t="s">
        <v>74</v>
      </c>
      <c r="N137" s="1" t="s">
        <v>74</v>
      </c>
      <c r="O137" s="1" t="s">
        <v>74</v>
      </c>
      <c r="P137" s="1" t="s">
        <v>74</v>
      </c>
      <c r="Q137" s="1" t="s">
        <v>74</v>
      </c>
      <c r="R137" s="1" t="s">
        <v>74</v>
      </c>
      <c r="S137" s="1" t="s">
        <v>74</v>
      </c>
      <c r="T137" s="1" t="s">
        <v>74</v>
      </c>
      <c r="U137" s="1" t="s">
        <v>74</v>
      </c>
      <c r="V137" s="1" t="s">
        <v>74</v>
      </c>
      <c r="W137" s="1" t="s">
        <v>74</v>
      </c>
      <c r="X137" s="1" t="s">
        <v>74</v>
      </c>
      <c r="Y137" s="1" t="s">
        <v>74</v>
      </c>
      <c r="Z137" s="1" t="s">
        <v>74</v>
      </c>
      <c r="AA137" s="1" t="s">
        <v>1391</v>
      </c>
      <c r="AB137" s="1" t="s">
        <v>1392</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1393</v>
      </c>
      <c r="AP137" s="1" t="s">
        <v>1394</v>
      </c>
      <c r="AQ137" s="1" t="s">
        <v>74</v>
      </c>
      <c r="AR137" s="1" t="s">
        <v>74</v>
      </c>
      <c r="AS137" s="1" t="s">
        <v>74</v>
      </c>
      <c r="AT137" s="1" t="s">
        <v>410</v>
      </c>
      <c r="AU137" s="1">
        <v>2014.0</v>
      </c>
      <c r="AV137" s="1">
        <v>37.0</v>
      </c>
      <c r="AW137" s="1">
        <v>11.0</v>
      </c>
      <c r="AX137" s="1" t="s">
        <v>74</v>
      </c>
      <c r="AY137" s="1" t="s">
        <v>74</v>
      </c>
      <c r="AZ137" s="1" t="s">
        <v>74</v>
      </c>
      <c r="BA137" s="1" t="s">
        <v>74</v>
      </c>
      <c r="BB137" s="1">
        <v>989.0</v>
      </c>
      <c r="BC137" s="1">
        <v>995.0</v>
      </c>
      <c r="BD137" s="1" t="s">
        <v>74</v>
      </c>
      <c r="BE137" s="1" t="s">
        <v>1395</v>
      </c>
      <c r="BF137" s="2" t="str">
        <f>HYPERLINK("http://dx.doi.org/10.1111/jfd.12198","http://dx.doi.org/10.1111/jfd.12198")</f>
        <v>http://dx.doi.org/10.1111/jfd.12198</v>
      </c>
      <c r="BG137" s="1" t="s">
        <v>74</v>
      </c>
      <c r="BH137" s="1" t="s">
        <v>74</v>
      </c>
      <c r="BI137" s="1" t="s">
        <v>74</v>
      </c>
      <c r="BJ137" s="1" t="s">
        <v>74</v>
      </c>
      <c r="BK137" s="1" t="s">
        <v>74</v>
      </c>
      <c r="BL137" s="1" t="s">
        <v>74</v>
      </c>
      <c r="BM137" s="1" t="s">
        <v>74</v>
      </c>
      <c r="BN137" s="1">
        <v>2.4205996E7</v>
      </c>
      <c r="BO137" s="1" t="s">
        <v>74</v>
      </c>
      <c r="BP137" s="1" t="s">
        <v>74</v>
      </c>
      <c r="BQ137" s="1" t="s">
        <v>74</v>
      </c>
      <c r="BR137" s="1" t="s">
        <v>74</v>
      </c>
      <c r="BS137" s="1" t="s">
        <v>1396</v>
      </c>
      <c r="BT137" s="1" t="str">
        <f>HYPERLINK("https%3A%2F%2Fwww.webofscience.com%2Fwos%2Fwoscc%2Ffull-record%2FWOS:000343758600007","View Full Record in Web of Science")</f>
        <v>View Full Record in Web of Science</v>
      </c>
    </row>
    <row r="138" ht="12.75" customHeight="1">
      <c r="A138" s="1" t="s">
        <v>72</v>
      </c>
      <c r="B138" s="1" t="s">
        <v>1397</v>
      </c>
      <c r="C138" s="1" t="s">
        <v>74</v>
      </c>
      <c r="D138" s="1" t="s">
        <v>74</v>
      </c>
      <c r="E138" s="1" t="s">
        <v>74</v>
      </c>
      <c r="F138" s="1" t="s">
        <v>1398</v>
      </c>
      <c r="G138" s="1" t="s">
        <v>74</v>
      </c>
      <c r="H138" s="1" t="s">
        <v>74</v>
      </c>
      <c r="I138" s="1" t="s">
        <v>1399</v>
      </c>
      <c r="J138" s="1" t="s">
        <v>1400</v>
      </c>
      <c r="K138" s="1" t="s">
        <v>74</v>
      </c>
      <c r="L138" s="1" t="s">
        <v>74</v>
      </c>
      <c r="M138" s="1" t="s">
        <v>74</v>
      </c>
      <c r="N138" s="1" t="s">
        <v>74</v>
      </c>
      <c r="O138" s="1" t="s">
        <v>74</v>
      </c>
      <c r="P138" s="1" t="s">
        <v>74</v>
      </c>
      <c r="Q138" s="1" t="s">
        <v>74</v>
      </c>
      <c r="R138" s="1" t="s">
        <v>74</v>
      </c>
      <c r="S138" s="1" t="s">
        <v>74</v>
      </c>
      <c r="T138" s="1" t="s">
        <v>74</v>
      </c>
      <c r="U138" s="1" t="s">
        <v>74</v>
      </c>
      <c r="V138" s="1" t="s">
        <v>74</v>
      </c>
      <c r="W138" s="1" t="s">
        <v>74</v>
      </c>
      <c r="X138" s="1" t="s">
        <v>74</v>
      </c>
      <c r="Y138" s="1" t="s">
        <v>74</v>
      </c>
      <c r="Z138" s="1" t="s">
        <v>74</v>
      </c>
      <c r="AA138" s="1" t="s">
        <v>74</v>
      </c>
      <c r="AB138" s="1" t="s">
        <v>74</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1401</v>
      </c>
      <c r="AP138" s="1" t="s">
        <v>74</v>
      </c>
      <c r="AQ138" s="1" t="s">
        <v>74</v>
      </c>
      <c r="AR138" s="1" t="s">
        <v>74</v>
      </c>
      <c r="AS138" s="1" t="s">
        <v>74</v>
      </c>
      <c r="AT138" s="1" t="s">
        <v>410</v>
      </c>
      <c r="AU138" s="1">
        <v>2014.0</v>
      </c>
      <c r="AV138" s="1">
        <v>43.0</v>
      </c>
      <c r="AW138" s="1">
        <v>2.0</v>
      </c>
      <c r="AX138" s="1" t="s">
        <v>74</v>
      </c>
      <c r="AY138" s="1" t="s">
        <v>74</v>
      </c>
      <c r="AZ138" s="1" t="s">
        <v>74</v>
      </c>
      <c r="BA138" s="1" t="s">
        <v>74</v>
      </c>
      <c r="BB138" s="1">
        <v>84.0</v>
      </c>
      <c r="BC138" s="1">
        <v>93.0</v>
      </c>
      <c r="BD138" s="1" t="s">
        <v>74</v>
      </c>
      <c r="BE138" s="1" t="s">
        <v>74</v>
      </c>
      <c r="BF138" s="1" t="s">
        <v>74</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1402</v>
      </c>
      <c r="BT138" s="1" t="str">
        <f>HYPERLINK("https%3A%2F%2Fwww.webofscience.com%2Fwos%2Fwoscc%2Ffull-record%2FWOS:000348402500007","View Full Record in Web of Science")</f>
        <v>View Full Record in Web of Science</v>
      </c>
    </row>
    <row r="139" ht="12.75" customHeight="1">
      <c r="A139" s="1" t="s">
        <v>72</v>
      </c>
      <c r="B139" s="1" t="s">
        <v>1403</v>
      </c>
      <c r="C139" s="1" t="s">
        <v>74</v>
      </c>
      <c r="D139" s="1" t="s">
        <v>74</v>
      </c>
      <c r="E139" s="1" t="s">
        <v>74</v>
      </c>
      <c r="F139" s="1" t="s">
        <v>1404</v>
      </c>
      <c r="G139" s="1" t="s">
        <v>74</v>
      </c>
      <c r="H139" s="1" t="s">
        <v>74</v>
      </c>
      <c r="I139" s="1" t="s">
        <v>1405</v>
      </c>
      <c r="J139" s="1" t="s">
        <v>1406</v>
      </c>
      <c r="K139" s="1" t="s">
        <v>74</v>
      </c>
      <c r="L139" s="1" t="s">
        <v>74</v>
      </c>
      <c r="M139" s="1" t="s">
        <v>74</v>
      </c>
      <c r="N139" s="1" t="s">
        <v>74</v>
      </c>
      <c r="O139" s="1" t="s">
        <v>74</v>
      </c>
      <c r="P139" s="1" t="s">
        <v>74</v>
      </c>
      <c r="Q139" s="1" t="s">
        <v>74</v>
      </c>
      <c r="R139" s="1" t="s">
        <v>74</v>
      </c>
      <c r="S139" s="1" t="s">
        <v>74</v>
      </c>
      <c r="T139" s="1" t="s">
        <v>74</v>
      </c>
      <c r="U139" s="1" t="s">
        <v>74</v>
      </c>
      <c r="V139" s="1" t="s">
        <v>1407</v>
      </c>
      <c r="W139" s="1" t="s">
        <v>74</v>
      </c>
      <c r="X139" s="1" t="s">
        <v>74</v>
      </c>
      <c r="Y139" s="1" t="s">
        <v>74</v>
      </c>
      <c r="Z139" s="1" t="s">
        <v>74</v>
      </c>
      <c r="AA139" s="1" t="s">
        <v>74</v>
      </c>
      <c r="AB139" s="1" t="s">
        <v>1408</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1409</v>
      </c>
      <c r="AP139" s="1" t="s">
        <v>1410</v>
      </c>
      <c r="AQ139" s="1" t="s">
        <v>74</v>
      </c>
      <c r="AR139" s="1" t="s">
        <v>74</v>
      </c>
      <c r="AS139" s="1" t="s">
        <v>74</v>
      </c>
      <c r="AT139" s="1" t="s">
        <v>256</v>
      </c>
      <c r="AU139" s="1">
        <v>2014.0</v>
      </c>
      <c r="AV139" s="1">
        <v>27.0</v>
      </c>
      <c r="AW139" s="1">
        <v>1.0</v>
      </c>
      <c r="AX139" s="1" t="s">
        <v>74</v>
      </c>
      <c r="AY139" s="1" t="s">
        <v>74</v>
      </c>
      <c r="AZ139" s="1" t="s">
        <v>74</v>
      </c>
      <c r="BA139" s="1" t="s">
        <v>74</v>
      </c>
      <c r="BB139" s="1">
        <v>79.0</v>
      </c>
      <c r="BC139" s="1">
        <v>107.0</v>
      </c>
      <c r="BD139" s="1" t="s">
        <v>74</v>
      </c>
      <c r="BE139" s="1" t="s">
        <v>1411</v>
      </c>
      <c r="BF139" s="2" t="str">
        <f>HYPERLINK("http://dx.doi.org/10.1017/S0269889713000392","http://dx.doi.org/10.1017/S0269889713000392")</f>
        <v>http://dx.doi.org/10.1017/S0269889713000392</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1412</v>
      </c>
      <c r="BT139" s="1" t="str">
        <f>HYPERLINK("https%3A%2F%2Fwww.webofscience.com%2Fwos%2Fwoscc%2Ffull-record%2FWOS:000332375300004","View Full Record in Web of Science")</f>
        <v>View Full Record in Web of Science</v>
      </c>
    </row>
    <row r="140" ht="12.75" customHeight="1">
      <c r="A140" s="1" t="s">
        <v>72</v>
      </c>
      <c r="B140" s="1" t="s">
        <v>1413</v>
      </c>
      <c r="C140" s="1" t="s">
        <v>74</v>
      </c>
      <c r="D140" s="1" t="s">
        <v>74</v>
      </c>
      <c r="E140" s="1" t="s">
        <v>74</v>
      </c>
      <c r="F140" s="1" t="s">
        <v>1414</v>
      </c>
      <c r="G140" s="1" t="s">
        <v>74</v>
      </c>
      <c r="H140" s="1" t="s">
        <v>74</v>
      </c>
      <c r="I140" s="1" t="s">
        <v>1415</v>
      </c>
      <c r="J140" s="1" t="s">
        <v>1416</v>
      </c>
      <c r="K140" s="1" t="s">
        <v>74</v>
      </c>
      <c r="L140" s="1" t="s">
        <v>74</v>
      </c>
      <c r="M140" s="1" t="s">
        <v>74</v>
      </c>
      <c r="N140" s="1" t="s">
        <v>74</v>
      </c>
      <c r="O140" s="1" t="s">
        <v>74</v>
      </c>
      <c r="P140" s="1" t="s">
        <v>74</v>
      </c>
      <c r="Q140" s="1" t="s">
        <v>74</v>
      </c>
      <c r="R140" s="1" t="s">
        <v>74</v>
      </c>
      <c r="S140" s="1" t="s">
        <v>74</v>
      </c>
      <c r="T140" s="1" t="s">
        <v>74</v>
      </c>
      <c r="U140" s="1" t="s">
        <v>74</v>
      </c>
      <c r="V140" s="1" t="s">
        <v>1417</v>
      </c>
      <c r="W140" s="1" t="s">
        <v>74</v>
      </c>
      <c r="X140" s="1" t="s">
        <v>74</v>
      </c>
      <c r="Y140" s="1" t="s">
        <v>74</v>
      </c>
      <c r="Z140" s="1" t="s">
        <v>74</v>
      </c>
      <c r="AA140" s="1" t="s">
        <v>1418</v>
      </c>
      <c r="AB140" s="1" t="s">
        <v>1419</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1420</v>
      </c>
      <c r="AP140" s="1" t="s">
        <v>1421</v>
      </c>
      <c r="AQ140" s="1" t="s">
        <v>74</v>
      </c>
      <c r="AR140" s="1" t="s">
        <v>74</v>
      </c>
      <c r="AS140" s="1" t="s">
        <v>74</v>
      </c>
      <c r="AT140" s="1" t="s">
        <v>171</v>
      </c>
      <c r="AU140" s="1">
        <v>2013.0</v>
      </c>
      <c r="AV140" s="1">
        <v>32.0</v>
      </c>
      <c r="AW140" s="1">
        <v>2.0</v>
      </c>
      <c r="AX140" s="1" t="s">
        <v>74</v>
      </c>
      <c r="AY140" s="1" t="s">
        <v>74</v>
      </c>
      <c r="AZ140" s="1" t="s">
        <v>74</v>
      </c>
      <c r="BA140" s="1" t="s">
        <v>74</v>
      </c>
      <c r="BB140" s="1">
        <v>443.0</v>
      </c>
      <c r="BC140" s="1">
        <v>448.0</v>
      </c>
      <c r="BD140" s="1" t="s">
        <v>74</v>
      </c>
      <c r="BE140" s="1" t="s">
        <v>1422</v>
      </c>
      <c r="BF140" s="2" t="str">
        <f>HYPERLINK("http://dx.doi.org/10.1007/s00344-012-9309-1","http://dx.doi.org/10.1007/s00344-012-9309-1")</f>
        <v>http://dx.doi.org/10.1007/s00344-012-9309-1</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1423</v>
      </c>
      <c r="BT140" s="1" t="str">
        <f>HYPERLINK("https%3A%2F%2Fwww.webofscience.com%2Fwos%2Fwoscc%2Ffull-record%2FWOS:000319165500019","View Full Record in Web of Science")</f>
        <v>View Full Record in Web of Science</v>
      </c>
    </row>
    <row r="141" ht="12.75" customHeight="1">
      <c r="A141" s="1" t="s">
        <v>72</v>
      </c>
      <c r="B141" s="1" t="s">
        <v>1424</v>
      </c>
      <c r="C141" s="1" t="s">
        <v>74</v>
      </c>
      <c r="D141" s="1" t="s">
        <v>74</v>
      </c>
      <c r="E141" s="1" t="s">
        <v>74</v>
      </c>
      <c r="F141" s="1" t="s">
        <v>1425</v>
      </c>
      <c r="G141" s="1" t="s">
        <v>74</v>
      </c>
      <c r="H141" s="1" t="s">
        <v>74</v>
      </c>
      <c r="I141" s="1" t="s">
        <v>1426</v>
      </c>
      <c r="J141" s="1" t="s">
        <v>1302</v>
      </c>
      <c r="K141" s="1" t="s">
        <v>74</v>
      </c>
      <c r="L141" s="1" t="s">
        <v>74</v>
      </c>
      <c r="M141" s="1" t="s">
        <v>74</v>
      </c>
      <c r="N141" s="1" t="s">
        <v>74</v>
      </c>
      <c r="O141" s="1" t="s">
        <v>74</v>
      </c>
      <c r="P141" s="1" t="s">
        <v>74</v>
      </c>
      <c r="Q141" s="1" t="s">
        <v>74</v>
      </c>
      <c r="R141" s="1" t="s">
        <v>74</v>
      </c>
      <c r="S141" s="1" t="s">
        <v>74</v>
      </c>
      <c r="T141" s="1" t="s">
        <v>74</v>
      </c>
      <c r="U141" s="1" t="s">
        <v>74</v>
      </c>
      <c r="V141" s="1" t="s">
        <v>1427</v>
      </c>
      <c r="W141" s="1" t="s">
        <v>74</v>
      </c>
      <c r="X141" s="1" t="s">
        <v>74</v>
      </c>
      <c r="Y141" s="1" t="s">
        <v>74</v>
      </c>
      <c r="Z141" s="1" t="s">
        <v>74</v>
      </c>
      <c r="AA141" s="1" t="s">
        <v>74</v>
      </c>
      <c r="AB141" s="1" t="s">
        <v>74</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1304</v>
      </c>
      <c r="AP141" s="1" t="s">
        <v>1305</v>
      </c>
      <c r="AQ141" s="1" t="s">
        <v>74</v>
      </c>
      <c r="AR141" s="1" t="s">
        <v>74</v>
      </c>
      <c r="AS141" s="1" t="s">
        <v>74</v>
      </c>
      <c r="AT141" s="1" t="s">
        <v>171</v>
      </c>
      <c r="AU141" s="1">
        <v>2013.0</v>
      </c>
      <c r="AV141" s="1" t="s">
        <v>74</v>
      </c>
      <c r="AW141" s="1">
        <v>51.0</v>
      </c>
      <c r="AX141" s="1" t="s">
        <v>74</v>
      </c>
      <c r="AY141" s="1" t="s">
        <v>74</v>
      </c>
      <c r="AZ141" s="1" t="s">
        <v>74</v>
      </c>
      <c r="BA141" s="1" t="s">
        <v>74</v>
      </c>
      <c r="BB141" s="1">
        <v>115.0</v>
      </c>
      <c r="BC141" s="1">
        <v>129.0</v>
      </c>
      <c r="BD141" s="1" t="s">
        <v>74</v>
      </c>
      <c r="BE141" s="1" t="s">
        <v>74</v>
      </c>
      <c r="BF141" s="1" t="s">
        <v>74</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1428</v>
      </c>
      <c r="BT141" s="1" t="str">
        <f>HYPERLINK("https%3A%2F%2Fwww.webofscience.com%2Fwos%2Fwoscc%2Ffull-record%2FWOS:000323704600009","View Full Record in Web of Science")</f>
        <v>View Full Record in Web of Science</v>
      </c>
    </row>
    <row r="142" ht="12.75" customHeight="1">
      <c r="A142" s="1" t="s">
        <v>72</v>
      </c>
      <c r="B142" s="1" t="s">
        <v>1429</v>
      </c>
      <c r="C142" s="1" t="s">
        <v>74</v>
      </c>
      <c r="D142" s="1" t="s">
        <v>74</v>
      </c>
      <c r="E142" s="1" t="s">
        <v>74</v>
      </c>
      <c r="F142" s="1" t="s">
        <v>1430</v>
      </c>
      <c r="G142" s="1" t="s">
        <v>74</v>
      </c>
      <c r="H142" s="1" t="s">
        <v>74</v>
      </c>
      <c r="I142" s="1" t="s">
        <v>1431</v>
      </c>
      <c r="J142" s="1" t="s">
        <v>1432</v>
      </c>
      <c r="K142" s="1" t="s">
        <v>74</v>
      </c>
      <c r="L142" s="1" t="s">
        <v>74</v>
      </c>
      <c r="M142" s="1" t="s">
        <v>74</v>
      </c>
      <c r="N142" s="1" t="s">
        <v>74</v>
      </c>
      <c r="O142" s="1" t="s">
        <v>74</v>
      </c>
      <c r="P142" s="1" t="s">
        <v>74</v>
      </c>
      <c r="Q142" s="1" t="s">
        <v>74</v>
      </c>
      <c r="R142" s="1" t="s">
        <v>74</v>
      </c>
      <c r="S142" s="1" t="s">
        <v>74</v>
      </c>
      <c r="T142" s="1" t="s">
        <v>74</v>
      </c>
      <c r="U142" s="1" t="s">
        <v>74</v>
      </c>
      <c r="V142" s="1" t="s">
        <v>1433</v>
      </c>
      <c r="W142" s="1" t="s">
        <v>74</v>
      </c>
      <c r="X142" s="1" t="s">
        <v>74</v>
      </c>
      <c r="Y142" s="1" t="s">
        <v>74</v>
      </c>
      <c r="Z142" s="1" t="s">
        <v>74</v>
      </c>
      <c r="AA142" s="1" t="s">
        <v>1434</v>
      </c>
      <c r="AB142" s="1" t="s">
        <v>1435</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1436</v>
      </c>
      <c r="AP142" s="1" t="s">
        <v>1437</v>
      </c>
      <c r="AQ142" s="1" t="s">
        <v>74</v>
      </c>
      <c r="AR142" s="1" t="s">
        <v>74</v>
      </c>
      <c r="AS142" s="1" t="s">
        <v>74</v>
      </c>
      <c r="AT142" s="1" t="s">
        <v>74</v>
      </c>
      <c r="AU142" s="1">
        <v>2013.0</v>
      </c>
      <c r="AV142" s="1">
        <v>16.0</v>
      </c>
      <c r="AW142" s="1">
        <v>2.0</v>
      </c>
      <c r="AX142" s="1" t="s">
        <v>74</v>
      </c>
      <c r="AY142" s="1" t="s">
        <v>74</v>
      </c>
      <c r="AZ142" s="1" t="s">
        <v>74</v>
      </c>
      <c r="BA142" s="1" t="s">
        <v>74</v>
      </c>
      <c r="BB142" s="1">
        <v>155.0</v>
      </c>
      <c r="BC142" s="1">
        <v>165.0</v>
      </c>
      <c r="BD142" s="1" t="s">
        <v>74</v>
      </c>
      <c r="BE142" s="1" t="s">
        <v>1438</v>
      </c>
      <c r="BF142" s="2" t="str">
        <f>HYPERLINK("http://dx.doi.org/10.1615/JPorMedia.v16.i2.60","http://dx.doi.org/10.1615/JPorMedia.v16.i2.60")</f>
        <v>http://dx.doi.org/10.1615/JPorMedia.v16.i2.60</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1439</v>
      </c>
      <c r="BT142" s="1" t="str">
        <f>HYPERLINK("https%3A%2F%2Fwww.webofscience.com%2Fwos%2Fwoscc%2Ffull-record%2FWOS:000317251800006","View Full Record in Web of Science")</f>
        <v>View Full Record in Web of Science</v>
      </c>
    </row>
    <row r="143" ht="12.75" customHeight="1">
      <c r="A143" s="1" t="s">
        <v>126</v>
      </c>
      <c r="B143" s="1" t="s">
        <v>1440</v>
      </c>
      <c r="C143" s="1" t="s">
        <v>74</v>
      </c>
      <c r="D143" s="1" t="s">
        <v>74</v>
      </c>
      <c r="E143" s="1" t="s">
        <v>458</v>
      </c>
      <c r="F143" s="1" t="s">
        <v>1441</v>
      </c>
      <c r="G143" s="1" t="s">
        <v>74</v>
      </c>
      <c r="H143" s="1" t="s">
        <v>74</v>
      </c>
      <c r="I143" s="1" t="s">
        <v>1442</v>
      </c>
      <c r="J143" s="1" t="s">
        <v>1443</v>
      </c>
      <c r="K143" s="1" t="s">
        <v>74</v>
      </c>
      <c r="L143" s="1" t="s">
        <v>74</v>
      </c>
      <c r="M143" s="1" t="s">
        <v>74</v>
      </c>
      <c r="N143" s="1" t="s">
        <v>74</v>
      </c>
      <c r="O143" s="1" t="s">
        <v>1444</v>
      </c>
      <c r="P143" s="1" t="s">
        <v>1445</v>
      </c>
      <c r="Q143" s="1" t="s">
        <v>1446</v>
      </c>
      <c r="R143" s="1" t="s">
        <v>458</v>
      </c>
      <c r="S143" s="1" t="s">
        <v>74</v>
      </c>
      <c r="T143" s="1" t="s">
        <v>74</v>
      </c>
      <c r="U143" s="1" t="s">
        <v>74</v>
      </c>
      <c r="V143" s="1" t="s">
        <v>1447</v>
      </c>
      <c r="W143" s="1" t="s">
        <v>74</v>
      </c>
      <c r="X143" s="1" t="s">
        <v>74</v>
      </c>
      <c r="Y143" s="1" t="s">
        <v>74</v>
      </c>
      <c r="Z143" s="1" t="s">
        <v>74</v>
      </c>
      <c r="AA143" s="1" t="s">
        <v>74</v>
      </c>
      <c r="AB143" s="1" t="s">
        <v>74</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74</v>
      </c>
      <c r="AP143" s="1" t="s">
        <v>74</v>
      </c>
      <c r="AQ143" s="1" t="s">
        <v>1448</v>
      </c>
      <c r="AR143" s="1" t="s">
        <v>74</v>
      </c>
      <c r="AS143" s="1" t="s">
        <v>74</v>
      </c>
      <c r="AT143" s="1" t="s">
        <v>74</v>
      </c>
      <c r="AU143" s="1">
        <v>2013.0</v>
      </c>
      <c r="AV143" s="1" t="s">
        <v>74</v>
      </c>
      <c r="AW143" s="1" t="s">
        <v>74</v>
      </c>
      <c r="AX143" s="1" t="s">
        <v>74</v>
      </c>
      <c r="AY143" s="1" t="s">
        <v>74</v>
      </c>
      <c r="AZ143" s="1" t="s">
        <v>74</v>
      </c>
      <c r="BA143" s="1" t="s">
        <v>74</v>
      </c>
      <c r="BB143" s="1">
        <v>1023.0</v>
      </c>
      <c r="BC143" s="1">
        <v>1028.0</v>
      </c>
      <c r="BD143" s="1" t="s">
        <v>74</v>
      </c>
      <c r="BE143" s="1" t="s">
        <v>74</v>
      </c>
      <c r="BF143" s="1" t="s">
        <v>74</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1449</v>
      </c>
      <c r="BT143" s="1" t="str">
        <f>HYPERLINK("https%3A%2F%2Fwww.webofscience.com%2Fwos%2Fwoscc%2Ffull-record%2FWOS:000350071100117","View Full Record in Web of Science")</f>
        <v>View Full Record in Web of Science</v>
      </c>
    </row>
    <row r="144" ht="12.75" customHeight="1">
      <c r="A144" s="1" t="s">
        <v>72</v>
      </c>
      <c r="B144" s="1" t="s">
        <v>1450</v>
      </c>
      <c r="C144" s="1" t="s">
        <v>74</v>
      </c>
      <c r="D144" s="1" t="s">
        <v>74</v>
      </c>
      <c r="E144" s="1" t="s">
        <v>74</v>
      </c>
      <c r="F144" s="1" t="s">
        <v>1451</v>
      </c>
      <c r="G144" s="1" t="s">
        <v>74</v>
      </c>
      <c r="H144" s="1" t="s">
        <v>74</v>
      </c>
      <c r="I144" s="1" t="s">
        <v>1452</v>
      </c>
      <c r="J144" s="1" t="s">
        <v>439</v>
      </c>
      <c r="K144" s="1" t="s">
        <v>74</v>
      </c>
      <c r="L144" s="1" t="s">
        <v>74</v>
      </c>
      <c r="M144" s="1" t="s">
        <v>74</v>
      </c>
      <c r="N144" s="1" t="s">
        <v>74</v>
      </c>
      <c r="O144" s="1" t="s">
        <v>74</v>
      </c>
      <c r="P144" s="1" t="s">
        <v>74</v>
      </c>
      <c r="Q144" s="1" t="s">
        <v>74</v>
      </c>
      <c r="R144" s="1" t="s">
        <v>74</v>
      </c>
      <c r="S144" s="1" t="s">
        <v>74</v>
      </c>
      <c r="T144" s="1" t="s">
        <v>74</v>
      </c>
      <c r="U144" s="1" t="s">
        <v>74</v>
      </c>
      <c r="V144" s="1" t="s">
        <v>1453</v>
      </c>
      <c r="W144" s="1" t="s">
        <v>74</v>
      </c>
      <c r="X144" s="1" t="s">
        <v>74</v>
      </c>
      <c r="Y144" s="1" t="s">
        <v>74</v>
      </c>
      <c r="Z144" s="1" t="s">
        <v>74</v>
      </c>
      <c r="AA144" s="1" t="s">
        <v>1454</v>
      </c>
      <c r="AB144" s="1" t="s">
        <v>1455</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443</v>
      </c>
      <c r="AP144" s="1" t="s">
        <v>74</v>
      </c>
      <c r="AQ144" s="1" t="s">
        <v>74</v>
      </c>
      <c r="AR144" s="1" t="s">
        <v>74</v>
      </c>
      <c r="AS144" s="1" t="s">
        <v>74</v>
      </c>
      <c r="AT144" s="1" t="s">
        <v>123</v>
      </c>
      <c r="AU144" s="1">
        <v>2013.0</v>
      </c>
      <c r="AV144" s="1">
        <v>8.0</v>
      </c>
      <c r="AW144" s="1">
        <v>1.0</v>
      </c>
      <c r="AX144" s="1" t="s">
        <v>74</v>
      </c>
      <c r="AY144" s="1" t="s">
        <v>74</v>
      </c>
      <c r="AZ144" s="1" t="s">
        <v>74</v>
      </c>
      <c r="BA144" s="1" t="s">
        <v>74</v>
      </c>
      <c r="BB144" s="1">
        <v>621.0</v>
      </c>
      <c r="BC144" s="1">
        <v>633.0</v>
      </c>
      <c r="BD144" s="1" t="s">
        <v>74</v>
      </c>
      <c r="BE144" s="1" t="s">
        <v>74</v>
      </c>
      <c r="BF144" s="1" t="s">
        <v>74</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1456</v>
      </c>
      <c r="BT144" s="1" t="str">
        <f>HYPERLINK("https%3A%2F%2Fwww.webofscience.com%2Fwos%2Fwoscc%2Ffull-record%2FWOS:000316562800048","View Full Record in Web of Science")</f>
        <v>View Full Record in Web of Science</v>
      </c>
    </row>
    <row r="145" ht="12.75" customHeight="1">
      <c r="A145" s="1" t="s">
        <v>72</v>
      </c>
      <c r="B145" s="1" t="s">
        <v>1457</v>
      </c>
      <c r="C145" s="1" t="s">
        <v>74</v>
      </c>
      <c r="D145" s="1" t="s">
        <v>74</v>
      </c>
      <c r="E145" s="1" t="s">
        <v>74</v>
      </c>
      <c r="F145" s="1" t="s">
        <v>1458</v>
      </c>
      <c r="G145" s="1" t="s">
        <v>74</v>
      </c>
      <c r="H145" s="1" t="s">
        <v>74</v>
      </c>
      <c r="I145" s="1" t="s">
        <v>1459</v>
      </c>
      <c r="J145" s="1" t="s">
        <v>680</v>
      </c>
      <c r="K145" s="1" t="s">
        <v>74</v>
      </c>
      <c r="L145" s="1" t="s">
        <v>74</v>
      </c>
      <c r="M145" s="1" t="s">
        <v>74</v>
      </c>
      <c r="N145" s="1" t="s">
        <v>74</v>
      </c>
      <c r="O145" s="1" t="s">
        <v>74</v>
      </c>
      <c r="P145" s="1" t="s">
        <v>74</v>
      </c>
      <c r="Q145" s="1" t="s">
        <v>74</v>
      </c>
      <c r="R145" s="1" t="s">
        <v>74</v>
      </c>
      <c r="S145" s="1" t="s">
        <v>74</v>
      </c>
      <c r="T145" s="1" t="s">
        <v>74</v>
      </c>
      <c r="U145" s="1" t="s">
        <v>74</v>
      </c>
      <c r="V145" s="1" t="s">
        <v>1460</v>
      </c>
      <c r="W145" s="1" t="s">
        <v>74</v>
      </c>
      <c r="X145" s="1" t="s">
        <v>74</v>
      </c>
      <c r="Y145" s="1" t="s">
        <v>74</v>
      </c>
      <c r="Z145" s="1" t="s">
        <v>74</v>
      </c>
      <c r="AA145" s="1" t="s">
        <v>74</v>
      </c>
      <c r="AB145" s="1" t="s">
        <v>1461</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684</v>
      </c>
      <c r="AP145" s="1" t="s">
        <v>1462</v>
      </c>
      <c r="AQ145" s="1" t="s">
        <v>74</v>
      </c>
      <c r="AR145" s="1" t="s">
        <v>74</v>
      </c>
      <c r="AS145" s="1" t="s">
        <v>74</v>
      </c>
      <c r="AT145" s="1" t="s">
        <v>74</v>
      </c>
      <c r="AU145" s="1">
        <v>2013.0</v>
      </c>
      <c r="AV145" s="1">
        <v>46.0</v>
      </c>
      <c r="AW145" s="1">
        <v>4.0</v>
      </c>
      <c r="AX145" s="1" t="s">
        <v>74</v>
      </c>
      <c r="AY145" s="1" t="s">
        <v>74</v>
      </c>
      <c r="AZ145" s="1" t="s">
        <v>74</v>
      </c>
      <c r="BA145" s="1" t="s">
        <v>74</v>
      </c>
      <c r="BB145" s="1">
        <v>407.0</v>
      </c>
      <c r="BC145" s="1">
        <v>419.0</v>
      </c>
      <c r="BD145" s="1" t="s">
        <v>74</v>
      </c>
      <c r="BE145" s="1" t="s">
        <v>1463</v>
      </c>
      <c r="BF145" s="2" t="str">
        <f>HYPERLINK("http://dx.doi.org/10.4067/S0716-97602013000400012","http://dx.doi.org/10.4067/S0716-97602013000400012")</f>
        <v>http://dx.doi.org/10.4067/S0716-97602013000400012</v>
      </c>
      <c r="BG145" s="1" t="s">
        <v>74</v>
      </c>
      <c r="BH145" s="1" t="s">
        <v>74</v>
      </c>
      <c r="BI145" s="1" t="s">
        <v>74</v>
      </c>
      <c r="BJ145" s="1" t="s">
        <v>74</v>
      </c>
      <c r="BK145" s="1" t="s">
        <v>74</v>
      </c>
      <c r="BL145" s="1" t="s">
        <v>74</v>
      </c>
      <c r="BM145" s="1" t="s">
        <v>74</v>
      </c>
      <c r="BN145" s="1">
        <v>2.4510143E7</v>
      </c>
      <c r="BO145" s="1" t="s">
        <v>74</v>
      </c>
      <c r="BP145" s="1" t="s">
        <v>74</v>
      </c>
      <c r="BQ145" s="1" t="s">
        <v>74</v>
      </c>
      <c r="BR145" s="1" t="s">
        <v>74</v>
      </c>
      <c r="BS145" s="1" t="s">
        <v>1464</v>
      </c>
      <c r="BT145" s="1" t="str">
        <f>HYPERLINK("https%3A%2F%2Fwww.webofscience.com%2Fwos%2Fwoscc%2Ffull-record%2FWOS:000330202500012","View Full Record in Web of Science")</f>
        <v>View Full Record in Web of Science</v>
      </c>
    </row>
    <row r="146" ht="12.75" customHeight="1">
      <c r="A146" s="1" t="s">
        <v>72</v>
      </c>
      <c r="B146" s="1" t="s">
        <v>1465</v>
      </c>
      <c r="C146" s="1" t="s">
        <v>74</v>
      </c>
      <c r="D146" s="1" t="s">
        <v>74</v>
      </c>
      <c r="E146" s="1" t="s">
        <v>74</v>
      </c>
      <c r="F146" s="1" t="s">
        <v>1466</v>
      </c>
      <c r="G146" s="1" t="s">
        <v>74</v>
      </c>
      <c r="H146" s="1" t="s">
        <v>74</v>
      </c>
      <c r="I146" s="1" t="s">
        <v>1467</v>
      </c>
      <c r="J146" s="1" t="s">
        <v>1468</v>
      </c>
      <c r="K146" s="1" t="s">
        <v>74</v>
      </c>
      <c r="L146" s="1" t="s">
        <v>74</v>
      </c>
      <c r="M146" s="1" t="s">
        <v>74</v>
      </c>
      <c r="N146" s="1" t="s">
        <v>74</v>
      </c>
      <c r="O146" s="1" t="s">
        <v>74</v>
      </c>
      <c r="P146" s="1" t="s">
        <v>74</v>
      </c>
      <c r="Q146" s="1" t="s">
        <v>74</v>
      </c>
      <c r="R146" s="1" t="s">
        <v>74</v>
      </c>
      <c r="S146" s="1" t="s">
        <v>74</v>
      </c>
      <c r="T146" s="1" t="s">
        <v>74</v>
      </c>
      <c r="U146" s="1" t="s">
        <v>74</v>
      </c>
      <c r="V146" s="1" t="s">
        <v>1469</v>
      </c>
      <c r="W146" s="1" t="s">
        <v>74</v>
      </c>
      <c r="X146" s="1" t="s">
        <v>74</v>
      </c>
      <c r="Y146" s="1" t="s">
        <v>74</v>
      </c>
      <c r="Z146" s="1" t="s">
        <v>74</v>
      </c>
      <c r="AA146" s="1" t="s">
        <v>74</v>
      </c>
      <c r="AB146" s="1" t="s">
        <v>1470</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1471</v>
      </c>
      <c r="AP146" s="1" t="s">
        <v>74</v>
      </c>
      <c r="AQ146" s="1" t="s">
        <v>74</v>
      </c>
      <c r="AR146" s="1" t="s">
        <v>74</v>
      </c>
      <c r="AS146" s="1" t="s">
        <v>74</v>
      </c>
      <c r="AT146" s="1" t="s">
        <v>74</v>
      </c>
      <c r="AU146" s="1">
        <v>2013.0</v>
      </c>
      <c r="AV146" s="1">
        <v>56.0</v>
      </c>
      <c r="AW146" s="1">
        <v>2.0</v>
      </c>
      <c r="AX146" s="1" t="s">
        <v>74</v>
      </c>
      <c r="AY146" s="1" t="s">
        <v>74</v>
      </c>
      <c r="AZ146" s="1" t="s">
        <v>74</v>
      </c>
      <c r="BA146" s="1" t="s">
        <v>74</v>
      </c>
      <c r="BB146" s="1">
        <v>23.0</v>
      </c>
      <c r="BC146" s="1">
        <v>44.0</v>
      </c>
      <c r="BD146" s="1" t="s">
        <v>74</v>
      </c>
      <c r="BE146" s="1" t="s">
        <v>1472</v>
      </c>
      <c r="BF146" s="2" t="str">
        <f>HYPERLINK("http://dx.doi.org/10.1590/S0034-73292013000200002","http://dx.doi.org/10.1590/S0034-73292013000200002")</f>
        <v>http://dx.doi.org/10.1590/S0034-73292013000200002</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1473</v>
      </c>
      <c r="BT146" s="1" t="str">
        <f>HYPERLINK("https%3A%2F%2Fwww.webofscience.com%2Fwos%2Fwoscc%2Ffull-record%2FWOS:000330041800002","View Full Record in Web of Science")</f>
        <v>View Full Record in Web of Science</v>
      </c>
    </row>
    <row r="147" ht="12.75" customHeight="1">
      <c r="A147" s="1" t="s">
        <v>72</v>
      </c>
      <c r="B147" s="1" t="s">
        <v>1474</v>
      </c>
      <c r="C147" s="1" t="s">
        <v>74</v>
      </c>
      <c r="D147" s="1" t="s">
        <v>74</v>
      </c>
      <c r="E147" s="1" t="s">
        <v>74</v>
      </c>
      <c r="F147" s="1" t="s">
        <v>1475</v>
      </c>
      <c r="G147" s="1" t="s">
        <v>74</v>
      </c>
      <c r="H147" s="1" t="s">
        <v>74</v>
      </c>
      <c r="I147" s="1" t="s">
        <v>1476</v>
      </c>
      <c r="J147" s="1" t="s">
        <v>1477</v>
      </c>
      <c r="K147" s="1" t="s">
        <v>74</v>
      </c>
      <c r="L147" s="1" t="s">
        <v>74</v>
      </c>
      <c r="M147" s="1" t="s">
        <v>74</v>
      </c>
      <c r="N147" s="1" t="s">
        <v>74</v>
      </c>
      <c r="O147" s="1" t="s">
        <v>74</v>
      </c>
      <c r="P147" s="1" t="s">
        <v>74</v>
      </c>
      <c r="Q147" s="1" t="s">
        <v>74</v>
      </c>
      <c r="R147" s="1" t="s">
        <v>74</v>
      </c>
      <c r="S147" s="1" t="s">
        <v>74</v>
      </c>
      <c r="T147" s="1" t="s">
        <v>74</v>
      </c>
      <c r="U147" s="1" t="s">
        <v>74</v>
      </c>
      <c r="V147" s="1" t="s">
        <v>1478</v>
      </c>
      <c r="W147" s="1" t="s">
        <v>74</v>
      </c>
      <c r="X147" s="1" t="s">
        <v>74</v>
      </c>
      <c r="Y147" s="1" t="s">
        <v>74</v>
      </c>
      <c r="Z147" s="1" t="s">
        <v>74</v>
      </c>
      <c r="AA147" s="1" t="s">
        <v>74</v>
      </c>
      <c r="AB147" s="1" t="s">
        <v>1479</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1480</v>
      </c>
      <c r="AP147" s="1" t="s">
        <v>1481</v>
      </c>
      <c r="AQ147" s="1" t="s">
        <v>74</v>
      </c>
      <c r="AR147" s="1" t="s">
        <v>74</v>
      </c>
      <c r="AS147" s="1" t="s">
        <v>74</v>
      </c>
      <c r="AT147" s="1" t="s">
        <v>1482</v>
      </c>
      <c r="AU147" s="1">
        <v>2011.0</v>
      </c>
      <c r="AV147" s="1">
        <v>39.0</v>
      </c>
      <c r="AW147" s="1">
        <v>5.0</v>
      </c>
      <c r="AX147" s="1" t="s">
        <v>74</v>
      </c>
      <c r="AY147" s="1" t="s">
        <v>74</v>
      </c>
      <c r="AZ147" s="1" t="s">
        <v>74</v>
      </c>
      <c r="BA147" s="1" t="s">
        <v>74</v>
      </c>
      <c r="BB147" s="1">
        <v>253.0</v>
      </c>
      <c r="BC147" s="1">
        <v>258.0</v>
      </c>
      <c r="BD147" s="1" t="s">
        <v>74</v>
      </c>
      <c r="BE147" s="1" t="s">
        <v>1483</v>
      </c>
      <c r="BF147" s="2" t="str">
        <f>HYPERLINK("http://dx.doi.org/10.1016/j.aller.2010.09.003","http://dx.doi.org/10.1016/j.aller.2010.09.003")</f>
        <v>http://dx.doi.org/10.1016/j.aller.2010.09.003</v>
      </c>
      <c r="BG147" s="1" t="s">
        <v>74</v>
      </c>
      <c r="BH147" s="1" t="s">
        <v>74</v>
      </c>
      <c r="BI147" s="1" t="s">
        <v>74</v>
      </c>
      <c r="BJ147" s="1" t="s">
        <v>74</v>
      </c>
      <c r="BK147" s="1" t="s">
        <v>74</v>
      </c>
      <c r="BL147" s="1" t="s">
        <v>74</v>
      </c>
      <c r="BM147" s="1" t="s">
        <v>74</v>
      </c>
      <c r="BN147" s="1">
        <v>2.1208718E7</v>
      </c>
      <c r="BO147" s="1" t="s">
        <v>74</v>
      </c>
      <c r="BP147" s="1" t="s">
        <v>74</v>
      </c>
      <c r="BQ147" s="1" t="s">
        <v>74</v>
      </c>
      <c r="BR147" s="1" t="s">
        <v>74</v>
      </c>
      <c r="BS147" s="1" t="s">
        <v>1484</v>
      </c>
      <c r="BT147" s="1" t="str">
        <f>HYPERLINK("https%3A%2F%2Fwww.webofscience.com%2Fwos%2Fwoscc%2Ffull-record%2FWOS:000295667200002","View Full Record in Web of Science")</f>
        <v>View Full Record in Web of Science</v>
      </c>
    </row>
    <row r="148" ht="12.75" customHeight="1">
      <c r="A148" s="1" t="s">
        <v>72</v>
      </c>
      <c r="B148" s="1" t="s">
        <v>1485</v>
      </c>
      <c r="C148" s="1" t="s">
        <v>74</v>
      </c>
      <c r="D148" s="1" t="s">
        <v>74</v>
      </c>
      <c r="E148" s="1" t="s">
        <v>74</v>
      </c>
      <c r="F148" s="1" t="s">
        <v>1486</v>
      </c>
      <c r="G148" s="1" t="s">
        <v>74</v>
      </c>
      <c r="H148" s="1" t="s">
        <v>74</v>
      </c>
      <c r="I148" s="1" t="s">
        <v>1487</v>
      </c>
      <c r="J148" s="1" t="s">
        <v>1488</v>
      </c>
      <c r="K148" s="1" t="s">
        <v>74</v>
      </c>
      <c r="L148" s="1" t="s">
        <v>74</v>
      </c>
      <c r="M148" s="1" t="s">
        <v>74</v>
      </c>
      <c r="N148" s="1" t="s">
        <v>74</v>
      </c>
      <c r="O148" s="1" t="s">
        <v>74</v>
      </c>
      <c r="P148" s="1" t="s">
        <v>74</v>
      </c>
      <c r="Q148" s="1" t="s">
        <v>74</v>
      </c>
      <c r="R148" s="1" t="s">
        <v>74</v>
      </c>
      <c r="S148" s="1" t="s">
        <v>74</v>
      </c>
      <c r="T148" s="1" t="s">
        <v>74</v>
      </c>
      <c r="U148" s="1" t="s">
        <v>74</v>
      </c>
      <c r="V148" s="1" t="s">
        <v>1489</v>
      </c>
      <c r="W148" s="1" t="s">
        <v>74</v>
      </c>
      <c r="X148" s="1" t="s">
        <v>74</v>
      </c>
      <c r="Y148" s="1" t="s">
        <v>74</v>
      </c>
      <c r="Z148" s="1" t="s">
        <v>74</v>
      </c>
      <c r="AA148" s="1" t="s">
        <v>74</v>
      </c>
      <c r="AB148" s="1" t="s">
        <v>1490</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1491</v>
      </c>
      <c r="AP148" s="1" t="s">
        <v>74</v>
      </c>
      <c r="AQ148" s="1" t="s">
        <v>74</v>
      </c>
      <c r="AR148" s="1" t="s">
        <v>74</v>
      </c>
      <c r="AS148" s="1" t="s">
        <v>74</v>
      </c>
      <c r="AT148" s="1" t="s">
        <v>74</v>
      </c>
      <c r="AU148" s="1">
        <v>2011.0</v>
      </c>
      <c r="AV148" s="1" t="s">
        <v>1492</v>
      </c>
      <c r="AW148" s="1" t="s">
        <v>74</v>
      </c>
      <c r="AX148" s="1" t="s">
        <v>74</v>
      </c>
      <c r="AY148" s="1" t="s">
        <v>74</v>
      </c>
      <c r="AZ148" s="1" t="s">
        <v>74</v>
      </c>
      <c r="BA148" s="1" t="s">
        <v>74</v>
      </c>
      <c r="BB148" s="1">
        <v>193.0</v>
      </c>
      <c r="BC148" s="1">
        <v>212.0</v>
      </c>
      <c r="BD148" s="1" t="s">
        <v>74</v>
      </c>
      <c r="BE148" s="1" t="s">
        <v>74</v>
      </c>
      <c r="BF148" s="1" t="s">
        <v>74</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1493</v>
      </c>
      <c r="BT148" s="1" t="str">
        <f>HYPERLINK("https%3A%2F%2Fwww.webofscience.com%2Fwos%2Fwoscc%2Ffull-record%2FWOS:000309669100012","View Full Record in Web of Science")</f>
        <v>View Full Record in Web of Science</v>
      </c>
    </row>
    <row r="149" ht="12.75" customHeight="1">
      <c r="A149" s="1" t="s">
        <v>72</v>
      </c>
      <c r="B149" s="1" t="s">
        <v>1494</v>
      </c>
      <c r="C149" s="1" t="s">
        <v>74</v>
      </c>
      <c r="D149" s="1" t="s">
        <v>74</v>
      </c>
      <c r="E149" s="1" t="s">
        <v>74</v>
      </c>
      <c r="F149" s="1" t="s">
        <v>1495</v>
      </c>
      <c r="G149" s="1" t="s">
        <v>74</v>
      </c>
      <c r="H149" s="1" t="s">
        <v>74</v>
      </c>
      <c r="I149" s="1" t="s">
        <v>1496</v>
      </c>
      <c r="J149" s="1" t="s">
        <v>514</v>
      </c>
      <c r="K149" s="1" t="s">
        <v>74</v>
      </c>
      <c r="L149" s="1" t="s">
        <v>74</v>
      </c>
      <c r="M149" s="1" t="s">
        <v>74</v>
      </c>
      <c r="N149" s="1" t="s">
        <v>74</v>
      </c>
      <c r="O149" s="1" t="s">
        <v>74</v>
      </c>
      <c r="P149" s="1" t="s">
        <v>74</v>
      </c>
      <c r="Q149" s="1" t="s">
        <v>74</v>
      </c>
      <c r="R149" s="1" t="s">
        <v>74</v>
      </c>
      <c r="S149" s="1" t="s">
        <v>74</v>
      </c>
      <c r="T149" s="1" t="s">
        <v>74</v>
      </c>
      <c r="U149" s="1" t="s">
        <v>74</v>
      </c>
      <c r="V149" s="1" t="s">
        <v>1497</v>
      </c>
      <c r="W149" s="1" t="s">
        <v>74</v>
      </c>
      <c r="X149" s="1" t="s">
        <v>74</v>
      </c>
      <c r="Y149" s="1" t="s">
        <v>74</v>
      </c>
      <c r="Z149" s="1" t="s">
        <v>74</v>
      </c>
      <c r="AA149" s="1" t="s">
        <v>74</v>
      </c>
      <c r="AB149" s="1" t="s">
        <v>1498</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516</v>
      </c>
      <c r="AP149" s="1" t="s">
        <v>1499</v>
      </c>
      <c r="AQ149" s="1" t="s">
        <v>74</v>
      </c>
      <c r="AR149" s="1" t="s">
        <v>74</v>
      </c>
      <c r="AS149" s="1" t="s">
        <v>74</v>
      </c>
      <c r="AT149" s="1" t="s">
        <v>74</v>
      </c>
      <c r="AU149" s="1">
        <v>2011.0</v>
      </c>
      <c r="AV149" s="1">
        <v>29.0</v>
      </c>
      <c r="AW149" s="1">
        <v>15.0</v>
      </c>
      <c r="AX149" s="1" t="s">
        <v>74</v>
      </c>
      <c r="AY149" s="1" t="s">
        <v>74</v>
      </c>
      <c r="AZ149" s="1" t="s">
        <v>74</v>
      </c>
      <c r="BA149" s="1" t="s">
        <v>74</v>
      </c>
      <c r="BB149" s="1">
        <v>1820.0</v>
      </c>
      <c r="BC149" s="1">
        <v>1827.0</v>
      </c>
      <c r="BD149" s="1" t="s">
        <v>74</v>
      </c>
      <c r="BE149" s="1" t="s">
        <v>1500</v>
      </c>
      <c r="BF149" s="2" t="str">
        <f>HYPERLINK("http://dx.doi.org/10.1080/07373937.2011.604461","http://dx.doi.org/10.1080/07373937.2011.604461")</f>
        <v>http://dx.doi.org/10.1080/07373937.2011.604461</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1501</v>
      </c>
      <c r="BT149" s="1" t="str">
        <f>HYPERLINK("https%3A%2F%2Fwww.webofscience.com%2Fwos%2Fwoscc%2Ffull-record%2FWOS:000299267700007","View Full Record in Web of Science")</f>
        <v>View Full Record in Web of Science</v>
      </c>
    </row>
    <row r="150" ht="12.75" customHeight="1">
      <c r="A150" s="1" t="s">
        <v>72</v>
      </c>
      <c r="B150" s="1" t="s">
        <v>1502</v>
      </c>
      <c r="C150" s="1" t="s">
        <v>74</v>
      </c>
      <c r="D150" s="1" t="s">
        <v>74</v>
      </c>
      <c r="E150" s="1" t="s">
        <v>74</v>
      </c>
      <c r="F150" s="1" t="s">
        <v>1503</v>
      </c>
      <c r="G150" s="1" t="s">
        <v>74</v>
      </c>
      <c r="H150" s="1" t="s">
        <v>74</v>
      </c>
      <c r="I150" s="1" t="s">
        <v>1504</v>
      </c>
      <c r="J150" s="1" t="s">
        <v>1505</v>
      </c>
      <c r="K150" s="1" t="s">
        <v>74</v>
      </c>
      <c r="L150" s="1" t="s">
        <v>74</v>
      </c>
      <c r="M150" s="1" t="s">
        <v>74</v>
      </c>
      <c r="N150" s="1" t="s">
        <v>74</v>
      </c>
      <c r="O150" s="1" t="s">
        <v>74</v>
      </c>
      <c r="P150" s="1" t="s">
        <v>74</v>
      </c>
      <c r="Q150" s="1" t="s">
        <v>74</v>
      </c>
      <c r="R150" s="1" t="s">
        <v>74</v>
      </c>
      <c r="S150" s="1" t="s">
        <v>74</v>
      </c>
      <c r="T150" s="1" t="s">
        <v>74</v>
      </c>
      <c r="U150" s="1" t="s">
        <v>74</v>
      </c>
      <c r="V150" s="1" t="s">
        <v>1506</v>
      </c>
      <c r="W150" s="1" t="s">
        <v>74</v>
      </c>
      <c r="X150" s="1" t="s">
        <v>74</v>
      </c>
      <c r="Y150" s="1" t="s">
        <v>74</v>
      </c>
      <c r="Z150" s="1" t="s">
        <v>74</v>
      </c>
      <c r="AA150" s="1" t="s">
        <v>1507</v>
      </c>
      <c r="AB150" s="1" t="s">
        <v>1508</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1509</v>
      </c>
      <c r="AP150" s="1" t="s">
        <v>1510</v>
      </c>
      <c r="AQ150" s="1" t="s">
        <v>74</v>
      </c>
      <c r="AR150" s="1" t="s">
        <v>74</v>
      </c>
      <c r="AS150" s="1" t="s">
        <v>74</v>
      </c>
      <c r="AT150" s="1" t="s">
        <v>276</v>
      </c>
      <c r="AU150" s="1">
        <v>2010.0</v>
      </c>
      <c r="AV150" s="1">
        <v>20.0</v>
      </c>
      <c r="AW150" s="1">
        <v>7.0</v>
      </c>
      <c r="AX150" s="1" t="s">
        <v>74</v>
      </c>
      <c r="AY150" s="1" t="s">
        <v>74</v>
      </c>
      <c r="AZ150" s="1" t="s">
        <v>74</v>
      </c>
      <c r="BA150" s="1" t="s">
        <v>74</v>
      </c>
      <c r="BB150" s="1">
        <v>965.0</v>
      </c>
      <c r="BC150" s="1">
        <v>978.0</v>
      </c>
      <c r="BD150" s="1" t="s">
        <v>74</v>
      </c>
      <c r="BE150" s="1" t="s">
        <v>1511</v>
      </c>
      <c r="BF150" s="2" t="str">
        <f>HYPERLINK("http://dx.doi.org/10.1002/etep.380","http://dx.doi.org/10.1002/etep.380")</f>
        <v>http://dx.doi.org/10.1002/etep.380</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1512</v>
      </c>
      <c r="BT150" s="1" t="str">
        <f>HYPERLINK("https%3A%2F%2Fwww.webofscience.com%2Fwos%2Fwoscc%2Ffull-record%2FWOS:000283835100011","View Full Record in Web of Science")</f>
        <v>View Full Record in Web of Science</v>
      </c>
    </row>
    <row r="151" ht="12.75" customHeight="1">
      <c r="A151" s="1" t="s">
        <v>72</v>
      </c>
      <c r="B151" s="1" t="s">
        <v>1513</v>
      </c>
      <c r="C151" s="1" t="s">
        <v>74</v>
      </c>
      <c r="D151" s="1" t="s">
        <v>74</v>
      </c>
      <c r="E151" s="1" t="s">
        <v>74</v>
      </c>
      <c r="F151" s="1" t="s">
        <v>1514</v>
      </c>
      <c r="G151" s="1" t="s">
        <v>74</v>
      </c>
      <c r="H151" s="1" t="s">
        <v>74</v>
      </c>
      <c r="I151" s="1" t="s">
        <v>1515</v>
      </c>
      <c r="J151" s="1" t="s">
        <v>1516</v>
      </c>
      <c r="K151" s="1" t="s">
        <v>74</v>
      </c>
      <c r="L151" s="1" t="s">
        <v>74</v>
      </c>
      <c r="M151" s="1" t="s">
        <v>74</v>
      </c>
      <c r="N151" s="1" t="s">
        <v>74</v>
      </c>
      <c r="O151" s="1" t="s">
        <v>74</v>
      </c>
      <c r="P151" s="1" t="s">
        <v>74</v>
      </c>
      <c r="Q151" s="1" t="s">
        <v>74</v>
      </c>
      <c r="R151" s="1" t="s">
        <v>74</v>
      </c>
      <c r="S151" s="1" t="s">
        <v>74</v>
      </c>
      <c r="T151" s="1" t="s">
        <v>74</v>
      </c>
      <c r="U151" s="1" t="s">
        <v>74</v>
      </c>
      <c r="V151" s="1" t="s">
        <v>1517</v>
      </c>
      <c r="W151" s="1" t="s">
        <v>74</v>
      </c>
      <c r="X151" s="1" t="s">
        <v>74</v>
      </c>
      <c r="Y151" s="1" t="s">
        <v>74</v>
      </c>
      <c r="Z151" s="1" t="s">
        <v>74</v>
      </c>
      <c r="AA151" s="1" t="s">
        <v>74</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1518</v>
      </c>
      <c r="AP151" s="1" t="s">
        <v>1519</v>
      </c>
      <c r="AQ151" s="1" t="s">
        <v>74</v>
      </c>
      <c r="AR151" s="1" t="s">
        <v>74</v>
      </c>
      <c r="AS151" s="1" t="s">
        <v>74</v>
      </c>
      <c r="AT151" s="1" t="s">
        <v>410</v>
      </c>
      <c r="AU151" s="1">
        <v>2009.0</v>
      </c>
      <c r="AV151" s="1">
        <v>79.0</v>
      </c>
      <c r="AW151" s="1">
        <v>11.0</v>
      </c>
      <c r="AX151" s="1" t="s">
        <v>74</v>
      </c>
      <c r="AY151" s="1" t="s">
        <v>74</v>
      </c>
      <c r="AZ151" s="1" t="s">
        <v>74</v>
      </c>
      <c r="BA151" s="1" t="s">
        <v>74</v>
      </c>
      <c r="BB151" s="1">
        <v>1531.0</v>
      </c>
      <c r="BC151" s="1">
        <v>1537.0</v>
      </c>
      <c r="BD151" s="1" t="s">
        <v>74</v>
      </c>
      <c r="BE151" s="1" t="s">
        <v>1520</v>
      </c>
      <c r="BF151" s="2" t="str">
        <f>HYPERLINK("http://dx.doi.org/10.1016/j.epsr.2009.05.006","http://dx.doi.org/10.1016/j.epsr.2009.05.006")</f>
        <v>http://dx.doi.org/10.1016/j.epsr.2009.05.006</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1521</v>
      </c>
      <c r="BT151" s="1" t="str">
        <f>HYPERLINK("https%3A%2F%2Fwww.webofscience.com%2Fwos%2Fwoscc%2Ffull-record%2FWOS:000270126000007","View Full Record in Web of Science")</f>
        <v>View Full Record in Web of Science</v>
      </c>
    </row>
    <row r="152" ht="12.75" customHeight="1">
      <c r="A152" s="1" t="s">
        <v>72</v>
      </c>
      <c r="B152" s="1" t="s">
        <v>1522</v>
      </c>
      <c r="C152" s="1" t="s">
        <v>74</v>
      </c>
      <c r="D152" s="1" t="s">
        <v>74</v>
      </c>
      <c r="E152" s="1" t="s">
        <v>74</v>
      </c>
      <c r="F152" s="1" t="s">
        <v>1523</v>
      </c>
      <c r="G152" s="1" t="s">
        <v>74</v>
      </c>
      <c r="H152" s="1" t="s">
        <v>74</v>
      </c>
      <c r="I152" s="1" t="s">
        <v>1524</v>
      </c>
      <c r="J152" s="1" t="s">
        <v>1525</v>
      </c>
      <c r="K152" s="1" t="s">
        <v>74</v>
      </c>
      <c r="L152" s="1" t="s">
        <v>74</v>
      </c>
      <c r="M152" s="1" t="s">
        <v>74</v>
      </c>
      <c r="N152" s="1" t="s">
        <v>74</v>
      </c>
      <c r="O152" s="1" t="s">
        <v>74</v>
      </c>
      <c r="P152" s="1" t="s">
        <v>74</v>
      </c>
      <c r="Q152" s="1" t="s">
        <v>74</v>
      </c>
      <c r="R152" s="1" t="s">
        <v>74</v>
      </c>
      <c r="S152" s="1" t="s">
        <v>74</v>
      </c>
      <c r="T152" s="1" t="s">
        <v>74</v>
      </c>
      <c r="U152" s="1" t="s">
        <v>74</v>
      </c>
      <c r="V152" s="1" t="s">
        <v>1526</v>
      </c>
      <c r="W152" s="1" t="s">
        <v>74</v>
      </c>
      <c r="X152" s="1" t="s">
        <v>74</v>
      </c>
      <c r="Y152" s="1" t="s">
        <v>74</v>
      </c>
      <c r="Z152" s="1" t="s">
        <v>74</v>
      </c>
      <c r="AA152" s="1" t="s">
        <v>1527</v>
      </c>
      <c r="AB152" s="1" t="s">
        <v>74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1528</v>
      </c>
      <c r="AP152" s="1" t="s">
        <v>1529</v>
      </c>
      <c r="AQ152" s="1" t="s">
        <v>74</v>
      </c>
      <c r="AR152" s="1" t="s">
        <v>74</v>
      </c>
      <c r="AS152" s="1" t="s">
        <v>74</v>
      </c>
      <c r="AT152" s="1" t="s">
        <v>158</v>
      </c>
      <c r="AU152" s="1">
        <v>2009.0</v>
      </c>
      <c r="AV152" s="1">
        <v>131.0</v>
      </c>
      <c r="AW152" s="1">
        <v>9.0</v>
      </c>
      <c r="AX152" s="1" t="s">
        <v>74</v>
      </c>
      <c r="AY152" s="1" t="s">
        <v>74</v>
      </c>
      <c r="AZ152" s="1" t="s">
        <v>74</v>
      </c>
      <c r="BA152" s="1" t="s">
        <v>74</v>
      </c>
      <c r="BB152" s="1" t="s">
        <v>74</v>
      </c>
      <c r="BC152" s="1" t="s">
        <v>74</v>
      </c>
      <c r="BD152" s="1">
        <v>91902.0</v>
      </c>
      <c r="BE152" s="1" t="s">
        <v>1530</v>
      </c>
      <c r="BF152" s="2" t="str">
        <f>HYPERLINK("http://dx.doi.org/10.1115/1.3139108","http://dx.doi.org/10.1115/1.3139108")</f>
        <v>http://dx.doi.org/10.1115/1.3139108</v>
      </c>
      <c r="BG152" s="1" t="s">
        <v>74</v>
      </c>
      <c r="BH152" s="1" t="s">
        <v>74</v>
      </c>
      <c r="BI152" s="1" t="s">
        <v>74</v>
      </c>
      <c r="BJ152" s="1" t="s">
        <v>74</v>
      </c>
      <c r="BK152" s="1" t="s">
        <v>74</v>
      </c>
      <c r="BL152" s="1" t="s">
        <v>74</v>
      </c>
      <c r="BM152" s="1" t="s">
        <v>74</v>
      </c>
      <c r="BN152" s="1" t="s">
        <v>74</v>
      </c>
      <c r="BO152" s="1" t="s">
        <v>74</v>
      </c>
      <c r="BP152" s="1" t="s">
        <v>74</v>
      </c>
      <c r="BQ152" s="1" t="s">
        <v>74</v>
      </c>
      <c r="BR152" s="1" t="s">
        <v>74</v>
      </c>
      <c r="BS152" s="1" t="s">
        <v>1531</v>
      </c>
      <c r="BT152" s="1" t="str">
        <f>HYPERLINK("https%3A%2F%2Fwww.webofscience.com%2Fwos%2Fwoscc%2Ffull-record%2FWOS:000267431600010","View Full Record in Web of Science")</f>
        <v>View Full Record in Web of Science</v>
      </c>
    </row>
    <row r="153" ht="12.75" customHeight="1">
      <c r="A153" s="1" t="s">
        <v>72</v>
      </c>
      <c r="B153" s="1" t="s">
        <v>1532</v>
      </c>
      <c r="C153" s="1" t="s">
        <v>74</v>
      </c>
      <c r="D153" s="1" t="s">
        <v>74</v>
      </c>
      <c r="E153" s="1" t="s">
        <v>74</v>
      </c>
      <c r="F153" s="1" t="s">
        <v>1533</v>
      </c>
      <c r="G153" s="1" t="s">
        <v>74</v>
      </c>
      <c r="H153" s="1" t="s">
        <v>74</v>
      </c>
      <c r="I153" s="1" t="s">
        <v>1534</v>
      </c>
      <c r="J153" s="1" t="s">
        <v>1535</v>
      </c>
      <c r="K153" s="1" t="s">
        <v>74</v>
      </c>
      <c r="L153" s="1" t="s">
        <v>74</v>
      </c>
      <c r="M153" s="1" t="s">
        <v>74</v>
      </c>
      <c r="N153" s="1" t="s">
        <v>74</v>
      </c>
      <c r="O153" s="1" t="s">
        <v>74</v>
      </c>
      <c r="P153" s="1" t="s">
        <v>74</v>
      </c>
      <c r="Q153" s="1" t="s">
        <v>74</v>
      </c>
      <c r="R153" s="1" t="s">
        <v>74</v>
      </c>
      <c r="S153" s="1" t="s">
        <v>74</v>
      </c>
      <c r="T153" s="1" t="s">
        <v>74</v>
      </c>
      <c r="U153" s="1" t="s">
        <v>74</v>
      </c>
      <c r="V153" s="1" t="s">
        <v>1536</v>
      </c>
      <c r="W153" s="1" t="s">
        <v>74</v>
      </c>
      <c r="X153" s="1" t="s">
        <v>74</v>
      </c>
      <c r="Y153" s="1" t="s">
        <v>74</v>
      </c>
      <c r="Z153" s="1" t="s">
        <v>74</v>
      </c>
      <c r="AA153" s="1" t="s">
        <v>74</v>
      </c>
      <c r="AB153" s="1" t="s">
        <v>1537</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1538</v>
      </c>
      <c r="AP153" s="1" t="s">
        <v>74</v>
      </c>
      <c r="AQ153" s="1" t="s">
        <v>74</v>
      </c>
      <c r="AR153" s="1" t="s">
        <v>74</v>
      </c>
      <c r="AS153" s="1" t="s">
        <v>74</v>
      </c>
      <c r="AT153" s="1" t="s">
        <v>171</v>
      </c>
      <c r="AU153" s="1">
        <v>2009.0</v>
      </c>
      <c r="AV153" s="1">
        <v>14.0</v>
      </c>
      <c r="AW153" s="1">
        <v>6.0</v>
      </c>
      <c r="AX153" s="1" t="s">
        <v>74</v>
      </c>
      <c r="AY153" s="1" t="s">
        <v>74</v>
      </c>
      <c r="AZ153" s="1" t="s">
        <v>74</v>
      </c>
      <c r="BA153" s="1" t="s">
        <v>74</v>
      </c>
      <c r="BB153" s="1">
        <v>1980.0</v>
      </c>
      <c r="BC153" s="1">
        <v>1989.0</v>
      </c>
      <c r="BD153" s="1" t="s">
        <v>74</v>
      </c>
      <c r="BE153" s="1" t="s">
        <v>1539</v>
      </c>
      <c r="BF153" s="2" t="str">
        <f>HYPERLINK("http://dx.doi.org/10.3390/molecules14061980","http://dx.doi.org/10.3390/molecules14061980")</f>
        <v>http://dx.doi.org/10.3390/molecules14061980</v>
      </c>
      <c r="BG153" s="1" t="s">
        <v>74</v>
      </c>
      <c r="BH153" s="1" t="s">
        <v>74</v>
      </c>
      <c r="BI153" s="1" t="s">
        <v>74</v>
      </c>
      <c r="BJ153" s="1" t="s">
        <v>74</v>
      </c>
      <c r="BK153" s="1" t="s">
        <v>74</v>
      </c>
      <c r="BL153" s="1" t="s">
        <v>74</v>
      </c>
      <c r="BM153" s="1" t="s">
        <v>74</v>
      </c>
      <c r="BN153" s="1">
        <v>1.9512999E7</v>
      </c>
      <c r="BO153" s="1" t="s">
        <v>74</v>
      </c>
      <c r="BP153" s="1" t="s">
        <v>74</v>
      </c>
      <c r="BQ153" s="1" t="s">
        <v>74</v>
      </c>
      <c r="BR153" s="1" t="s">
        <v>74</v>
      </c>
      <c r="BS153" s="1" t="s">
        <v>1540</v>
      </c>
      <c r="BT153" s="1" t="str">
        <f>HYPERLINK("https%3A%2F%2Fwww.webofscience.com%2Fwos%2Fwoscc%2Ffull-record%2FWOS:000267339500002","View Full Record in Web of Science")</f>
        <v>View Full Record in Web of Science</v>
      </c>
    </row>
    <row r="154" ht="12.75" customHeight="1">
      <c r="A154" s="1" t="s">
        <v>72</v>
      </c>
      <c r="B154" s="1" t="s">
        <v>1541</v>
      </c>
      <c r="C154" s="1" t="s">
        <v>74</v>
      </c>
      <c r="D154" s="1" t="s">
        <v>74</v>
      </c>
      <c r="E154" s="1" t="s">
        <v>74</v>
      </c>
      <c r="F154" s="1" t="s">
        <v>1542</v>
      </c>
      <c r="G154" s="1" t="s">
        <v>74</v>
      </c>
      <c r="H154" s="1" t="s">
        <v>74</v>
      </c>
      <c r="I154" s="1" t="s">
        <v>1543</v>
      </c>
      <c r="J154" s="1" t="s">
        <v>1544</v>
      </c>
      <c r="K154" s="1" t="s">
        <v>74</v>
      </c>
      <c r="L154" s="1" t="s">
        <v>74</v>
      </c>
      <c r="M154" s="1" t="s">
        <v>74</v>
      </c>
      <c r="N154" s="1" t="s">
        <v>74</v>
      </c>
      <c r="O154" s="1" t="s">
        <v>74</v>
      </c>
      <c r="P154" s="1" t="s">
        <v>74</v>
      </c>
      <c r="Q154" s="1" t="s">
        <v>74</v>
      </c>
      <c r="R154" s="1" t="s">
        <v>74</v>
      </c>
      <c r="S154" s="1" t="s">
        <v>74</v>
      </c>
      <c r="T154" s="1" t="s">
        <v>74</v>
      </c>
      <c r="U154" s="1" t="s">
        <v>74</v>
      </c>
      <c r="V154" s="1" t="s">
        <v>1545</v>
      </c>
      <c r="W154" s="1" t="s">
        <v>74</v>
      </c>
      <c r="X154" s="1" t="s">
        <v>74</v>
      </c>
      <c r="Y154" s="1" t="s">
        <v>74</v>
      </c>
      <c r="Z154" s="1" t="s">
        <v>74</v>
      </c>
      <c r="AA154" s="1" t="s">
        <v>1546</v>
      </c>
      <c r="AB154" s="1" t="s">
        <v>1547</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1548</v>
      </c>
      <c r="AP154" s="1" t="s">
        <v>1549</v>
      </c>
      <c r="AQ154" s="1" t="s">
        <v>74</v>
      </c>
      <c r="AR154" s="1" t="s">
        <v>74</v>
      </c>
      <c r="AS154" s="1" t="s">
        <v>74</v>
      </c>
      <c r="AT154" s="1" t="s">
        <v>224</v>
      </c>
      <c r="AU154" s="1">
        <v>2009.0</v>
      </c>
      <c r="AV154" s="1">
        <v>191.0</v>
      </c>
      <c r="AW154" s="1">
        <v>5.0</v>
      </c>
      <c r="AX154" s="1" t="s">
        <v>74</v>
      </c>
      <c r="AY154" s="1" t="s">
        <v>74</v>
      </c>
      <c r="AZ154" s="1" t="s">
        <v>74</v>
      </c>
      <c r="BA154" s="1" t="s">
        <v>74</v>
      </c>
      <c r="BB154" s="1">
        <v>473.0</v>
      </c>
      <c r="BC154" s="1">
        <v>476.0</v>
      </c>
      <c r="BD154" s="1" t="s">
        <v>74</v>
      </c>
      <c r="BE154" s="1" t="s">
        <v>1550</v>
      </c>
      <c r="BF154" s="2" t="str">
        <f>HYPERLINK("http://dx.doi.org/10.1007/s00203-009-0473-z","http://dx.doi.org/10.1007/s00203-009-0473-z")</f>
        <v>http://dx.doi.org/10.1007/s00203-009-0473-z</v>
      </c>
      <c r="BG154" s="1" t="s">
        <v>74</v>
      </c>
      <c r="BH154" s="1" t="s">
        <v>74</v>
      </c>
      <c r="BI154" s="1" t="s">
        <v>74</v>
      </c>
      <c r="BJ154" s="1" t="s">
        <v>74</v>
      </c>
      <c r="BK154" s="1" t="s">
        <v>74</v>
      </c>
      <c r="BL154" s="1" t="s">
        <v>74</v>
      </c>
      <c r="BM154" s="1" t="s">
        <v>74</v>
      </c>
      <c r="BN154" s="1">
        <v>1.9330318E7</v>
      </c>
      <c r="BO154" s="1" t="s">
        <v>74</v>
      </c>
      <c r="BP154" s="1" t="s">
        <v>74</v>
      </c>
      <c r="BQ154" s="1" t="s">
        <v>74</v>
      </c>
      <c r="BR154" s="1" t="s">
        <v>74</v>
      </c>
      <c r="BS154" s="1" t="s">
        <v>1551</v>
      </c>
      <c r="BT154" s="1" t="str">
        <f>HYPERLINK("https%3A%2F%2Fwww.webofscience.com%2Fwos%2Fwoscc%2Ffull-record%2FWOS:000265497800010","View Full Record in Web of Science")</f>
        <v>View Full Record in Web of Science</v>
      </c>
    </row>
    <row r="155" ht="12.75" customHeight="1">
      <c r="A155" s="1" t="s">
        <v>72</v>
      </c>
      <c r="B155" s="1" t="s">
        <v>1552</v>
      </c>
      <c r="C155" s="1" t="s">
        <v>74</v>
      </c>
      <c r="D155" s="1" t="s">
        <v>74</v>
      </c>
      <c r="E155" s="1" t="s">
        <v>74</v>
      </c>
      <c r="F155" s="1" t="s">
        <v>1553</v>
      </c>
      <c r="G155" s="1" t="s">
        <v>74</v>
      </c>
      <c r="H155" s="1" t="s">
        <v>74</v>
      </c>
      <c r="I155" s="1" t="s">
        <v>1554</v>
      </c>
      <c r="J155" s="1" t="s">
        <v>1555</v>
      </c>
      <c r="K155" s="1" t="s">
        <v>74</v>
      </c>
      <c r="L155" s="1" t="s">
        <v>74</v>
      </c>
      <c r="M155" s="1" t="s">
        <v>74</v>
      </c>
      <c r="N155" s="1" t="s">
        <v>74</v>
      </c>
      <c r="O155" s="1" t="s">
        <v>74</v>
      </c>
      <c r="P155" s="1" t="s">
        <v>74</v>
      </c>
      <c r="Q155" s="1" t="s">
        <v>74</v>
      </c>
      <c r="R155" s="1" t="s">
        <v>74</v>
      </c>
      <c r="S155" s="1" t="s">
        <v>74</v>
      </c>
      <c r="T155" s="1" t="s">
        <v>74</v>
      </c>
      <c r="U155" s="1" t="s">
        <v>74</v>
      </c>
      <c r="V155" s="1" t="s">
        <v>1556</v>
      </c>
      <c r="W155" s="1" t="s">
        <v>74</v>
      </c>
      <c r="X155" s="1" t="s">
        <v>74</v>
      </c>
      <c r="Y155" s="1" t="s">
        <v>74</v>
      </c>
      <c r="Z155" s="1" t="s">
        <v>74</v>
      </c>
      <c r="AA155" s="1" t="s">
        <v>1557</v>
      </c>
      <c r="AB155" s="1" t="s">
        <v>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1558</v>
      </c>
      <c r="AP155" s="1" t="s">
        <v>1559</v>
      </c>
      <c r="AQ155" s="1" t="s">
        <v>74</v>
      </c>
      <c r="AR155" s="1" t="s">
        <v>74</v>
      </c>
      <c r="AS155" s="1" t="s">
        <v>74</v>
      </c>
      <c r="AT155" s="1" t="s">
        <v>1560</v>
      </c>
      <c r="AU155" s="1">
        <v>2009.0</v>
      </c>
      <c r="AV155" s="1">
        <v>43.0</v>
      </c>
      <c r="AW155" s="1">
        <v>2.0</v>
      </c>
      <c r="AX155" s="1" t="s">
        <v>74</v>
      </c>
      <c r="AY155" s="1" t="s">
        <v>74</v>
      </c>
      <c r="AZ155" s="1" t="s">
        <v>74</v>
      </c>
      <c r="BA155" s="1" t="s">
        <v>74</v>
      </c>
      <c r="BB155" s="1">
        <v>224.0</v>
      </c>
      <c r="BC155" s="1">
        <v>230.0</v>
      </c>
      <c r="BD155" s="1" t="s">
        <v>74</v>
      </c>
      <c r="BE155" s="1" t="s">
        <v>1561</v>
      </c>
      <c r="BF155" s="2" t="str">
        <f>HYPERLINK("http://dx.doi.org/10.1016/j.asr.2008.03.021","http://dx.doi.org/10.1016/j.asr.2008.03.021")</f>
        <v>http://dx.doi.org/10.1016/j.asr.2008.03.021</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1562</v>
      </c>
      <c r="BT155" s="1" t="str">
        <f>HYPERLINK("https%3A%2F%2Fwww.webofscience.com%2Fwos%2Fwoscc%2Ffull-record%2FWOS:000263025100005","View Full Record in Web of Science")</f>
        <v>View Full Record in Web of Science</v>
      </c>
    </row>
    <row r="156" ht="12.75" customHeight="1">
      <c r="A156" s="1" t="s">
        <v>126</v>
      </c>
      <c r="B156" s="1" t="s">
        <v>1563</v>
      </c>
      <c r="C156" s="1" t="s">
        <v>74</v>
      </c>
      <c r="D156" s="1" t="s">
        <v>74</v>
      </c>
      <c r="E156" s="1" t="s">
        <v>458</v>
      </c>
      <c r="F156" s="1" t="s">
        <v>1564</v>
      </c>
      <c r="G156" s="1" t="s">
        <v>74</v>
      </c>
      <c r="H156" s="1" t="s">
        <v>74</v>
      </c>
      <c r="I156" s="1" t="s">
        <v>1565</v>
      </c>
      <c r="J156" s="1" t="s">
        <v>1566</v>
      </c>
      <c r="K156" s="1" t="s">
        <v>74</v>
      </c>
      <c r="L156" s="1" t="s">
        <v>74</v>
      </c>
      <c r="M156" s="1" t="s">
        <v>74</v>
      </c>
      <c r="N156" s="1" t="s">
        <v>74</v>
      </c>
      <c r="O156" s="1" t="s">
        <v>1567</v>
      </c>
      <c r="P156" s="1" t="s">
        <v>1568</v>
      </c>
      <c r="Q156" s="1" t="s">
        <v>1569</v>
      </c>
      <c r="R156" s="1" t="s">
        <v>1570</v>
      </c>
      <c r="S156" s="1" t="s">
        <v>74</v>
      </c>
      <c r="T156" s="1" t="s">
        <v>74</v>
      </c>
      <c r="U156" s="1" t="s">
        <v>74</v>
      </c>
      <c r="V156" s="1" t="s">
        <v>1571</v>
      </c>
      <c r="W156" s="1" t="s">
        <v>74</v>
      </c>
      <c r="X156" s="1" t="s">
        <v>74</v>
      </c>
      <c r="Y156" s="1" t="s">
        <v>74</v>
      </c>
      <c r="Z156" s="1" t="s">
        <v>74</v>
      </c>
      <c r="AA156" s="1" t="s">
        <v>1572</v>
      </c>
      <c r="AB156" s="1" t="s">
        <v>1573</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74</v>
      </c>
      <c r="AP156" s="1" t="s">
        <v>74</v>
      </c>
      <c r="AQ156" s="1" t="s">
        <v>1574</v>
      </c>
      <c r="AR156" s="1" t="s">
        <v>74</v>
      </c>
      <c r="AS156" s="1" t="s">
        <v>74</v>
      </c>
      <c r="AT156" s="1" t="s">
        <v>74</v>
      </c>
      <c r="AU156" s="1">
        <v>2009.0</v>
      </c>
      <c r="AV156" s="1" t="s">
        <v>74</v>
      </c>
      <c r="AW156" s="1" t="s">
        <v>74</v>
      </c>
      <c r="AX156" s="1" t="s">
        <v>74</v>
      </c>
      <c r="AY156" s="1" t="s">
        <v>74</v>
      </c>
      <c r="AZ156" s="1" t="s">
        <v>74</v>
      </c>
      <c r="BA156" s="1" t="s">
        <v>74</v>
      </c>
      <c r="BB156" s="1">
        <v>551.0</v>
      </c>
      <c r="BC156" s="1">
        <v>560.0</v>
      </c>
      <c r="BD156" s="1" t="s">
        <v>74</v>
      </c>
      <c r="BE156" s="1" t="s">
        <v>74</v>
      </c>
      <c r="BF156" s="1" t="s">
        <v>74</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1575</v>
      </c>
      <c r="BT156" s="1" t="str">
        <f>HYPERLINK("https%3A%2F%2Fwww.webofscience.com%2Fwos%2Fwoscc%2Ffull-record%2FWOS:000265788300063","View Full Record in Web of Science")</f>
        <v>View Full Record in Web of Science</v>
      </c>
    </row>
    <row r="157" ht="12.75" customHeight="1">
      <c r="A157" s="1" t="s">
        <v>72</v>
      </c>
      <c r="B157" s="1" t="s">
        <v>1576</v>
      </c>
      <c r="C157" s="1" t="s">
        <v>74</v>
      </c>
      <c r="D157" s="1" t="s">
        <v>74</v>
      </c>
      <c r="E157" s="1" t="s">
        <v>74</v>
      </c>
      <c r="F157" s="1" t="s">
        <v>1577</v>
      </c>
      <c r="G157" s="1" t="s">
        <v>74</v>
      </c>
      <c r="H157" s="1" t="s">
        <v>74</v>
      </c>
      <c r="I157" s="1" t="s">
        <v>1578</v>
      </c>
      <c r="J157" s="1" t="s">
        <v>816</v>
      </c>
      <c r="K157" s="1" t="s">
        <v>74</v>
      </c>
      <c r="L157" s="1" t="s">
        <v>74</v>
      </c>
      <c r="M157" s="1" t="s">
        <v>74</v>
      </c>
      <c r="N157" s="1" t="s">
        <v>74</v>
      </c>
      <c r="O157" s="1" t="s">
        <v>74</v>
      </c>
      <c r="P157" s="1" t="s">
        <v>74</v>
      </c>
      <c r="Q157" s="1" t="s">
        <v>74</v>
      </c>
      <c r="R157" s="1" t="s">
        <v>74</v>
      </c>
      <c r="S157" s="1" t="s">
        <v>74</v>
      </c>
      <c r="T157" s="1" t="s">
        <v>74</v>
      </c>
      <c r="U157" s="1" t="s">
        <v>74</v>
      </c>
      <c r="V157" s="1" t="s">
        <v>1579</v>
      </c>
      <c r="W157" s="1" t="s">
        <v>74</v>
      </c>
      <c r="X157" s="1" t="s">
        <v>74</v>
      </c>
      <c r="Y157" s="1" t="s">
        <v>74</v>
      </c>
      <c r="Z157" s="1" t="s">
        <v>74</v>
      </c>
      <c r="AA157" s="1" t="s">
        <v>1580</v>
      </c>
      <c r="AB157" s="1" t="s">
        <v>1581</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817</v>
      </c>
      <c r="AP157" s="1" t="s">
        <v>994</v>
      </c>
      <c r="AQ157" s="1" t="s">
        <v>74</v>
      </c>
      <c r="AR157" s="1" t="s">
        <v>74</v>
      </c>
      <c r="AS157" s="1" t="s">
        <v>74</v>
      </c>
      <c r="AT157" s="1" t="s">
        <v>193</v>
      </c>
      <c r="AU157" s="1">
        <v>2006.0</v>
      </c>
      <c r="AV157" s="1">
        <v>134.0</v>
      </c>
      <c r="AW157" s="1">
        <v>4.0</v>
      </c>
      <c r="AX157" s="1" t="s">
        <v>74</v>
      </c>
      <c r="AY157" s="1" t="s">
        <v>74</v>
      </c>
      <c r="AZ157" s="1" t="s">
        <v>74</v>
      </c>
      <c r="BA157" s="1" t="s">
        <v>74</v>
      </c>
      <c r="BB157" s="1">
        <v>433.0</v>
      </c>
      <c r="BC157" s="1">
        <v>440.0</v>
      </c>
      <c r="BD157" s="1" t="s">
        <v>74</v>
      </c>
      <c r="BE157" s="1" t="s">
        <v>74</v>
      </c>
      <c r="BF157" s="1" t="s">
        <v>74</v>
      </c>
      <c r="BG157" s="1" t="s">
        <v>74</v>
      </c>
      <c r="BH157" s="1" t="s">
        <v>74</v>
      </c>
      <c r="BI157" s="1" t="s">
        <v>74</v>
      </c>
      <c r="BJ157" s="1" t="s">
        <v>74</v>
      </c>
      <c r="BK157" s="1" t="s">
        <v>74</v>
      </c>
      <c r="BL157" s="1" t="s">
        <v>74</v>
      </c>
      <c r="BM157" s="1" t="s">
        <v>74</v>
      </c>
      <c r="BN157" s="1">
        <v>1.6758078E7</v>
      </c>
      <c r="BO157" s="1" t="s">
        <v>74</v>
      </c>
      <c r="BP157" s="1" t="s">
        <v>74</v>
      </c>
      <c r="BQ157" s="1" t="s">
        <v>74</v>
      </c>
      <c r="BR157" s="1" t="s">
        <v>74</v>
      </c>
      <c r="BS157" s="1" t="s">
        <v>1582</v>
      </c>
      <c r="BT157" s="1" t="str">
        <f>HYPERLINK("https%3A%2F%2Fwww.webofscience.com%2Fwos%2Fwoscc%2Ffull-record%2FWOS:000238132800005","View Full Record in Web of Science")</f>
        <v>View Full Record in Web of Science</v>
      </c>
    </row>
    <row r="158" ht="12.75" customHeight="1">
      <c r="A158" s="1" t="s">
        <v>72</v>
      </c>
      <c r="B158" s="1" t="s">
        <v>1583</v>
      </c>
      <c r="C158" s="1" t="s">
        <v>74</v>
      </c>
      <c r="D158" s="1" t="s">
        <v>74</v>
      </c>
      <c r="E158" s="1" t="s">
        <v>74</v>
      </c>
      <c r="F158" s="1" t="s">
        <v>1583</v>
      </c>
      <c r="G158" s="1" t="s">
        <v>74</v>
      </c>
      <c r="H158" s="1" t="s">
        <v>74</v>
      </c>
      <c r="I158" s="1" t="s">
        <v>1584</v>
      </c>
      <c r="J158" s="1" t="s">
        <v>864</v>
      </c>
      <c r="K158" s="1" t="s">
        <v>74</v>
      </c>
      <c r="L158" s="1" t="s">
        <v>74</v>
      </c>
      <c r="M158" s="1" t="s">
        <v>74</v>
      </c>
      <c r="N158" s="1" t="s">
        <v>74</v>
      </c>
      <c r="O158" s="1" t="s">
        <v>74</v>
      </c>
      <c r="P158" s="1" t="s">
        <v>74</v>
      </c>
      <c r="Q158" s="1" t="s">
        <v>74</v>
      </c>
      <c r="R158" s="1" t="s">
        <v>74</v>
      </c>
      <c r="S158" s="1" t="s">
        <v>74</v>
      </c>
      <c r="T158" s="1" t="s">
        <v>74</v>
      </c>
      <c r="U158" s="1" t="s">
        <v>74</v>
      </c>
      <c r="V158" s="1" t="s">
        <v>1585</v>
      </c>
      <c r="W158" s="1" t="s">
        <v>74</v>
      </c>
      <c r="X158" s="1" t="s">
        <v>74</v>
      </c>
      <c r="Y158" s="1" t="s">
        <v>74</v>
      </c>
      <c r="Z158" s="1" t="s">
        <v>74</v>
      </c>
      <c r="AA158" s="1" t="s">
        <v>1323</v>
      </c>
      <c r="AB158" s="1" t="s">
        <v>1324</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1586</v>
      </c>
      <c r="AP158" s="1" t="s">
        <v>1587</v>
      </c>
      <c r="AQ158" s="1" t="s">
        <v>74</v>
      </c>
      <c r="AR158" s="1" t="s">
        <v>74</v>
      </c>
      <c r="AS158" s="1" t="s">
        <v>74</v>
      </c>
      <c r="AT158" s="1" t="s">
        <v>974</v>
      </c>
      <c r="AU158" s="1">
        <v>2005.0</v>
      </c>
      <c r="AV158" s="1">
        <v>72.0</v>
      </c>
      <c r="AW158" s="1">
        <v>2.0</v>
      </c>
      <c r="AX158" s="1">
        <v>2.0</v>
      </c>
      <c r="AY158" s="1" t="s">
        <v>74</v>
      </c>
      <c r="AZ158" s="1" t="s">
        <v>74</v>
      </c>
      <c r="BA158" s="1" t="s">
        <v>74</v>
      </c>
      <c r="BB158" s="1" t="s">
        <v>74</v>
      </c>
      <c r="BC158" s="1" t="s">
        <v>74</v>
      </c>
      <c r="BD158" s="1">
        <v>26115.0</v>
      </c>
      <c r="BE158" s="1" t="s">
        <v>1588</v>
      </c>
      <c r="BF158" s="2" t="str">
        <f>HYPERLINK("http://dx.doi.org/10.1103/PhysrevE.72.026115","http://dx.doi.org/10.1103/PhysrevE.72.026115")</f>
        <v>http://dx.doi.org/10.1103/PhysrevE.72.026115</v>
      </c>
      <c r="BG158" s="1" t="s">
        <v>74</v>
      </c>
      <c r="BH158" s="1" t="s">
        <v>74</v>
      </c>
      <c r="BI158" s="1" t="s">
        <v>74</v>
      </c>
      <c r="BJ158" s="1" t="s">
        <v>74</v>
      </c>
      <c r="BK158" s="1" t="s">
        <v>74</v>
      </c>
      <c r="BL158" s="1" t="s">
        <v>74</v>
      </c>
      <c r="BM158" s="1" t="s">
        <v>74</v>
      </c>
      <c r="BN158" s="1">
        <v>1.6196652E7</v>
      </c>
      <c r="BO158" s="1" t="s">
        <v>74</v>
      </c>
      <c r="BP158" s="1" t="s">
        <v>74</v>
      </c>
      <c r="BQ158" s="1" t="s">
        <v>74</v>
      </c>
      <c r="BR158" s="1" t="s">
        <v>74</v>
      </c>
      <c r="BS158" s="1" t="s">
        <v>1589</v>
      </c>
      <c r="BT158" s="1" t="str">
        <f>HYPERLINK("https%3A%2F%2Fwww.webofscience.com%2Fwos%2Fwoscc%2Ffull-record%2FWOS:000231564100029","View Full Record in Web of Science")</f>
        <v>View Full Record in Web of Science</v>
      </c>
    </row>
    <row r="159" ht="12.75" customHeight="1">
      <c r="A159" s="1" t="s">
        <v>72</v>
      </c>
      <c r="B159" s="1" t="s">
        <v>1590</v>
      </c>
      <c r="C159" s="1" t="s">
        <v>74</v>
      </c>
      <c r="D159" s="1" t="s">
        <v>74</v>
      </c>
      <c r="E159" s="1" t="s">
        <v>74</v>
      </c>
      <c r="F159" s="1" t="s">
        <v>1590</v>
      </c>
      <c r="G159" s="1" t="s">
        <v>74</v>
      </c>
      <c r="H159" s="1" t="s">
        <v>74</v>
      </c>
      <c r="I159" s="1" t="s">
        <v>1591</v>
      </c>
      <c r="J159" s="1" t="s">
        <v>1592</v>
      </c>
      <c r="K159" s="1" t="s">
        <v>74</v>
      </c>
      <c r="L159" s="1" t="s">
        <v>74</v>
      </c>
      <c r="M159" s="1" t="s">
        <v>74</v>
      </c>
      <c r="N159" s="1" t="s">
        <v>74</v>
      </c>
      <c r="O159" s="1" t="s">
        <v>74</v>
      </c>
      <c r="P159" s="1" t="s">
        <v>74</v>
      </c>
      <c r="Q159" s="1" t="s">
        <v>74</v>
      </c>
      <c r="R159" s="1" t="s">
        <v>74</v>
      </c>
      <c r="S159" s="1" t="s">
        <v>74</v>
      </c>
      <c r="T159" s="1" t="s">
        <v>74</v>
      </c>
      <c r="U159" s="1" t="s">
        <v>74</v>
      </c>
      <c r="V159" s="1" t="s">
        <v>1593</v>
      </c>
      <c r="W159" s="1" t="s">
        <v>74</v>
      </c>
      <c r="X159" s="1" t="s">
        <v>74</v>
      </c>
      <c r="Y159" s="1" t="s">
        <v>74</v>
      </c>
      <c r="Z159" s="1" t="s">
        <v>74</v>
      </c>
      <c r="AA159" s="1" t="s">
        <v>1594</v>
      </c>
      <c r="AB159" s="1" t="s">
        <v>1595</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1596</v>
      </c>
      <c r="AP159" s="1" t="s">
        <v>1597</v>
      </c>
      <c r="AQ159" s="1" t="s">
        <v>74</v>
      </c>
      <c r="AR159" s="1" t="s">
        <v>74</v>
      </c>
      <c r="AS159" s="1" t="s">
        <v>74</v>
      </c>
      <c r="AT159" s="1" t="s">
        <v>1598</v>
      </c>
      <c r="AU159" s="1">
        <v>2005.0</v>
      </c>
      <c r="AV159" s="1">
        <v>50.0</v>
      </c>
      <c r="AW159" s="1" t="s">
        <v>1599</v>
      </c>
      <c r="AX159" s="1" t="s">
        <v>74</v>
      </c>
      <c r="AY159" s="1" t="s">
        <v>74</v>
      </c>
      <c r="AZ159" s="1" t="s">
        <v>74</v>
      </c>
      <c r="BA159" s="1" t="s">
        <v>74</v>
      </c>
      <c r="BB159" s="1">
        <v>3488.0</v>
      </c>
      <c r="BC159" s="1">
        <v>3494.0</v>
      </c>
      <c r="BD159" s="1" t="s">
        <v>74</v>
      </c>
      <c r="BE159" s="1" t="s">
        <v>1600</v>
      </c>
      <c r="BF159" s="2" t="str">
        <f>HYPERLINK("http://dx.doi.org/10.1016/j.electacta.2004.12.025","http://dx.doi.org/10.1016/j.electacta.2004.12.025")</f>
        <v>http://dx.doi.org/10.1016/j.electacta.2004.12.025</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1601</v>
      </c>
      <c r="BT159" s="1" t="str">
        <f>HYPERLINK("https%3A%2F%2Fwww.webofscience.com%2Fwos%2Fwoscc%2Ffull-record%2FWOS:000229570300036","View Full Record in Web of Science")</f>
        <v>View Full Record in Web of Science</v>
      </c>
    </row>
    <row r="160" ht="12.75" customHeight="1">
      <c r="A160" s="1" t="s">
        <v>72</v>
      </c>
      <c r="B160" s="1" t="s">
        <v>1602</v>
      </c>
      <c r="C160" s="1" t="s">
        <v>74</v>
      </c>
      <c r="D160" s="1" t="s">
        <v>74</v>
      </c>
      <c r="E160" s="1" t="s">
        <v>74</v>
      </c>
      <c r="F160" s="1" t="s">
        <v>1602</v>
      </c>
      <c r="G160" s="1" t="s">
        <v>74</v>
      </c>
      <c r="H160" s="1" t="s">
        <v>74</v>
      </c>
      <c r="I160" s="1" t="s">
        <v>1603</v>
      </c>
      <c r="J160" s="1" t="s">
        <v>1604</v>
      </c>
      <c r="K160" s="1" t="s">
        <v>74</v>
      </c>
      <c r="L160" s="1" t="s">
        <v>74</v>
      </c>
      <c r="M160" s="1" t="s">
        <v>74</v>
      </c>
      <c r="N160" s="1" t="s">
        <v>74</v>
      </c>
      <c r="O160" s="1" t="s">
        <v>1605</v>
      </c>
      <c r="P160" s="1" t="s">
        <v>1606</v>
      </c>
      <c r="Q160" s="1" t="s">
        <v>1607</v>
      </c>
      <c r="R160" s="1" t="s">
        <v>74</v>
      </c>
      <c r="S160" s="1" t="s">
        <v>74</v>
      </c>
      <c r="T160" s="1" t="s">
        <v>74</v>
      </c>
      <c r="U160" s="1" t="s">
        <v>74</v>
      </c>
      <c r="V160" s="1" t="s">
        <v>1608</v>
      </c>
      <c r="W160" s="1" t="s">
        <v>74</v>
      </c>
      <c r="X160" s="1" t="s">
        <v>74</v>
      </c>
      <c r="Y160" s="1" t="s">
        <v>74</v>
      </c>
      <c r="Z160" s="1" t="s">
        <v>74</v>
      </c>
      <c r="AA160" s="1" t="s">
        <v>1609</v>
      </c>
      <c r="AB160" s="1" t="s">
        <v>1610</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1611</v>
      </c>
      <c r="AP160" s="1" t="s">
        <v>1612</v>
      </c>
      <c r="AQ160" s="1" t="s">
        <v>74</v>
      </c>
      <c r="AR160" s="1" t="s">
        <v>74</v>
      </c>
      <c r="AS160" s="1" t="s">
        <v>74</v>
      </c>
      <c r="AT160" s="1" t="s">
        <v>818</v>
      </c>
      <c r="AU160" s="1">
        <v>2005.0</v>
      </c>
      <c r="AV160" s="1">
        <v>18.0</v>
      </c>
      <c r="AW160" s="1">
        <v>2.0</v>
      </c>
      <c r="AX160" s="1" t="s">
        <v>74</v>
      </c>
      <c r="AY160" s="1" t="s">
        <v>74</v>
      </c>
      <c r="AZ160" s="1" t="s">
        <v>74</v>
      </c>
      <c r="BA160" s="1" t="s">
        <v>74</v>
      </c>
      <c r="BB160" s="1">
        <v>128.0</v>
      </c>
      <c r="BC160" s="1">
        <v>133.0</v>
      </c>
      <c r="BD160" s="1" t="s">
        <v>74</v>
      </c>
      <c r="BE160" s="1" t="s">
        <v>1613</v>
      </c>
      <c r="BF160" s="2" t="str">
        <f>HYPERLINK("http://dx.doi.org/10.1002/poc.867","http://dx.doi.org/10.1002/poc.867")</f>
        <v>http://dx.doi.org/10.1002/poc.867</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1614</v>
      </c>
      <c r="BT160" s="1" t="str">
        <f>HYPERLINK("https%3A%2F%2Fwww.webofscience.com%2Fwos%2Fwoscc%2Ffull-record%2FWOS:000226456700009","View Full Record in Web of Science")</f>
        <v>View Full Record in Web of Science</v>
      </c>
    </row>
    <row r="161" ht="12.75" customHeight="1">
      <c r="A161" s="1" t="s">
        <v>72</v>
      </c>
      <c r="B161" s="1" t="s">
        <v>1615</v>
      </c>
      <c r="C161" s="1" t="s">
        <v>74</v>
      </c>
      <c r="D161" s="1" t="s">
        <v>74</v>
      </c>
      <c r="E161" s="1" t="s">
        <v>74</v>
      </c>
      <c r="F161" s="1" t="s">
        <v>1615</v>
      </c>
      <c r="G161" s="1" t="s">
        <v>74</v>
      </c>
      <c r="H161" s="1" t="s">
        <v>74</v>
      </c>
      <c r="I161" s="1" t="s">
        <v>1616</v>
      </c>
      <c r="J161" s="1" t="s">
        <v>1516</v>
      </c>
      <c r="K161" s="1" t="s">
        <v>74</v>
      </c>
      <c r="L161" s="1" t="s">
        <v>74</v>
      </c>
      <c r="M161" s="1" t="s">
        <v>74</v>
      </c>
      <c r="N161" s="1" t="s">
        <v>74</v>
      </c>
      <c r="O161" s="1" t="s">
        <v>74</v>
      </c>
      <c r="P161" s="1" t="s">
        <v>74</v>
      </c>
      <c r="Q161" s="1" t="s">
        <v>74</v>
      </c>
      <c r="R161" s="1" t="s">
        <v>74</v>
      </c>
      <c r="S161" s="1" t="s">
        <v>74</v>
      </c>
      <c r="T161" s="1" t="s">
        <v>74</v>
      </c>
      <c r="U161" s="1" t="s">
        <v>74</v>
      </c>
      <c r="V161" s="1" t="s">
        <v>1617</v>
      </c>
      <c r="W161" s="1" t="s">
        <v>74</v>
      </c>
      <c r="X161" s="1" t="s">
        <v>74</v>
      </c>
      <c r="Y161" s="1" t="s">
        <v>74</v>
      </c>
      <c r="Z161" s="1" t="s">
        <v>74</v>
      </c>
      <c r="AA161" s="1" t="s">
        <v>74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1518</v>
      </c>
      <c r="AP161" s="1" t="s">
        <v>1519</v>
      </c>
      <c r="AQ161" s="1" t="s">
        <v>74</v>
      </c>
      <c r="AR161" s="1" t="s">
        <v>74</v>
      </c>
      <c r="AS161" s="1" t="s">
        <v>74</v>
      </c>
      <c r="AT161" s="1" t="s">
        <v>193</v>
      </c>
      <c r="AU161" s="1">
        <v>2004.0</v>
      </c>
      <c r="AV161" s="1">
        <v>69.0</v>
      </c>
      <c r="AW161" s="1">
        <v>1.0</v>
      </c>
      <c r="AX161" s="1" t="s">
        <v>74</v>
      </c>
      <c r="AY161" s="1" t="s">
        <v>74</v>
      </c>
      <c r="AZ161" s="1" t="s">
        <v>74</v>
      </c>
      <c r="BA161" s="1" t="s">
        <v>74</v>
      </c>
      <c r="BB161" s="1">
        <v>43.0</v>
      </c>
      <c r="BC161" s="1">
        <v>50.0</v>
      </c>
      <c r="BD161" s="1" t="s">
        <v>74</v>
      </c>
      <c r="BE161" s="1" t="s">
        <v>1618</v>
      </c>
      <c r="BF161" s="2" t="str">
        <f>HYPERLINK("http://dx.doi.org/10.1016/j.epsr.2003.07.008","http://dx.doi.org/10.1016/j.epsr.2003.07.008")</f>
        <v>http://dx.doi.org/10.1016/j.epsr.2003.07.008</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1619</v>
      </c>
      <c r="BT161" s="1" t="str">
        <f>HYPERLINK("https%3A%2F%2Fwww.webofscience.com%2Fwos%2Fwoscc%2Ffull-record%2FWOS:000187963200006","View Full Record in Web of Science")</f>
        <v>View Full Record in Web of Science</v>
      </c>
    </row>
    <row r="162" ht="12.75" customHeight="1">
      <c r="A162" s="1" t="s">
        <v>126</v>
      </c>
      <c r="B162" s="1" t="s">
        <v>1620</v>
      </c>
      <c r="C162" s="1" t="s">
        <v>74</v>
      </c>
      <c r="D162" s="1" t="s">
        <v>1621</v>
      </c>
      <c r="E162" s="1" t="s">
        <v>74</v>
      </c>
      <c r="F162" s="1" t="s">
        <v>1620</v>
      </c>
      <c r="G162" s="1" t="s">
        <v>74</v>
      </c>
      <c r="H162" s="1" t="s">
        <v>74</v>
      </c>
      <c r="I162" s="1" t="s">
        <v>1622</v>
      </c>
      <c r="J162" s="1" t="s">
        <v>1623</v>
      </c>
      <c r="K162" s="1" t="s">
        <v>74</v>
      </c>
      <c r="L162" s="1" t="s">
        <v>74</v>
      </c>
      <c r="M162" s="1" t="s">
        <v>74</v>
      </c>
      <c r="N162" s="1" t="s">
        <v>74</v>
      </c>
      <c r="O162" s="1" t="s">
        <v>1624</v>
      </c>
      <c r="P162" s="1" t="s">
        <v>1625</v>
      </c>
      <c r="Q162" s="1" t="s">
        <v>1626</v>
      </c>
      <c r="R162" s="1" t="s">
        <v>1627</v>
      </c>
      <c r="S162" s="1" t="s">
        <v>74</v>
      </c>
      <c r="T162" s="1" t="s">
        <v>74</v>
      </c>
      <c r="U162" s="1" t="s">
        <v>74</v>
      </c>
      <c r="V162" s="1" t="s">
        <v>1628</v>
      </c>
      <c r="W162" s="1" t="s">
        <v>74</v>
      </c>
      <c r="X162" s="1" t="s">
        <v>74</v>
      </c>
      <c r="Y162" s="1" t="s">
        <v>74</v>
      </c>
      <c r="Z162" s="1" t="s">
        <v>74</v>
      </c>
      <c r="AA162" s="1" t="s">
        <v>1629</v>
      </c>
      <c r="AB162" s="1" t="s">
        <v>1630</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74</v>
      </c>
      <c r="AP162" s="1" t="s">
        <v>74</v>
      </c>
      <c r="AQ162" s="1" t="s">
        <v>1631</v>
      </c>
      <c r="AR162" s="1" t="s">
        <v>74</v>
      </c>
      <c r="AS162" s="1" t="s">
        <v>74</v>
      </c>
      <c r="AT162" s="1" t="s">
        <v>74</v>
      </c>
      <c r="AU162" s="1">
        <v>2004.0</v>
      </c>
      <c r="AV162" s="1" t="s">
        <v>74</v>
      </c>
      <c r="AW162" s="1" t="s">
        <v>74</v>
      </c>
      <c r="AX162" s="1" t="s">
        <v>74</v>
      </c>
      <c r="AY162" s="1" t="s">
        <v>74</v>
      </c>
      <c r="AZ162" s="1" t="s">
        <v>74</v>
      </c>
      <c r="BA162" s="1" t="s">
        <v>74</v>
      </c>
      <c r="BB162" s="1">
        <v>858.0</v>
      </c>
      <c r="BC162" s="1">
        <v>862.0</v>
      </c>
      <c r="BD162" s="1" t="s">
        <v>74</v>
      </c>
      <c r="BE162" s="1" t="s">
        <v>1632</v>
      </c>
      <c r="BF162" s="2" t="str">
        <f>HYPERLINK("http://dx.doi.org/10.1109/ICDCSW.2004.1284133","http://dx.doi.org/10.1109/ICDCSW.2004.1284133")</f>
        <v>http://dx.doi.org/10.1109/ICDCSW.2004.1284133</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1633</v>
      </c>
      <c r="BT162" s="1" t="str">
        <f>HYPERLINK("https%3A%2F%2Fwww.webofscience.com%2Fwos%2Fwoscc%2Ffull-record%2FWOS:000221630700130","View Full Record in Web of Science")</f>
        <v>View Full Record in Web of Science</v>
      </c>
    </row>
    <row r="163" ht="12.75" customHeight="1">
      <c r="A163" s="1" t="s">
        <v>72</v>
      </c>
      <c r="B163" s="1" t="s">
        <v>1634</v>
      </c>
      <c r="C163" s="1" t="s">
        <v>74</v>
      </c>
      <c r="D163" s="1" t="s">
        <v>74</v>
      </c>
      <c r="E163" s="1" t="s">
        <v>74</v>
      </c>
      <c r="F163" s="1" t="s">
        <v>1634</v>
      </c>
      <c r="G163" s="1" t="s">
        <v>74</v>
      </c>
      <c r="H163" s="1" t="s">
        <v>74</v>
      </c>
      <c r="I163" s="1" t="s">
        <v>1635</v>
      </c>
      <c r="J163" s="1" t="s">
        <v>1636</v>
      </c>
      <c r="K163" s="1" t="s">
        <v>74</v>
      </c>
      <c r="L163" s="1" t="s">
        <v>74</v>
      </c>
      <c r="M163" s="1" t="s">
        <v>74</v>
      </c>
      <c r="N163" s="1" t="s">
        <v>74</v>
      </c>
      <c r="O163" s="1" t="s">
        <v>74</v>
      </c>
      <c r="P163" s="1" t="s">
        <v>74</v>
      </c>
      <c r="Q163" s="1" t="s">
        <v>74</v>
      </c>
      <c r="R163" s="1" t="s">
        <v>74</v>
      </c>
      <c r="S163" s="1" t="s">
        <v>74</v>
      </c>
      <c r="T163" s="1" t="s">
        <v>74</v>
      </c>
      <c r="U163" s="1" t="s">
        <v>74</v>
      </c>
      <c r="V163" s="1" t="s">
        <v>1637</v>
      </c>
      <c r="W163" s="1" t="s">
        <v>74</v>
      </c>
      <c r="X163" s="1" t="s">
        <v>74</v>
      </c>
      <c r="Y163" s="1" t="s">
        <v>74</v>
      </c>
      <c r="Z163" s="1" t="s">
        <v>74</v>
      </c>
      <c r="AA163" s="1" t="s">
        <v>74</v>
      </c>
      <c r="AB163" s="1" t="s">
        <v>74</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1638</v>
      </c>
      <c r="AP163" s="1" t="s">
        <v>1639</v>
      </c>
      <c r="AQ163" s="1" t="s">
        <v>74</v>
      </c>
      <c r="AR163" s="1" t="s">
        <v>74</v>
      </c>
      <c r="AS163" s="1" t="s">
        <v>74</v>
      </c>
      <c r="AT163" s="1" t="s">
        <v>1640</v>
      </c>
      <c r="AU163" s="1">
        <v>2001.0</v>
      </c>
      <c r="AV163" s="1">
        <v>197.0</v>
      </c>
      <c r="AW163" s="1">
        <v>1.0</v>
      </c>
      <c r="AX163" s="1" t="s">
        <v>74</v>
      </c>
      <c r="AY163" s="1" t="s">
        <v>74</v>
      </c>
      <c r="AZ163" s="1" t="s">
        <v>74</v>
      </c>
      <c r="BA163" s="1" t="s">
        <v>74</v>
      </c>
      <c r="BB163" s="1">
        <v>19.0</v>
      </c>
      <c r="BC163" s="1">
        <v>22.0</v>
      </c>
      <c r="BD163" s="1" t="s">
        <v>74</v>
      </c>
      <c r="BE163" s="1" t="s">
        <v>1641</v>
      </c>
      <c r="BF163" s="2" t="str">
        <f>HYPERLINK("http://dx.doi.org/10.1016/S0378-1097(01)00029-5","http://dx.doi.org/10.1016/S0378-1097(01)00029-5")</f>
        <v>http://dx.doi.org/10.1016/S0378-1097(01)00029-5</v>
      </c>
      <c r="BG163" s="1" t="s">
        <v>74</v>
      </c>
      <c r="BH163" s="1" t="s">
        <v>74</v>
      </c>
      <c r="BI163" s="1" t="s">
        <v>74</v>
      </c>
      <c r="BJ163" s="1" t="s">
        <v>74</v>
      </c>
      <c r="BK163" s="1" t="s">
        <v>74</v>
      </c>
      <c r="BL163" s="1" t="s">
        <v>74</v>
      </c>
      <c r="BM163" s="1" t="s">
        <v>74</v>
      </c>
      <c r="BN163" s="1">
        <v>1.128714E7</v>
      </c>
      <c r="BO163" s="1" t="s">
        <v>74</v>
      </c>
      <c r="BP163" s="1" t="s">
        <v>74</v>
      </c>
      <c r="BQ163" s="1" t="s">
        <v>74</v>
      </c>
      <c r="BR163" s="1" t="s">
        <v>74</v>
      </c>
      <c r="BS163" s="1" t="s">
        <v>1642</v>
      </c>
      <c r="BT163" s="1" t="str">
        <f>HYPERLINK("https%3A%2F%2Fwww.webofscience.com%2Fwos%2Fwoscc%2Ffull-record%2FWOS:000167980100003","View Full Record in Web of Science")</f>
        <v>View Full Record in Web of Science</v>
      </c>
    </row>
    <row r="164" ht="12.75" customHeight="1">
      <c r="A164" s="1" t="s">
        <v>72</v>
      </c>
      <c r="B164" s="1" t="s">
        <v>1643</v>
      </c>
      <c r="C164" s="1" t="s">
        <v>74</v>
      </c>
      <c r="D164" s="1" t="s">
        <v>74</v>
      </c>
      <c r="E164" s="1" t="s">
        <v>74</v>
      </c>
      <c r="F164" s="1" t="s">
        <v>1643</v>
      </c>
      <c r="G164" s="1" t="s">
        <v>74</v>
      </c>
      <c r="H164" s="1" t="s">
        <v>74</v>
      </c>
      <c r="I164" s="1" t="s">
        <v>1644</v>
      </c>
      <c r="J164" s="1" t="s">
        <v>1645</v>
      </c>
      <c r="K164" s="1" t="s">
        <v>74</v>
      </c>
      <c r="L164" s="1" t="s">
        <v>74</v>
      </c>
      <c r="M164" s="1" t="s">
        <v>74</v>
      </c>
      <c r="N164" s="1" t="s">
        <v>74</v>
      </c>
      <c r="O164" s="1" t="s">
        <v>74</v>
      </c>
      <c r="P164" s="1" t="s">
        <v>74</v>
      </c>
      <c r="Q164" s="1" t="s">
        <v>74</v>
      </c>
      <c r="R164" s="1" t="s">
        <v>74</v>
      </c>
      <c r="S164" s="1" t="s">
        <v>74</v>
      </c>
      <c r="T164" s="1" t="s">
        <v>74</v>
      </c>
      <c r="U164" s="1" t="s">
        <v>74</v>
      </c>
      <c r="V164" s="1" t="s">
        <v>1646</v>
      </c>
      <c r="W164" s="1" t="s">
        <v>74</v>
      </c>
      <c r="X164" s="1" t="s">
        <v>74</v>
      </c>
      <c r="Y164" s="1" t="s">
        <v>74</v>
      </c>
      <c r="Z164" s="1" t="s">
        <v>74</v>
      </c>
      <c r="AA164" s="1" t="s">
        <v>859</v>
      </c>
      <c r="AB164" s="1" t="s">
        <v>1647</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1648</v>
      </c>
      <c r="AP164" s="1" t="s">
        <v>74</v>
      </c>
      <c r="AQ164" s="1" t="s">
        <v>74</v>
      </c>
      <c r="AR164" s="1" t="s">
        <v>74</v>
      </c>
      <c r="AS164" s="1" t="s">
        <v>74</v>
      </c>
      <c r="AT164" s="1" t="s">
        <v>74</v>
      </c>
      <c r="AU164" s="1">
        <v>2001.0</v>
      </c>
      <c r="AV164" s="1">
        <v>35.0</v>
      </c>
      <c r="AW164" s="1">
        <v>10.0</v>
      </c>
      <c r="AX164" s="1" t="s">
        <v>74</v>
      </c>
      <c r="AY164" s="1" t="s">
        <v>74</v>
      </c>
      <c r="AZ164" s="1" t="s">
        <v>74</v>
      </c>
      <c r="BA164" s="1" t="s">
        <v>74</v>
      </c>
      <c r="BB164" s="1">
        <v>1783.0</v>
      </c>
      <c r="BC164" s="1">
        <v>1789.0</v>
      </c>
      <c r="BD164" s="1" t="s">
        <v>74</v>
      </c>
      <c r="BE164" s="1" t="s">
        <v>1649</v>
      </c>
      <c r="BF164" s="2" t="str">
        <f>HYPERLINK("http://dx.doi.org/10.1016/S1352-2310(00)00288-0","http://dx.doi.org/10.1016/S1352-2310(00)00288-0")</f>
        <v>http://dx.doi.org/10.1016/S1352-2310(00)00288-0</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1650</v>
      </c>
      <c r="BT164" s="1" t="str">
        <f>HYPERLINK("https%3A%2F%2Fwww.webofscience.com%2Fwos%2Fwoscc%2Ffull-record%2FWOS:000167745600007","View Full Record in Web of Science")</f>
        <v>View Full Record in Web of Science</v>
      </c>
    </row>
    <row r="165" ht="12.75" customHeight="1">
      <c r="A165" s="1" t="s">
        <v>72</v>
      </c>
      <c r="B165" s="1" t="s">
        <v>1651</v>
      </c>
      <c r="C165" s="1" t="s">
        <v>74</v>
      </c>
      <c r="D165" s="1" t="s">
        <v>74</v>
      </c>
      <c r="E165" s="1" t="s">
        <v>74</v>
      </c>
      <c r="F165" s="1" t="s">
        <v>1651</v>
      </c>
      <c r="G165" s="1" t="s">
        <v>74</v>
      </c>
      <c r="H165" s="1" t="s">
        <v>74</v>
      </c>
      <c r="I165" s="1" t="s">
        <v>1652</v>
      </c>
      <c r="J165" s="1" t="s">
        <v>1653</v>
      </c>
      <c r="K165" s="1" t="s">
        <v>74</v>
      </c>
      <c r="L165" s="1" t="s">
        <v>74</v>
      </c>
      <c r="M165" s="1" t="s">
        <v>74</v>
      </c>
      <c r="N165" s="1" t="s">
        <v>74</v>
      </c>
      <c r="O165" s="1" t="s">
        <v>74</v>
      </c>
      <c r="P165" s="1" t="s">
        <v>74</v>
      </c>
      <c r="Q165" s="1" t="s">
        <v>74</v>
      </c>
      <c r="R165" s="1" t="s">
        <v>74</v>
      </c>
      <c r="S165" s="1" t="s">
        <v>74</v>
      </c>
      <c r="T165" s="1" t="s">
        <v>74</v>
      </c>
      <c r="U165" s="1" t="s">
        <v>74</v>
      </c>
      <c r="V165" s="1" t="s">
        <v>74</v>
      </c>
      <c r="W165" s="1" t="s">
        <v>74</v>
      </c>
      <c r="X165" s="1" t="s">
        <v>74</v>
      </c>
      <c r="Y165" s="1" t="s">
        <v>74</v>
      </c>
      <c r="Z165" s="1" t="s">
        <v>74</v>
      </c>
      <c r="AA165" s="1" t="s">
        <v>74</v>
      </c>
      <c r="AB165" s="1" t="s">
        <v>74</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1654</v>
      </c>
      <c r="AP165" s="1" t="s">
        <v>74</v>
      </c>
      <c r="AQ165" s="1" t="s">
        <v>74</v>
      </c>
      <c r="AR165" s="1" t="s">
        <v>74</v>
      </c>
      <c r="AS165" s="1" t="s">
        <v>74</v>
      </c>
      <c r="AT165" s="1" t="s">
        <v>1482</v>
      </c>
      <c r="AU165" s="1">
        <v>2000.0</v>
      </c>
      <c r="AV165" s="1">
        <v>21.0</v>
      </c>
      <c r="AW165" s="1" t="s">
        <v>831</v>
      </c>
      <c r="AX165" s="1" t="s">
        <v>74</v>
      </c>
      <c r="AY165" s="1" t="s">
        <v>74</v>
      </c>
      <c r="AZ165" s="1" t="s">
        <v>74</v>
      </c>
      <c r="BA165" s="1">
        <v>173.0</v>
      </c>
      <c r="BB165" s="1">
        <v>287.0</v>
      </c>
      <c r="BC165" s="1">
        <v>287.0</v>
      </c>
      <c r="BD165" s="1" t="s">
        <v>74</v>
      </c>
      <c r="BE165" s="1" t="s">
        <v>74</v>
      </c>
      <c r="BF165" s="1" t="s">
        <v>74</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1655</v>
      </c>
      <c r="BT165" s="1" t="str">
        <f>HYPERLINK("https%3A%2F%2Fwww.webofscience.com%2Fwos%2Fwoscc%2Ffull-record%2FWOS:000089482800174","View Full Record in Web of Science")</f>
        <v>View Full Record in Web of Science</v>
      </c>
    </row>
    <row r="166" ht="12.75" customHeight="1">
      <c r="A166" s="1" t="s">
        <v>72</v>
      </c>
      <c r="B166" s="1" t="s">
        <v>1656</v>
      </c>
      <c r="C166" s="1" t="s">
        <v>74</v>
      </c>
      <c r="D166" s="1" t="s">
        <v>74</v>
      </c>
      <c r="E166" s="1" t="s">
        <v>74</v>
      </c>
      <c r="F166" s="1" t="s">
        <v>1656</v>
      </c>
      <c r="G166" s="1" t="s">
        <v>74</v>
      </c>
      <c r="H166" s="1" t="s">
        <v>74</v>
      </c>
      <c r="I166" s="1" t="s">
        <v>1657</v>
      </c>
      <c r="J166" s="1" t="s">
        <v>765</v>
      </c>
      <c r="K166" s="1" t="s">
        <v>74</v>
      </c>
      <c r="L166" s="1" t="s">
        <v>74</v>
      </c>
      <c r="M166" s="1" t="s">
        <v>74</v>
      </c>
      <c r="N166" s="1" t="s">
        <v>74</v>
      </c>
      <c r="O166" s="1" t="s">
        <v>74</v>
      </c>
      <c r="P166" s="1" t="s">
        <v>74</v>
      </c>
      <c r="Q166" s="1" t="s">
        <v>74</v>
      </c>
      <c r="R166" s="1" t="s">
        <v>74</v>
      </c>
      <c r="S166" s="1" t="s">
        <v>74</v>
      </c>
      <c r="T166" s="1" t="s">
        <v>74</v>
      </c>
      <c r="U166" s="1" t="s">
        <v>74</v>
      </c>
      <c r="V166" s="1" t="s">
        <v>1658</v>
      </c>
      <c r="W166" s="1" t="s">
        <v>74</v>
      </c>
      <c r="X166" s="1" t="s">
        <v>74</v>
      </c>
      <c r="Y166" s="1" t="s">
        <v>74</v>
      </c>
      <c r="Z166" s="1" t="s">
        <v>74</v>
      </c>
      <c r="AA166" s="1" t="s">
        <v>767</v>
      </c>
      <c r="AB166" s="1" t="s">
        <v>768</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1659</v>
      </c>
      <c r="AP166" s="1" t="s">
        <v>1660</v>
      </c>
      <c r="AQ166" s="1" t="s">
        <v>74</v>
      </c>
      <c r="AR166" s="1" t="s">
        <v>74</v>
      </c>
      <c r="AS166" s="1" t="s">
        <v>74</v>
      </c>
      <c r="AT166" s="1" t="s">
        <v>1661</v>
      </c>
      <c r="AU166" s="1">
        <v>2000.0</v>
      </c>
      <c r="AV166" s="1">
        <v>489.0</v>
      </c>
      <c r="AW166" s="1" t="s">
        <v>433</v>
      </c>
      <c r="AX166" s="1" t="s">
        <v>74</v>
      </c>
      <c r="AY166" s="1" t="s">
        <v>74</v>
      </c>
      <c r="AZ166" s="1" t="s">
        <v>74</v>
      </c>
      <c r="BA166" s="1" t="s">
        <v>74</v>
      </c>
      <c r="BB166" s="1">
        <v>96.0</v>
      </c>
      <c r="BC166" s="1">
        <v>100.0</v>
      </c>
      <c r="BD166" s="1" t="s">
        <v>74</v>
      </c>
      <c r="BE166" s="1" t="s">
        <v>1662</v>
      </c>
      <c r="BF166" s="2" t="str">
        <f>HYPERLINK("http://dx.doi.org/10.1016/S0022-0728(00)00209-6","http://dx.doi.org/10.1016/S0022-0728(00)00209-6")</f>
        <v>http://dx.doi.org/10.1016/S0022-0728(00)00209-6</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1663</v>
      </c>
      <c r="BT166" s="1" t="str">
        <f>HYPERLINK("https%3A%2F%2Fwww.webofscience.com%2Fwos%2Fwoscc%2Ffull-record%2FWOS:000165784900011","View Full Record in Web of Science")</f>
        <v>View Full Record in Web of Science</v>
      </c>
    </row>
    <row r="167" ht="12.75" customHeight="1">
      <c r="A167" s="1" t="s">
        <v>72</v>
      </c>
      <c r="B167" s="1" t="s">
        <v>1664</v>
      </c>
      <c r="C167" s="1" t="s">
        <v>74</v>
      </c>
      <c r="D167" s="1" t="s">
        <v>74</v>
      </c>
      <c r="E167" s="1" t="s">
        <v>74</v>
      </c>
      <c r="F167" s="1" t="s">
        <v>1664</v>
      </c>
      <c r="G167" s="1" t="s">
        <v>74</v>
      </c>
      <c r="H167" s="1" t="s">
        <v>74</v>
      </c>
      <c r="I167" s="1" t="s">
        <v>1665</v>
      </c>
      <c r="J167" s="1" t="s">
        <v>880</v>
      </c>
      <c r="K167" s="1" t="s">
        <v>74</v>
      </c>
      <c r="L167" s="1" t="s">
        <v>74</v>
      </c>
      <c r="M167" s="1" t="s">
        <v>74</v>
      </c>
      <c r="N167" s="1" t="s">
        <v>74</v>
      </c>
      <c r="O167" s="1" t="s">
        <v>74</v>
      </c>
      <c r="P167" s="1" t="s">
        <v>74</v>
      </c>
      <c r="Q167" s="1" t="s">
        <v>74</v>
      </c>
      <c r="R167" s="1" t="s">
        <v>74</v>
      </c>
      <c r="S167" s="1" t="s">
        <v>74</v>
      </c>
      <c r="T167" s="1" t="s">
        <v>74</v>
      </c>
      <c r="U167" s="1" t="s">
        <v>74</v>
      </c>
      <c r="V167" s="1" t="s">
        <v>74</v>
      </c>
      <c r="W167" s="1" t="s">
        <v>74</v>
      </c>
      <c r="X167" s="1" t="s">
        <v>74</v>
      </c>
      <c r="Y167" s="1" t="s">
        <v>74</v>
      </c>
      <c r="Z167" s="1" t="s">
        <v>74</v>
      </c>
      <c r="AA167" s="1" t="s">
        <v>74</v>
      </c>
      <c r="AB167" s="1" t="s">
        <v>701</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881</v>
      </c>
      <c r="AP167" s="1" t="s">
        <v>74</v>
      </c>
      <c r="AQ167" s="1" t="s">
        <v>74</v>
      </c>
      <c r="AR167" s="1" t="s">
        <v>74</v>
      </c>
      <c r="AS167" s="1" t="s">
        <v>74</v>
      </c>
      <c r="AT167" s="1" t="s">
        <v>193</v>
      </c>
      <c r="AU167" s="1">
        <v>2000.0</v>
      </c>
      <c r="AV167" s="1">
        <v>28.0</v>
      </c>
      <c r="AW167" s="1">
        <v>4.0</v>
      </c>
      <c r="AX167" s="1" t="s">
        <v>74</v>
      </c>
      <c r="AY167" s="1" t="s">
        <v>74</v>
      </c>
      <c r="AZ167" s="1" t="s">
        <v>74</v>
      </c>
      <c r="BA167" s="1" t="s">
        <v>74</v>
      </c>
      <c r="BB167" s="1">
        <v>399.0</v>
      </c>
      <c r="BC167" s="1">
        <v>401.0</v>
      </c>
      <c r="BD167" s="1" t="s">
        <v>74</v>
      </c>
      <c r="BE167" s="1" t="s">
        <v>74</v>
      </c>
      <c r="BF167" s="1" t="s">
        <v>74</v>
      </c>
      <c r="BG167" s="1" t="s">
        <v>74</v>
      </c>
      <c r="BH167" s="1" t="s">
        <v>74</v>
      </c>
      <c r="BI167" s="1" t="s">
        <v>74</v>
      </c>
      <c r="BJ167" s="1" t="s">
        <v>74</v>
      </c>
      <c r="BK167" s="1" t="s">
        <v>74</v>
      </c>
      <c r="BL167" s="1" t="s">
        <v>74</v>
      </c>
      <c r="BM167" s="1" t="s">
        <v>74</v>
      </c>
      <c r="BN167" s="1">
        <v>1.0725597E7</v>
      </c>
      <c r="BO167" s="1" t="s">
        <v>74</v>
      </c>
      <c r="BP167" s="1" t="s">
        <v>74</v>
      </c>
      <c r="BQ167" s="1" t="s">
        <v>74</v>
      </c>
      <c r="BR167" s="1" t="s">
        <v>74</v>
      </c>
      <c r="BS167" s="1" t="s">
        <v>1666</v>
      </c>
      <c r="BT167" s="1" t="str">
        <f>HYPERLINK("https%3A%2F%2Fwww.webofscience.com%2Fwos%2Fwoscc%2Ffull-record%2FWOS:000086252300010","View Full Record in Web of Science")</f>
        <v>View Full Record in Web of Science</v>
      </c>
    </row>
    <row r="168" ht="12.75" customHeight="1">
      <c r="A168" s="1" t="s">
        <v>126</v>
      </c>
      <c r="B168" s="1" t="s">
        <v>1667</v>
      </c>
      <c r="C168" s="1" t="s">
        <v>74</v>
      </c>
      <c r="D168" s="1" t="s">
        <v>1668</v>
      </c>
      <c r="E168" s="1" t="s">
        <v>74</v>
      </c>
      <c r="F168" s="1" t="s">
        <v>1667</v>
      </c>
      <c r="G168" s="1" t="s">
        <v>74</v>
      </c>
      <c r="H168" s="1" t="s">
        <v>74</v>
      </c>
      <c r="I168" s="1" t="s">
        <v>1669</v>
      </c>
      <c r="J168" s="1" t="s">
        <v>1670</v>
      </c>
      <c r="K168" s="1" t="s">
        <v>1671</v>
      </c>
      <c r="L168" s="1" t="s">
        <v>74</v>
      </c>
      <c r="M168" s="1" t="s">
        <v>74</v>
      </c>
      <c r="N168" s="1" t="s">
        <v>74</v>
      </c>
      <c r="O168" s="1" t="s">
        <v>1672</v>
      </c>
      <c r="P168" s="1" t="s">
        <v>1673</v>
      </c>
      <c r="Q168" s="1" t="s">
        <v>1674</v>
      </c>
      <c r="R168" s="1" t="s">
        <v>1675</v>
      </c>
      <c r="S168" s="1" t="s">
        <v>74</v>
      </c>
      <c r="T168" s="1" t="s">
        <v>74</v>
      </c>
      <c r="U168" s="1" t="s">
        <v>74</v>
      </c>
      <c r="V168" s="1" t="s">
        <v>1676</v>
      </c>
      <c r="W168" s="1" t="s">
        <v>74</v>
      </c>
      <c r="X168" s="1" t="s">
        <v>74</v>
      </c>
      <c r="Y168" s="1" t="s">
        <v>74</v>
      </c>
      <c r="Z168" s="1" t="s">
        <v>74</v>
      </c>
      <c r="AA168" s="1" t="s">
        <v>74</v>
      </c>
      <c r="AB168" s="1" t="s">
        <v>74</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1677</v>
      </c>
      <c r="AP168" s="1" t="s">
        <v>74</v>
      </c>
      <c r="AQ168" s="1" t="s">
        <v>1678</v>
      </c>
      <c r="AR168" s="1" t="s">
        <v>74</v>
      </c>
      <c r="AS168" s="1" t="s">
        <v>74</v>
      </c>
      <c r="AT168" s="1" t="s">
        <v>74</v>
      </c>
      <c r="AU168" s="1">
        <v>2000.0</v>
      </c>
      <c r="AV168" s="1">
        <v>545.0</v>
      </c>
      <c r="AW168" s="1" t="s">
        <v>74</v>
      </c>
      <c r="AX168" s="1" t="s">
        <v>74</v>
      </c>
      <c r="AY168" s="1" t="s">
        <v>74</v>
      </c>
      <c r="AZ168" s="1" t="s">
        <v>74</v>
      </c>
      <c r="BA168" s="1" t="s">
        <v>74</v>
      </c>
      <c r="BB168" s="1">
        <v>197.0</v>
      </c>
      <c r="BC168" s="1">
        <v>202.0</v>
      </c>
      <c r="BD168" s="1" t="s">
        <v>74</v>
      </c>
      <c r="BE168" s="1" t="s">
        <v>74</v>
      </c>
      <c r="BF168" s="1" t="s">
        <v>74</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1679</v>
      </c>
      <c r="BT168" s="1" t="str">
        <f>HYPERLINK("https%3A%2F%2Fwww.webofscience.com%2Fwos%2Fwoscc%2Ffull-record%2FWOS:000166298600022","View Full Record in Web of Science")</f>
        <v>View Full Record in Web of Science</v>
      </c>
    </row>
    <row r="169" ht="12.75" customHeight="1">
      <c r="A169" s="1" t="s">
        <v>72</v>
      </c>
      <c r="B169" s="1" t="s">
        <v>1680</v>
      </c>
      <c r="C169" s="1" t="s">
        <v>74</v>
      </c>
      <c r="D169" s="1" t="s">
        <v>74</v>
      </c>
      <c r="E169" s="1" t="s">
        <v>74</v>
      </c>
      <c r="F169" s="1" t="s">
        <v>1680</v>
      </c>
      <c r="G169" s="1" t="s">
        <v>74</v>
      </c>
      <c r="H169" s="1" t="s">
        <v>74</v>
      </c>
      <c r="I169" s="1" t="s">
        <v>1681</v>
      </c>
      <c r="J169" s="1" t="s">
        <v>1682</v>
      </c>
      <c r="K169" s="1" t="s">
        <v>74</v>
      </c>
      <c r="L169" s="1" t="s">
        <v>74</v>
      </c>
      <c r="M169" s="1" t="s">
        <v>74</v>
      </c>
      <c r="N169" s="1" t="s">
        <v>74</v>
      </c>
      <c r="O169" s="1" t="s">
        <v>74</v>
      </c>
      <c r="P169" s="1" t="s">
        <v>74</v>
      </c>
      <c r="Q169" s="1" t="s">
        <v>74</v>
      </c>
      <c r="R169" s="1" t="s">
        <v>74</v>
      </c>
      <c r="S169" s="1" t="s">
        <v>74</v>
      </c>
      <c r="T169" s="1" t="s">
        <v>74</v>
      </c>
      <c r="U169" s="1" t="s">
        <v>74</v>
      </c>
      <c r="V169" s="1" t="s">
        <v>1683</v>
      </c>
      <c r="W169" s="1" t="s">
        <v>74</v>
      </c>
      <c r="X169" s="1" t="s">
        <v>74</v>
      </c>
      <c r="Y169" s="1" t="s">
        <v>74</v>
      </c>
      <c r="Z169" s="1" t="s">
        <v>74</v>
      </c>
      <c r="AA169" s="1" t="s">
        <v>1684</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1685</v>
      </c>
      <c r="AP169" s="1" t="s">
        <v>1686</v>
      </c>
      <c r="AQ169" s="1" t="s">
        <v>74</v>
      </c>
      <c r="AR169" s="1" t="s">
        <v>74</v>
      </c>
      <c r="AS169" s="1" t="s">
        <v>74</v>
      </c>
      <c r="AT169" s="1" t="s">
        <v>193</v>
      </c>
      <c r="AU169" s="1">
        <v>1999.0</v>
      </c>
      <c r="AV169" s="1">
        <v>35.0</v>
      </c>
      <c r="AW169" s="1">
        <v>5.0</v>
      </c>
      <c r="AX169" s="1" t="s">
        <v>74</v>
      </c>
      <c r="AY169" s="1" t="s">
        <v>74</v>
      </c>
      <c r="AZ169" s="1" t="s">
        <v>74</v>
      </c>
      <c r="BA169" s="1" t="s">
        <v>74</v>
      </c>
      <c r="BB169" s="1">
        <v>495.0</v>
      </c>
      <c r="BC169" s="1">
        <v>517.0</v>
      </c>
      <c r="BD169" s="1" t="s">
        <v>74</v>
      </c>
      <c r="BE169" s="1" t="s">
        <v>1687</v>
      </c>
      <c r="BF169" s="2" t="str">
        <f>HYPERLINK("http://dx.doi.org/10.1080/104077899275128","http://dx.doi.org/10.1080/104077899275128")</f>
        <v>http://dx.doi.org/10.1080/104077899275128</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1688</v>
      </c>
      <c r="BT169" s="1" t="str">
        <f>HYPERLINK("https%3A%2F%2Fwww.webofscience.com%2Fwos%2Fwoscc%2Ffull-record%2FWOS:000080070100003","View Full Record in Web of Science")</f>
        <v>View Full Record in Web of Science</v>
      </c>
    </row>
    <row r="170" ht="12.75" customHeight="1">
      <c r="A170" s="1" t="s">
        <v>72</v>
      </c>
      <c r="B170" s="1" t="s">
        <v>1689</v>
      </c>
      <c r="C170" s="1" t="s">
        <v>74</v>
      </c>
      <c r="D170" s="1" t="s">
        <v>74</v>
      </c>
      <c r="E170" s="1" t="s">
        <v>74</v>
      </c>
      <c r="F170" s="1" t="s">
        <v>1689</v>
      </c>
      <c r="G170" s="1" t="s">
        <v>74</v>
      </c>
      <c r="H170" s="1" t="s">
        <v>74</v>
      </c>
      <c r="I170" s="1" t="s">
        <v>1690</v>
      </c>
      <c r="J170" s="1" t="s">
        <v>1691</v>
      </c>
      <c r="K170" s="1" t="s">
        <v>74</v>
      </c>
      <c r="L170" s="1" t="s">
        <v>74</v>
      </c>
      <c r="M170" s="1" t="s">
        <v>74</v>
      </c>
      <c r="N170" s="1" t="s">
        <v>74</v>
      </c>
      <c r="O170" s="1" t="s">
        <v>74</v>
      </c>
      <c r="P170" s="1" t="s">
        <v>74</v>
      </c>
      <c r="Q170" s="1" t="s">
        <v>74</v>
      </c>
      <c r="R170" s="1" t="s">
        <v>74</v>
      </c>
      <c r="S170" s="1" t="s">
        <v>74</v>
      </c>
      <c r="T170" s="1" t="s">
        <v>74</v>
      </c>
      <c r="U170" s="1" t="s">
        <v>74</v>
      </c>
      <c r="V170" s="1" t="s">
        <v>1692</v>
      </c>
      <c r="W170" s="1" t="s">
        <v>74</v>
      </c>
      <c r="X170" s="1" t="s">
        <v>74</v>
      </c>
      <c r="Y170" s="1" t="s">
        <v>74</v>
      </c>
      <c r="Z170" s="1" t="s">
        <v>74</v>
      </c>
      <c r="AA170" s="1" t="s">
        <v>450</v>
      </c>
      <c r="AB170" s="1" t="s">
        <v>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1693</v>
      </c>
      <c r="AP170" s="1" t="s">
        <v>74</v>
      </c>
      <c r="AQ170" s="1" t="s">
        <v>74</v>
      </c>
      <c r="AR170" s="1" t="s">
        <v>74</v>
      </c>
      <c r="AS170" s="1" t="s">
        <v>74</v>
      </c>
      <c r="AT170" s="1" t="s">
        <v>1694</v>
      </c>
      <c r="AU170" s="1">
        <v>1998.0</v>
      </c>
      <c r="AV170" s="1">
        <v>14.0</v>
      </c>
      <c r="AW170" s="1">
        <v>20.0</v>
      </c>
      <c r="AX170" s="1" t="s">
        <v>74</v>
      </c>
      <c r="AY170" s="1" t="s">
        <v>74</v>
      </c>
      <c r="AZ170" s="1" t="s">
        <v>74</v>
      </c>
      <c r="BA170" s="1" t="s">
        <v>74</v>
      </c>
      <c r="BB170" s="1">
        <v>5691.0</v>
      </c>
      <c r="BC170" s="1">
        <v>5694.0</v>
      </c>
      <c r="BD170" s="1" t="s">
        <v>74</v>
      </c>
      <c r="BE170" s="1" t="s">
        <v>1695</v>
      </c>
      <c r="BF170" s="2" t="str">
        <f>HYPERLINK("http://dx.doi.org/10.1021/la960941i","http://dx.doi.org/10.1021/la960941i")</f>
        <v>http://dx.doi.org/10.1021/la960941i</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1696</v>
      </c>
      <c r="BT170" s="1" t="str">
        <f>HYPERLINK("https%3A%2F%2Fwww.webofscience.com%2Fwos%2Fwoscc%2Ffull-record%2FWOS:000076221800008","View Full Record in Web of Science")</f>
        <v>View Full Record in Web of Science</v>
      </c>
    </row>
    <row r="171" ht="12.75" customHeight="1">
      <c r="A171" s="1" t="s">
        <v>72</v>
      </c>
      <c r="B171" s="1" t="s">
        <v>1697</v>
      </c>
      <c r="C171" s="1" t="s">
        <v>74</v>
      </c>
      <c r="D171" s="1" t="s">
        <v>74</v>
      </c>
      <c r="E171" s="1" t="s">
        <v>74</v>
      </c>
      <c r="F171" s="1" t="s">
        <v>1697</v>
      </c>
      <c r="G171" s="1" t="s">
        <v>74</v>
      </c>
      <c r="H171" s="1" t="s">
        <v>74</v>
      </c>
      <c r="I171" s="1" t="s">
        <v>1698</v>
      </c>
      <c r="J171" s="1" t="s">
        <v>1699</v>
      </c>
      <c r="K171" s="1" t="s">
        <v>74</v>
      </c>
      <c r="L171" s="1" t="s">
        <v>74</v>
      </c>
      <c r="M171" s="1" t="s">
        <v>74</v>
      </c>
      <c r="N171" s="1" t="s">
        <v>74</v>
      </c>
      <c r="O171" s="1" t="s">
        <v>74</v>
      </c>
      <c r="P171" s="1" t="s">
        <v>74</v>
      </c>
      <c r="Q171" s="1" t="s">
        <v>74</v>
      </c>
      <c r="R171" s="1" t="s">
        <v>74</v>
      </c>
      <c r="S171" s="1" t="s">
        <v>74</v>
      </c>
      <c r="T171" s="1" t="s">
        <v>74</v>
      </c>
      <c r="U171" s="1" t="s">
        <v>74</v>
      </c>
      <c r="V171" s="1" t="s">
        <v>1700</v>
      </c>
      <c r="W171" s="1" t="s">
        <v>74</v>
      </c>
      <c r="X171" s="1" t="s">
        <v>74</v>
      </c>
      <c r="Y171" s="1" t="s">
        <v>74</v>
      </c>
      <c r="Z171" s="1" t="s">
        <v>74</v>
      </c>
      <c r="AA171" s="1" t="s">
        <v>74</v>
      </c>
      <c r="AB171" s="1" t="s">
        <v>1701</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1702</v>
      </c>
      <c r="AP171" s="1" t="s">
        <v>74</v>
      </c>
      <c r="AQ171" s="1" t="s">
        <v>74</v>
      </c>
      <c r="AR171" s="1" t="s">
        <v>74</v>
      </c>
      <c r="AS171" s="1" t="s">
        <v>74</v>
      </c>
      <c r="AT171" s="1" t="s">
        <v>193</v>
      </c>
      <c r="AU171" s="1">
        <v>1997.0</v>
      </c>
      <c r="AV171" s="1">
        <v>16.0</v>
      </c>
      <c r="AW171" s="1">
        <v>3.0</v>
      </c>
      <c r="AX171" s="1" t="s">
        <v>74</v>
      </c>
      <c r="AY171" s="1" t="s">
        <v>74</v>
      </c>
      <c r="AZ171" s="1" t="s">
        <v>74</v>
      </c>
      <c r="BA171" s="1" t="s">
        <v>74</v>
      </c>
      <c r="BB171" s="1">
        <v>233.0</v>
      </c>
      <c r="BC171" s="1">
        <v>236.0</v>
      </c>
      <c r="BD171" s="1" t="s">
        <v>74</v>
      </c>
      <c r="BE171" s="1" t="s">
        <v>1703</v>
      </c>
      <c r="BF171" s="2" t="str">
        <f>HYPERLINK("http://dx.doi.org/10.1023/A:1026335010370","http://dx.doi.org/10.1023/A:1026335010370")</f>
        <v>http://dx.doi.org/10.1023/A:1026335010370</v>
      </c>
      <c r="BG171" s="1" t="s">
        <v>74</v>
      </c>
      <c r="BH171" s="1" t="s">
        <v>74</v>
      </c>
      <c r="BI171" s="1" t="s">
        <v>74</v>
      </c>
      <c r="BJ171" s="1" t="s">
        <v>74</v>
      </c>
      <c r="BK171" s="1" t="s">
        <v>74</v>
      </c>
      <c r="BL171" s="1" t="s">
        <v>74</v>
      </c>
      <c r="BM171" s="1" t="s">
        <v>74</v>
      </c>
      <c r="BN171" s="1">
        <v>9155094.0</v>
      </c>
      <c r="BO171" s="1" t="s">
        <v>74</v>
      </c>
      <c r="BP171" s="1" t="s">
        <v>74</v>
      </c>
      <c r="BQ171" s="1" t="s">
        <v>74</v>
      </c>
      <c r="BR171" s="1" t="s">
        <v>74</v>
      </c>
      <c r="BS171" s="1" t="s">
        <v>1704</v>
      </c>
      <c r="BT171" s="1" t="str">
        <f>HYPERLINK("https%3A%2F%2Fwww.webofscience.com%2Fwos%2Fwoscc%2Ffull-record%2FWOS:A1997WZ35400008","View Full Record in Web of Science")</f>
        <v>View Full Record in Web of Science</v>
      </c>
    </row>
    <row r="172" ht="12.75" customHeight="1">
      <c r="A172" s="1" t="s">
        <v>72</v>
      </c>
      <c r="B172" s="1" t="s">
        <v>1705</v>
      </c>
      <c r="C172" s="1" t="s">
        <v>74</v>
      </c>
      <c r="D172" s="1" t="s">
        <v>74</v>
      </c>
      <c r="E172" s="1" t="s">
        <v>74</v>
      </c>
      <c r="F172" s="1" t="s">
        <v>1705</v>
      </c>
      <c r="G172" s="1" t="s">
        <v>74</v>
      </c>
      <c r="H172" s="1" t="s">
        <v>74</v>
      </c>
      <c r="I172" s="1" t="s">
        <v>1706</v>
      </c>
      <c r="J172" s="1" t="s">
        <v>1707</v>
      </c>
      <c r="K172" s="1" t="s">
        <v>74</v>
      </c>
      <c r="L172" s="1" t="s">
        <v>74</v>
      </c>
      <c r="M172" s="1" t="s">
        <v>74</v>
      </c>
      <c r="N172" s="1" t="s">
        <v>74</v>
      </c>
      <c r="O172" s="1" t="s">
        <v>74</v>
      </c>
      <c r="P172" s="1" t="s">
        <v>74</v>
      </c>
      <c r="Q172" s="1" t="s">
        <v>74</v>
      </c>
      <c r="R172" s="1" t="s">
        <v>74</v>
      </c>
      <c r="S172" s="1" t="s">
        <v>74</v>
      </c>
      <c r="T172" s="1" t="s">
        <v>74</v>
      </c>
      <c r="U172" s="1" t="s">
        <v>74</v>
      </c>
      <c r="V172" s="1" t="s">
        <v>1708</v>
      </c>
      <c r="W172" s="1" t="s">
        <v>74</v>
      </c>
      <c r="X172" s="1" t="s">
        <v>74</v>
      </c>
      <c r="Y172" s="1" t="s">
        <v>74</v>
      </c>
      <c r="Z172" s="1" t="s">
        <v>74</v>
      </c>
      <c r="AA172" s="1" t="s">
        <v>1709</v>
      </c>
      <c r="AB172" s="1" t="s">
        <v>1710</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1711</v>
      </c>
      <c r="AP172" s="1" t="s">
        <v>74</v>
      </c>
      <c r="AQ172" s="1" t="s">
        <v>74</v>
      </c>
      <c r="AR172" s="1" t="s">
        <v>74</v>
      </c>
      <c r="AS172" s="1" t="s">
        <v>74</v>
      </c>
      <c r="AT172" s="1" t="s">
        <v>1712</v>
      </c>
      <c r="AU172" s="1">
        <v>1995.0</v>
      </c>
      <c r="AV172" s="1">
        <v>91.0</v>
      </c>
      <c r="AW172" s="1">
        <v>21.0</v>
      </c>
      <c r="AX172" s="1" t="s">
        <v>74</v>
      </c>
      <c r="AY172" s="1" t="s">
        <v>74</v>
      </c>
      <c r="AZ172" s="1" t="s">
        <v>74</v>
      </c>
      <c r="BA172" s="1" t="s">
        <v>74</v>
      </c>
      <c r="BB172" s="1">
        <v>3839.0</v>
      </c>
      <c r="BC172" s="1">
        <v>3842.0</v>
      </c>
      <c r="BD172" s="1" t="s">
        <v>74</v>
      </c>
      <c r="BE172" s="1" t="s">
        <v>1713</v>
      </c>
      <c r="BF172" s="2" t="str">
        <f>HYPERLINK("http://dx.doi.org/10.1039/ft9959103839","http://dx.doi.org/10.1039/ft9959103839")</f>
        <v>http://dx.doi.org/10.1039/ft9959103839</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1714</v>
      </c>
      <c r="BT172" s="1" t="str">
        <f>HYPERLINK("https%3A%2F%2Fwww.webofscience.com%2Fwos%2Fwoscc%2Ffull-record%2FWOS:A1995TC83400017","View Full Record in Web of Science")</f>
        <v>View Full Record in Web of Science</v>
      </c>
    </row>
    <row r="173" ht="12.75" customHeight="1">
      <c r="A173" s="1" t="s">
        <v>72</v>
      </c>
      <c r="B173" s="1" t="s">
        <v>1715</v>
      </c>
      <c r="C173" s="1" t="s">
        <v>74</v>
      </c>
      <c r="D173" s="1" t="s">
        <v>74</v>
      </c>
      <c r="E173" s="1" t="s">
        <v>74</v>
      </c>
      <c r="F173" s="1" t="s">
        <v>1715</v>
      </c>
      <c r="G173" s="1" t="s">
        <v>74</v>
      </c>
      <c r="H173" s="1" t="s">
        <v>74</v>
      </c>
      <c r="I173" s="1" t="s">
        <v>1716</v>
      </c>
      <c r="J173" s="1" t="s">
        <v>765</v>
      </c>
      <c r="K173" s="1" t="s">
        <v>74</v>
      </c>
      <c r="L173" s="1" t="s">
        <v>74</v>
      </c>
      <c r="M173" s="1" t="s">
        <v>74</v>
      </c>
      <c r="N173" s="1" t="s">
        <v>74</v>
      </c>
      <c r="O173" s="1" t="s">
        <v>74</v>
      </c>
      <c r="P173" s="1" t="s">
        <v>74</v>
      </c>
      <c r="Q173" s="1" t="s">
        <v>74</v>
      </c>
      <c r="R173" s="1" t="s">
        <v>74</v>
      </c>
      <c r="S173" s="1" t="s">
        <v>74</v>
      </c>
      <c r="T173" s="1" t="s">
        <v>74</v>
      </c>
      <c r="U173" s="1" t="s">
        <v>74</v>
      </c>
      <c r="V173" s="1" t="s">
        <v>1717</v>
      </c>
      <c r="W173" s="1" t="s">
        <v>74</v>
      </c>
      <c r="X173" s="1" t="s">
        <v>74</v>
      </c>
      <c r="Y173" s="1" t="s">
        <v>74</v>
      </c>
      <c r="Z173" s="1" t="s">
        <v>74</v>
      </c>
      <c r="AA173" s="1" t="s">
        <v>74</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769</v>
      </c>
      <c r="AP173" s="1" t="s">
        <v>74</v>
      </c>
      <c r="AQ173" s="1" t="s">
        <v>74</v>
      </c>
      <c r="AR173" s="1" t="s">
        <v>74</v>
      </c>
      <c r="AS173" s="1" t="s">
        <v>74</v>
      </c>
      <c r="AT173" s="1" t="s">
        <v>1718</v>
      </c>
      <c r="AU173" s="1">
        <v>1995.0</v>
      </c>
      <c r="AV173" s="1">
        <v>391.0</v>
      </c>
      <c r="AW173" s="1" t="s">
        <v>433</v>
      </c>
      <c r="AX173" s="1" t="s">
        <v>74</v>
      </c>
      <c r="AY173" s="1" t="s">
        <v>74</v>
      </c>
      <c r="AZ173" s="1" t="s">
        <v>74</v>
      </c>
      <c r="BA173" s="1" t="s">
        <v>74</v>
      </c>
      <c r="BB173" s="1">
        <v>111.0</v>
      </c>
      <c r="BC173" s="1">
        <v>118.0</v>
      </c>
      <c r="BD173" s="1" t="s">
        <v>74</v>
      </c>
      <c r="BE173" s="1" t="s">
        <v>1719</v>
      </c>
      <c r="BF173" s="2" t="str">
        <f>HYPERLINK("http://dx.doi.org/10.1016/0022-0728(95)03964-I","http://dx.doi.org/10.1016/0022-0728(95)03964-I")</f>
        <v>http://dx.doi.org/10.1016/0022-0728(95)03964-I</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1720</v>
      </c>
      <c r="BT173" s="1" t="str">
        <f>HYPERLINK("https%3A%2F%2Fwww.webofscience.com%2Fwos%2Fwoscc%2Ffull-record%2FWOS:A1995RH80400011","View Full Record in Web of Science")</f>
        <v>View Full Record in Web of Science</v>
      </c>
    </row>
    <row r="174" ht="12.75" customHeight="1">
      <c r="A174" s="1" t="s">
        <v>72</v>
      </c>
      <c r="B174" s="1" t="s">
        <v>1721</v>
      </c>
      <c r="C174" s="1" t="s">
        <v>74</v>
      </c>
      <c r="D174" s="1" t="s">
        <v>74</v>
      </c>
      <c r="E174" s="1" t="s">
        <v>74</v>
      </c>
      <c r="F174" s="1" t="s">
        <v>1721</v>
      </c>
      <c r="G174" s="1" t="s">
        <v>74</v>
      </c>
      <c r="H174" s="1" t="s">
        <v>74</v>
      </c>
      <c r="I174" s="1" t="s">
        <v>1722</v>
      </c>
      <c r="J174" s="1" t="s">
        <v>1723</v>
      </c>
      <c r="K174" s="1" t="s">
        <v>74</v>
      </c>
      <c r="L174" s="1" t="s">
        <v>74</v>
      </c>
      <c r="M174" s="1" t="s">
        <v>74</v>
      </c>
      <c r="N174" s="1" t="s">
        <v>74</v>
      </c>
      <c r="O174" s="1" t="s">
        <v>74</v>
      </c>
      <c r="P174" s="1" t="s">
        <v>74</v>
      </c>
      <c r="Q174" s="1" t="s">
        <v>74</v>
      </c>
      <c r="R174" s="1" t="s">
        <v>74</v>
      </c>
      <c r="S174" s="1" t="s">
        <v>74</v>
      </c>
      <c r="T174" s="1" t="s">
        <v>74</v>
      </c>
      <c r="U174" s="1" t="s">
        <v>74</v>
      </c>
      <c r="V174" s="1" t="s">
        <v>74</v>
      </c>
      <c r="W174" s="1" t="s">
        <v>74</v>
      </c>
      <c r="X174" s="1" t="s">
        <v>74</v>
      </c>
      <c r="Y174" s="1" t="s">
        <v>74</v>
      </c>
      <c r="Z174" s="1" t="s">
        <v>74</v>
      </c>
      <c r="AA174" s="1" t="s">
        <v>74</v>
      </c>
      <c r="AB174" s="1" t="s">
        <v>74</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1724</v>
      </c>
      <c r="AP174" s="1" t="s">
        <v>74</v>
      </c>
      <c r="AQ174" s="1" t="s">
        <v>74</v>
      </c>
      <c r="AR174" s="1" t="s">
        <v>74</v>
      </c>
      <c r="AS174" s="1" t="s">
        <v>74</v>
      </c>
      <c r="AT174" s="1" t="s">
        <v>818</v>
      </c>
      <c r="AU174" s="1">
        <v>1994.0</v>
      </c>
      <c r="AV174" s="1">
        <v>6.0</v>
      </c>
      <c r="AW174" s="1">
        <v>1.0</v>
      </c>
      <c r="AX174" s="1" t="s">
        <v>74</v>
      </c>
      <c r="AY174" s="1" t="s">
        <v>74</v>
      </c>
      <c r="AZ174" s="1" t="s">
        <v>74</v>
      </c>
      <c r="BA174" s="1" t="s">
        <v>74</v>
      </c>
      <c r="BB174" s="1">
        <v>83.0</v>
      </c>
      <c r="BC174" s="1">
        <v>83.0</v>
      </c>
      <c r="BD174" s="1" t="s">
        <v>74</v>
      </c>
      <c r="BE174" s="1" t="s">
        <v>1725</v>
      </c>
      <c r="BF174" s="2" t="str">
        <f>HYPERLINK("http://dx.doi.org/10.1007/BF02185910","http://dx.doi.org/10.1007/BF02185910")</f>
        <v>http://dx.doi.org/10.1007/BF02185910</v>
      </c>
      <c r="BG174" s="1" t="s">
        <v>74</v>
      </c>
      <c r="BH174" s="1" t="s">
        <v>74</v>
      </c>
      <c r="BI174" s="1" t="s">
        <v>74</v>
      </c>
      <c r="BJ174" s="1" t="s">
        <v>74</v>
      </c>
      <c r="BK174" s="1" t="s">
        <v>74</v>
      </c>
      <c r="BL174" s="1" t="s">
        <v>74</v>
      </c>
      <c r="BM174" s="1" t="s">
        <v>74</v>
      </c>
      <c r="BN174" s="1" t="s">
        <v>74</v>
      </c>
      <c r="BO174" s="1" t="s">
        <v>74</v>
      </c>
      <c r="BP174" s="1" t="s">
        <v>74</v>
      </c>
      <c r="BQ174" s="1" t="s">
        <v>74</v>
      </c>
      <c r="BR174" s="1" t="s">
        <v>74</v>
      </c>
      <c r="BS174" s="1" t="s">
        <v>1726</v>
      </c>
      <c r="BT174" s="1" t="str">
        <f>HYPERLINK("https%3A%2F%2Fwww.webofscience.com%2Fwos%2Fwoscc%2Ffull-record%2FWOS:A1994NC72200014","View Full Record in Web of Science")</f>
        <v>View Full Record in Web of Science</v>
      </c>
    </row>
    <row r="175" ht="12.75" customHeight="1">
      <c r="A175" s="1" t="s">
        <v>72</v>
      </c>
      <c r="B175" s="1" t="s">
        <v>1727</v>
      </c>
      <c r="C175" s="1" t="s">
        <v>74</v>
      </c>
      <c r="D175" s="1" t="s">
        <v>74</v>
      </c>
      <c r="E175" s="1" t="s">
        <v>74</v>
      </c>
      <c r="F175" s="1" t="s">
        <v>1727</v>
      </c>
      <c r="G175" s="1" t="s">
        <v>74</v>
      </c>
      <c r="H175" s="1" t="s">
        <v>74</v>
      </c>
      <c r="I175" s="1" t="s">
        <v>1728</v>
      </c>
      <c r="J175" s="1" t="s">
        <v>1729</v>
      </c>
      <c r="K175" s="1" t="s">
        <v>74</v>
      </c>
      <c r="L175" s="1" t="s">
        <v>74</v>
      </c>
      <c r="M175" s="1" t="s">
        <v>74</v>
      </c>
      <c r="N175" s="1" t="s">
        <v>74</v>
      </c>
      <c r="O175" s="1" t="s">
        <v>74</v>
      </c>
      <c r="P175" s="1" t="s">
        <v>74</v>
      </c>
      <c r="Q175" s="1" t="s">
        <v>74</v>
      </c>
      <c r="R175" s="1" t="s">
        <v>74</v>
      </c>
      <c r="S175" s="1" t="s">
        <v>74</v>
      </c>
      <c r="T175" s="1" t="s">
        <v>74</v>
      </c>
      <c r="U175" s="1" t="s">
        <v>74</v>
      </c>
      <c r="V175" s="1" t="s">
        <v>74</v>
      </c>
      <c r="W175" s="1" t="s">
        <v>74</v>
      </c>
      <c r="X175" s="1" t="s">
        <v>74</v>
      </c>
      <c r="Y175" s="1" t="s">
        <v>74</v>
      </c>
      <c r="Z175" s="1" t="s">
        <v>74</v>
      </c>
      <c r="AA175" s="1" t="s">
        <v>74</v>
      </c>
      <c r="AB175" s="1" t="s">
        <v>74</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1730</v>
      </c>
      <c r="AP175" s="1" t="s">
        <v>74</v>
      </c>
      <c r="AQ175" s="1" t="s">
        <v>74</v>
      </c>
      <c r="AR175" s="1" t="s">
        <v>74</v>
      </c>
      <c r="AS175" s="1" t="s">
        <v>74</v>
      </c>
      <c r="AT175" s="1" t="s">
        <v>276</v>
      </c>
      <c r="AU175" s="1">
        <v>1989.0</v>
      </c>
      <c r="AV175" s="1">
        <v>37.0</v>
      </c>
      <c r="AW175" s="1">
        <v>5.0</v>
      </c>
      <c r="AX175" s="1" t="s">
        <v>74</v>
      </c>
      <c r="AY175" s="1" t="s">
        <v>74</v>
      </c>
      <c r="AZ175" s="1" t="s">
        <v>74</v>
      </c>
      <c r="BA175" s="1" t="s">
        <v>74</v>
      </c>
      <c r="BB175" s="1">
        <v>493.0</v>
      </c>
      <c r="BC175" s="1">
        <v>496.0</v>
      </c>
      <c r="BD175" s="1" t="s">
        <v>74</v>
      </c>
      <c r="BE175" s="1" t="s">
        <v>74</v>
      </c>
      <c r="BF175" s="1" t="s">
        <v>74</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1731</v>
      </c>
      <c r="BT175" s="1" t="str">
        <f>HYPERLINK("https%3A%2F%2Fwww.webofscience.com%2Fwos%2Fwoscc%2Ffull-record%2FWOS:A1989AH48800016","View Full Record in Web of Science")</f>
        <v>View Full Record in Web of Science</v>
      </c>
    </row>
    <row r="176" ht="12.75" customHeight="1">
      <c r="A176" s="1" t="s">
        <v>72</v>
      </c>
      <c r="B176" s="1" t="s">
        <v>1732</v>
      </c>
      <c r="C176" s="1" t="s">
        <v>74</v>
      </c>
      <c r="D176" s="1" t="s">
        <v>74</v>
      </c>
      <c r="E176" s="1" t="s">
        <v>74</v>
      </c>
      <c r="F176" s="1" t="s">
        <v>1732</v>
      </c>
      <c r="G176" s="1" t="s">
        <v>74</v>
      </c>
      <c r="H176" s="1" t="s">
        <v>74</v>
      </c>
      <c r="I176" s="1" t="s">
        <v>1733</v>
      </c>
      <c r="J176" s="1" t="s">
        <v>748</v>
      </c>
      <c r="K176" s="1" t="s">
        <v>74</v>
      </c>
      <c r="L176" s="1" t="s">
        <v>74</v>
      </c>
      <c r="M176" s="1" t="s">
        <v>74</v>
      </c>
      <c r="N176" s="1" t="s">
        <v>74</v>
      </c>
      <c r="O176" s="1" t="s">
        <v>74</v>
      </c>
      <c r="P176" s="1" t="s">
        <v>74</v>
      </c>
      <c r="Q176" s="1" t="s">
        <v>74</v>
      </c>
      <c r="R176" s="1" t="s">
        <v>74</v>
      </c>
      <c r="S176" s="1" t="s">
        <v>74</v>
      </c>
      <c r="T176" s="1" t="s">
        <v>74</v>
      </c>
      <c r="U176" s="1" t="s">
        <v>74</v>
      </c>
      <c r="V176" s="1" t="s">
        <v>74</v>
      </c>
      <c r="W176" s="1" t="s">
        <v>74</v>
      </c>
      <c r="X176" s="1" t="s">
        <v>74</v>
      </c>
      <c r="Y176" s="1" t="s">
        <v>74</v>
      </c>
      <c r="Z176" s="1" t="s">
        <v>74</v>
      </c>
      <c r="AA176" s="1" t="s">
        <v>74</v>
      </c>
      <c r="AB176" s="1" t="s">
        <v>74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750</v>
      </c>
      <c r="AP176" s="1" t="s">
        <v>74</v>
      </c>
      <c r="AQ176" s="1" t="s">
        <v>74</v>
      </c>
      <c r="AR176" s="1" t="s">
        <v>74</v>
      </c>
      <c r="AS176" s="1" t="s">
        <v>74</v>
      </c>
      <c r="AT176" s="1" t="s">
        <v>158</v>
      </c>
      <c r="AU176" s="1">
        <v>1989.0</v>
      </c>
      <c r="AV176" s="1">
        <v>34.0</v>
      </c>
      <c r="AW176" s="1">
        <v>3.0</v>
      </c>
      <c r="AX176" s="1" t="s">
        <v>74</v>
      </c>
      <c r="AY176" s="1" t="s">
        <v>74</v>
      </c>
      <c r="AZ176" s="1" t="s">
        <v>74</v>
      </c>
      <c r="BA176" s="1" t="s">
        <v>74</v>
      </c>
      <c r="BB176" s="1">
        <v>201.0</v>
      </c>
      <c r="BC176" s="1">
        <v>211.0</v>
      </c>
      <c r="BD176" s="1" t="s">
        <v>74</v>
      </c>
      <c r="BE176" s="1" t="s">
        <v>74</v>
      </c>
      <c r="BF176" s="1" t="s">
        <v>74</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1734</v>
      </c>
      <c r="BT176" s="1" t="str">
        <f>HYPERLINK("https%3A%2F%2Fwww.webofscience.com%2Fwos%2Fwoscc%2Ffull-record%2FWOS:A1989AQ10300007","View Full Record in Web of Science")</f>
        <v>View Full Record in Web of Science</v>
      </c>
    </row>
    <row r="177" ht="12.75" customHeight="1">
      <c r="A177" s="1" t="s">
        <v>72</v>
      </c>
      <c r="B177" s="1" t="s">
        <v>1735</v>
      </c>
      <c r="C177" s="1" t="s">
        <v>74</v>
      </c>
      <c r="D177" s="1" t="s">
        <v>74</v>
      </c>
      <c r="E177" s="1" t="s">
        <v>74</v>
      </c>
      <c r="F177" s="1" t="s">
        <v>1735</v>
      </c>
      <c r="G177" s="1" t="s">
        <v>74</v>
      </c>
      <c r="H177" s="1" t="s">
        <v>74</v>
      </c>
      <c r="I177" s="1" t="s">
        <v>1736</v>
      </c>
      <c r="J177" s="1" t="s">
        <v>1737</v>
      </c>
      <c r="K177" s="1" t="s">
        <v>74</v>
      </c>
      <c r="L177" s="1" t="s">
        <v>74</v>
      </c>
      <c r="M177" s="1" t="s">
        <v>74</v>
      </c>
      <c r="N177" s="1" t="s">
        <v>74</v>
      </c>
      <c r="O177" s="1" t="s">
        <v>74</v>
      </c>
      <c r="P177" s="1" t="s">
        <v>74</v>
      </c>
      <c r="Q177" s="1" t="s">
        <v>74</v>
      </c>
      <c r="R177" s="1" t="s">
        <v>74</v>
      </c>
      <c r="S177" s="1" t="s">
        <v>74</v>
      </c>
      <c r="T177" s="1" t="s">
        <v>74</v>
      </c>
      <c r="U177" s="1" t="s">
        <v>74</v>
      </c>
      <c r="V177" s="1" t="s">
        <v>1738</v>
      </c>
      <c r="W177" s="1" t="s">
        <v>74</v>
      </c>
      <c r="X177" s="1" t="s">
        <v>74</v>
      </c>
      <c r="Y177" s="1" t="s">
        <v>74</v>
      </c>
      <c r="Z177" s="1" t="s">
        <v>74</v>
      </c>
      <c r="AA177" s="1" t="s">
        <v>74</v>
      </c>
      <c r="AB177" s="1" t="s">
        <v>74</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1739</v>
      </c>
      <c r="AP177" s="1" t="s">
        <v>1740</v>
      </c>
      <c r="AQ177" s="1" t="s">
        <v>74</v>
      </c>
      <c r="AR177" s="1" t="s">
        <v>74</v>
      </c>
      <c r="AS177" s="1" t="s">
        <v>74</v>
      </c>
      <c r="AT177" s="1" t="s">
        <v>818</v>
      </c>
      <c r="AU177" s="1">
        <v>1988.0</v>
      </c>
      <c r="AV177" s="1">
        <v>41.0</v>
      </c>
      <c r="AW177" s="1" t="s">
        <v>945</v>
      </c>
      <c r="AX177" s="1" t="s">
        <v>74</v>
      </c>
      <c r="AY177" s="1" t="s">
        <v>74</v>
      </c>
      <c r="AZ177" s="1" t="s">
        <v>74</v>
      </c>
      <c r="BA177" s="1" t="s">
        <v>74</v>
      </c>
      <c r="BB177" s="1">
        <v>275.0</v>
      </c>
      <c r="BC177" s="1">
        <v>285.0</v>
      </c>
      <c r="BD177" s="1" t="s">
        <v>74</v>
      </c>
      <c r="BE177" s="1" t="s">
        <v>1741</v>
      </c>
      <c r="BF177" s="2" t="str">
        <f>HYPERLINK("http://dx.doi.org/10.1016/0016-7061(88)90065-1","http://dx.doi.org/10.1016/0016-7061(88)90065-1")</f>
        <v>http://dx.doi.org/10.1016/0016-7061(88)90065-1</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1742</v>
      </c>
      <c r="BT177" s="1" t="str">
        <f>HYPERLINK("https%3A%2F%2Fwww.webofscience.com%2Fwos%2Fwoscc%2Ffull-record%2FWOS:A1988M339900006","View Full Record in Web of Science")</f>
        <v>View Full Record in Web of Science</v>
      </c>
    </row>
    <row r="178" ht="12.75" customHeight="1">
      <c r="A178" s="1" t="s">
        <v>72</v>
      </c>
      <c r="B178" s="1" t="s">
        <v>1743</v>
      </c>
      <c r="C178" s="1" t="s">
        <v>74</v>
      </c>
      <c r="D178" s="1" t="s">
        <v>74</v>
      </c>
      <c r="E178" s="1" t="s">
        <v>74</v>
      </c>
      <c r="F178" s="1" t="s">
        <v>1743</v>
      </c>
      <c r="G178" s="1" t="s">
        <v>74</v>
      </c>
      <c r="H178" s="1" t="s">
        <v>74</v>
      </c>
      <c r="I178" s="1" t="s">
        <v>1744</v>
      </c>
      <c r="J178" s="1" t="s">
        <v>748</v>
      </c>
      <c r="K178" s="1" t="s">
        <v>74</v>
      </c>
      <c r="L178" s="1" t="s">
        <v>74</v>
      </c>
      <c r="M178" s="1" t="s">
        <v>74</v>
      </c>
      <c r="N178" s="1" t="s">
        <v>74</v>
      </c>
      <c r="O178" s="1" t="s">
        <v>74</v>
      </c>
      <c r="P178" s="1" t="s">
        <v>74</v>
      </c>
      <c r="Q178" s="1" t="s">
        <v>74</v>
      </c>
      <c r="R178" s="1" t="s">
        <v>74</v>
      </c>
      <c r="S178" s="1" t="s">
        <v>74</v>
      </c>
      <c r="T178" s="1" t="s">
        <v>74</v>
      </c>
      <c r="U178" s="1" t="s">
        <v>74</v>
      </c>
      <c r="V178" s="1" t="s">
        <v>74</v>
      </c>
      <c r="W178" s="1" t="s">
        <v>74</v>
      </c>
      <c r="X178" s="1" t="s">
        <v>74</v>
      </c>
      <c r="Y178" s="1" t="s">
        <v>74</v>
      </c>
      <c r="Z178" s="1" t="s">
        <v>74</v>
      </c>
      <c r="AA178" s="1" t="s">
        <v>74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750</v>
      </c>
      <c r="AP178" s="1" t="s">
        <v>74</v>
      </c>
      <c r="AQ178" s="1" t="s">
        <v>74</v>
      </c>
      <c r="AR178" s="1" t="s">
        <v>74</v>
      </c>
      <c r="AS178" s="1" t="s">
        <v>74</v>
      </c>
      <c r="AT178" s="1" t="s">
        <v>171</v>
      </c>
      <c r="AU178" s="1">
        <v>1987.0</v>
      </c>
      <c r="AV178" s="1">
        <v>32.0</v>
      </c>
      <c r="AW178" s="1">
        <v>2.0</v>
      </c>
      <c r="AX178" s="1" t="s">
        <v>74</v>
      </c>
      <c r="AY178" s="1" t="s">
        <v>74</v>
      </c>
      <c r="AZ178" s="1" t="s">
        <v>74</v>
      </c>
      <c r="BA178" s="1" t="s">
        <v>74</v>
      </c>
      <c r="BB178" s="1">
        <v>105.0</v>
      </c>
      <c r="BC178" s="1">
        <v>106.0</v>
      </c>
      <c r="BD178" s="1" t="s">
        <v>74</v>
      </c>
      <c r="BE178" s="1" t="s">
        <v>74</v>
      </c>
      <c r="BF178" s="1" t="s">
        <v>74</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1745</v>
      </c>
      <c r="BT178" s="1" t="str">
        <f>HYPERLINK("https%3A%2F%2Fwww.webofscience.com%2Fwos%2Fwoscc%2Ffull-record%2FWOS:A1987H941800007","View Full Record in Web of Science")</f>
        <v>View Full Record in Web of Science</v>
      </c>
    </row>
    <row r="179" ht="12.75" customHeight="1">
      <c r="A179" s="1" t="s">
        <v>72</v>
      </c>
      <c r="B179" s="1" t="s">
        <v>1746</v>
      </c>
      <c r="C179" s="1" t="s">
        <v>74</v>
      </c>
      <c r="D179" s="1" t="s">
        <v>74</v>
      </c>
      <c r="E179" s="1" t="s">
        <v>74</v>
      </c>
      <c r="F179" s="1" t="s">
        <v>1746</v>
      </c>
      <c r="G179" s="1" t="s">
        <v>74</v>
      </c>
      <c r="H179" s="1" t="s">
        <v>74</v>
      </c>
      <c r="I179" s="1" t="s">
        <v>1747</v>
      </c>
      <c r="J179" s="1" t="s">
        <v>574</v>
      </c>
      <c r="K179" s="1" t="s">
        <v>74</v>
      </c>
      <c r="L179" s="1" t="s">
        <v>74</v>
      </c>
      <c r="M179" s="1" t="s">
        <v>74</v>
      </c>
      <c r="N179" s="1" t="s">
        <v>74</v>
      </c>
      <c r="O179" s="1" t="s">
        <v>74</v>
      </c>
      <c r="P179" s="1" t="s">
        <v>74</v>
      </c>
      <c r="Q179" s="1" t="s">
        <v>74</v>
      </c>
      <c r="R179" s="1" t="s">
        <v>74</v>
      </c>
      <c r="S179" s="1" t="s">
        <v>74</v>
      </c>
      <c r="T179" s="1" t="s">
        <v>74</v>
      </c>
      <c r="U179" s="1" t="s">
        <v>74</v>
      </c>
      <c r="V179" s="1" t="s">
        <v>74</v>
      </c>
      <c r="W179" s="1" t="s">
        <v>74</v>
      </c>
      <c r="X179" s="1" t="s">
        <v>74</v>
      </c>
      <c r="Y179" s="1" t="s">
        <v>74</v>
      </c>
      <c r="Z179" s="1" t="s">
        <v>74</v>
      </c>
      <c r="AA179" s="1" t="s">
        <v>74</v>
      </c>
      <c r="AB179" s="1" t="s">
        <v>74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1748</v>
      </c>
      <c r="AP179" s="1" t="s">
        <v>1749</v>
      </c>
      <c r="AQ179" s="1" t="s">
        <v>74</v>
      </c>
      <c r="AR179" s="1" t="s">
        <v>74</v>
      </c>
      <c r="AS179" s="1" t="s">
        <v>74</v>
      </c>
      <c r="AT179" s="1" t="s">
        <v>74</v>
      </c>
      <c r="AU179" s="1">
        <v>1985.0</v>
      </c>
      <c r="AV179" s="1">
        <v>32.0</v>
      </c>
      <c r="AW179" s="1">
        <v>5.0</v>
      </c>
      <c r="AX179" s="1" t="s">
        <v>74</v>
      </c>
      <c r="AY179" s="1" t="s">
        <v>74</v>
      </c>
      <c r="AZ179" s="1" t="s">
        <v>74</v>
      </c>
      <c r="BA179" s="1" t="s">
        <v>74</v>
      </c>
      <c r="BB179" s="1">
        <v>1205.0</v>
      </c>
      <c r="BC179" s="1">
        <v>1213.0</v>
      </c>
      <c r="BD179" s="1" t="s">
        <v>74</v>
      </c>
      <c r="BE179" s="1" t="s">
        <v>1750</v>
      </c>
      <c r="BF179" s="2" t="str">
        <f>HYPERLINK("http://dx.doi.org/10.1103/PhysRevD.32.1205","http://dx.doi.org/10.1103/PhysRevD.32.1205")</f>
        <v>http://dx.doi.org/10.1103/PhysRevD.32.1205</v>
      </c>
      <c r="BG179" s="1" t="s">
        <v>74</v>
      </c>
      <c r="BH179" s="1" t="s">
        <v>74</v>
      </c>
      <c r="BI179" s="1" t="s">
        <v>74</v>
      </c>
      <c r="BJ179" s="1" t="s">
        <v>74</v>
      </c>
      <c r="BK179" s="1" t="s">
        <v>74</v>
      </c>
      <c r="BL179" s="1" t="s">
        <v>74</v>
      </c>
      <c r="BM179" s="1" t="s">
        <v>74</v>
      </c>
      <c r="BN179" s="1">
        <v>9956266.0</v>
      </c>
      <c r="BO179" s="1" t="s">
        <v>74</v>
      </c>
      <c r="BP179" s="1" t="s">
        <v>74</v>
      </c>
      <c r="BQ179" s="1" t="s">
        <v>74</v>
      </c>
      <c r="BR179" s="1" t="s">
        <v>74</v>
      </c>
      <c r="BS179" s="1" t="s">
        <v>1751</v>
      </c>
      <c r="BT179" s="1" t="str">
        <f>HYPERLINK("https%3A%2F%2Fwww.webofscience.com%2Fwos%2Fwoscc%2Ffull-record%2FWOS:A1985APU5100018","View Full Record in Web of Science")</f>
        <v>View Full Record in Web of Science</v>
      </c>
    </row>
    <row r="180" ht="12.75" customHeight="1">
      <c r="A180" s="1" t="s">
        <v>72</v>
      </c>
      <c r="B180" s="1" t="s">
        <v>1752</v>
      </c>
      <c r="C180" s="1" t="s">
        <v>74</v>
      </c>
      <c r="D180" s="1" t="s">
        <v>74</v>
      </c>
      <c r="E180" s="1" t="s">
        <v>74</v>
      </c>
      <c r="F180" s="1" t="s">
        <v>1752</v>
      </c>
      <c r="G180" s="1" t="s">
        <v>74</v>
      </c>
      <c r="H180" s="1" t="s">
        <v>74</v>
      </c>
      <c r="I180" s="1" t="s">
        <v>1753</v>
      </c>
      <c r="J180" s="1" t="s">
        <v>924</v>
      </c>
      <c r="K180" s="1" t="s">
        <v>74</v>
      </c>
      <c r="L180" s="1" t="s">
        <v>74</v>
      </c>
      <c r="M180" s="1" t="s">
        <v>74</v>
      </c>
      <c r="N180" s="1" t="s">
        <v>74</v>
      </c>
      <c r="O180" s="1" t="s">
        <v>74</v>
      </c>
      <c r="P180" s="1" t="s">
        <v>74</v>
      </c>
      <c r="Q180" s="1" t="s">
        <v>74</v>
      </c>
      <c r="R180" s="1" t="s">
        <v>74</v>
      </c>
      <c r="S180" s="1" t="s">
        <v>74</v>
      </c>
      <c r="T180" s="1" t="s">
        <v>74</v>
      </c>
      <c r="U180" s="1" t="s">
        <v>74</v>
      </c>
      <c r="V180" s="1" t="s">
        <v>74</v>
      </c>
      <c r="W180" s="1" t="s">
        <v>74</v>
      </c>
      <c r="X180" s="1" t="s">
        <v>74</v>
      </c>
      <c r="Y180" s="1" t="s">
        <v>74</v>
      </c>
      <c r="Z180" s="1" t="s">
        <v>74</v>
      </c>
      <c r="AA180" s="1" t="s">
        <v>74</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925</v>
      </c>
      <c r="AP180" s="1" t="s">
        <v>74</v>
      </c>
      <c r="AQ180" s="1" t="s">
        <v>74</v>
      </c>
      <c r="AR180" s="1" t="s">
        <v>74</v>
      </c>
      <c r="AS180" s="1" t="s">
        <v>74</v>
      </c>
      <c r="AT180" s="1" t="s">
        <v>74</v>
      </c>
      <c r="AU180" s="1">
        <v>1983.0</v>
      </c>
      <c r="AV180" s="1">
        <v>16.0</v>
      </c>
      <c r="AW180" s="1">
        <v>1.0</v>
      </c>
      <c r="AX180" s="1" t="s">
        <v>74</v>
      </c>
      <c r="AY180" s="1" t="s">
        <v>74</v>
      </c>
      <c r="AZ180" s="1" t="s">
        <v>74</v>
      </c>
      <c r="BA180" s="1" t="s">
        <v>74</v>
      </c>
      <c r="BB180" s="1" t="s">
        <v>1754</v>
      </c>
      <c r="BC180" s="1" t="s">
        <v>1754</v>
      </c>
      <c r="BD180" s="1" t="s">
        <v>74</v>
      </c>
      <c r="BE180" s="1" t="s">
        <v>74</v>
      </c>
      <c r="BF180" s="1" t="s">
        <v>74</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1755</v>
      </c>
      <c r="BT180" s="1" t="str">
        <f>HYPERLINK("https%3A%2F%2Fwww.webofscience.com%2Fwos%2Fwoscc%2Ffull-record%2FWOS:A1983RG77100066","View Full Record in Web of Science")</f>
        <v>View Full Record in Web of Science</v>
      </c>
    </row>
    <row r="181" ht="12.75" customHeight="1">
      <c r="A181" s="1" t="s">
        <v>72</v>
      </c>
      <c r="B181" s="1" t="s">
        <v>1756</v>
      </c>
      <c r="C181" s="1" t="s">
        <v>74</v>
      </c>
      <c r="D181" s="1" t="s">
        <v>74</v>
      </c>
      <c r="E181" s="1" t="s">
        <v>74</v>
      </c>
      <c r="F181" s="1" t="s">
        <v>1756</v>
      </c>
      <c r="G181" s="1" t="s">
        <v>74</v>
      </c>
      <c r="H181" s="1" t="s">
        <v>74</v>
      </c>
      <c r="I181" s="1" t="s">
        <v>1757</v>
      </c>
      <c r="J181" s="1" t="s">
        <v>1758</v>
      </c>
      <c r="K181" s="1" t="s">
        <v>74</v>
      </c>
      <c r="L181" s="1" t="s">
        <v>74</v>
      </c>
      <c r="M181" s="1" t="s">
        <v>74</v>
      </c>
      <c r="N181" s="1" t="s">
        <v>74</v>
      </c>
      <c r="O181" s="1" t="s">
        <v>74</v>
      </c>
      <c r="P181" s="1" t="s">
        <v>74</v>
      </c>
      <c r="Q181" s="1" t="s">
        <v>74</v>
      </c>
      <c r="R181" s="1" t="s">
        <v>74</v>
      </c>
      <c r="S181" s="1" t="s">
        <v>74</v>
      </c>
      <c r="T181" s="1" t="s">
        <v>74</v>
      </c>
      <c r="U181" s="1" t="s">
        <v>74</v>
      </c>
      <c r="V181" s="1" t="s">
        <v>74</v>
      </c>
      <c r="W181" s="1" t="s">
        <v>74</v>
      </c>
      <c r="X181" s="1" t="s">
        <v>74</v>
      </c>
      <c r="Y181" s="1" t="s">
        <v>74</v>
      </c>
      <c r="Z181" s="1" t="s">
        <v>74</v>
      </c>
      <c r="AA181" s="1" t="s">
        <v>74</v>
      </c>
      <c r="AB181" s="1" t="s">
        <v>74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1759</v>
      </c>
      <c r="AP181" s="1" t="s">
        <v>74</v>
      </c>
      <c r="AQ181" s="1" t="s">
        <v>74</v>
      </c>
      <c r="AR181" s="1" t="s">
        <v>74</v>
      </c>
      <c r="AS181" s="1" t="s">
        <v>74</v>
      </c>
      <c r="AT181" s="1" t="s">
        <v>74</v>
      </c>
      <c r="AU181" s="1">
        <v>1982.0</v>
      </c>
      <c r="AV181" s="1" t="s">
        <v>74</v>
      </c>
      <c r="AW181" s="1">
        <v>9.0</v>
      </c>
      <c r="AX181" s="1" t="s">
        <v>74</v>
      </c>
      <c r="AY181" s="1" t="s">
        <v>74</v>
      </c>
      <c r="AZ181" s="1" t="s">
        <v>74</v>
      </c>
      <c r="BA181" s="1" t="s">
        <v>74</v>
      </c>
      <c r="BB181" s="1">
        <v>478.0</v>
      </c>
      <c r="BC181" s="1">
        <v>479.0</v>
      </c>
      <c r="BD181" s="1" t="s">
        <v>74</v>
      </c>
      <c r="BE181" s="1" t="s">
        <v>1760</v>
      </c>
      <c r="BF181" s="2" t="str">
        <f>HYPERLINK("http://dx.doi.org/10.1039/c39820000478","http://dx.doi.org/10.1039/c39820000478")</f>
        <v>http://dx.doi.org/10.1039/c39820000478</v>
      </c>
      <c r="BG181" s="1" t="s">
        <v>74</v>
      </c>
      <c r="BH181" s="1" t="s">
        <v>74</v>
      </c>
      <c r="BI181" s="1" t="s">
        <v>74</v>
      </c>
      <c r="BJ181" s="1" t="s">
        <v>74</v>
      </c>
      <c r="BK181" s="1" t="s">
        <v>74</v>
      </c>
      <c r="BL181" s="1" t="s">
        <v>74</v>
      </c>
      <c r="BM181" s="1" t="s">
        <v>74</v>
      </c>
      <c r="BN181" s="1" t="s">
        <v>74</v>
      </c>
      <c r="BO181" s="1" t="s">
        <v>74</v>
      </c>
      <c r="BP181" s="1" t="s">
        <v>74</v>
      </c>
      <c r="BQ181" s="1" t="s">
        <v>74</v>
      </c>
      <c r="BR181" s="1" t="s">
        <v>74</v>
      </c>
      <c r="BS181" s="1" t="s">
        <v>1761</v>
      </c>
      <c r="BT181" s="1" t="str">
        <f>HYPERLINK("https%3A%2F%2Fwww.webofscience.com%2Fwos%2Fwoscc%2Ffull-record%2FWOS:A1982NN29000004","View Full Record in Web of Science")</f>
        <v>View Full Record in Web of Science</v>
      </c>
    </row>
    <row r="182" ht="12.75" customHeight="1">
      <c r="A182" s="1" t="s">
        <v>72</v>
      </c>
      <c r="B182" s="1" t="s">
        <v>1762</v>
      </c>
      <c r="C182" s="1" t="s">
        <v>74</v>
      </c>
      <c r="D182" s="1" t="s">
        <v>74</v>
      </c>
      <c r="E182" s="1" t="s">
        <v>74</v>
      </c>
      <c r="F182" s="1" t="s">
        <v>1763</v>
      </c>
      <c r="G182" s="1" t="s">
        <v>74</v>
      </c>
      <c r="H182" s="1" t="s">
        <v>74</v>
      </c>
      <c r="I182" s="1" t="s">
        <v>1764</v>
      </c>
      <c r="J182" s="1" t="s">
        <v>1765</v>
      </c>
      <c r="K182" s="1" t="s">
        <v>74</v>
      </c>
      <c r="L182" s="1" t="s">
        <v>74</v>
      </c>
      <c r="M182" s="1" t="s">
        <v>74</v>
      </c>
      <c r="N182" s="1" t="s">
        <v>74</v>
      </c>
      <c r="O182" s="1" t="s">
        <v>74</v>
      </c>
      <c r="P182" s="1" t="s">
        <v>74</v>
      </c>
      <c r="Q182" s="1" t="s">
        <v>74</v>
      </c>
      <c r="R182" s="1" t="s">
        <v>74</v>
      </c>
      <c r="S182" s="1" t="s">
        <v>74</v>
      </c>
      <c r="T182" s="1" t="s">
        <v>74</v>
      </c>
      <c r="U182" s="1" t="s">
        <v>74</v>
      </c>
      <c r="V182" s="1" t="s">
        <v>1766</v>
      </c>
      <c r="W182" s="1" t="s">
        <v>74</v>
      </c>
      <c r="X182" s="1" t="s">
        <v>74</v>
      </c>
      <c r="Y182" s="1" t="s">
        <v>74</v>
      </c>
      <c r="Z182" s="1" t="s">
        <v>74</v>
      </c>
      <c r="AA182" s="1" t="s">
        <v>74</v>
      </c>
      <c r="AB182" s="1" t="s">
        <v>74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1767</v>
      </c>
      <c r="AP182" s="1" t="s">
        <v>1768</v>
      </c>
      <c r="AQ182" s="1" t="s">
        <v>74</v>
      </c>
      <c r="AR182" s="1" t="s">
        <v>74</v>
      </c>
      <c r="AS182" s="1" t="s">
        <v>74</v>
      </c>
      <c r="AT182" s="1" t="s">
        <v>1769</v>
      </c>
      <c r="AU182" s="1">
        <v>2025.0</v>
      </c>
      <c r="AV182" s="1">
        <v>159.0</v>
      </c>
      <c r="AW182" s="1" t="s">
        <v>74</v>
      </c>
      <c r="AX182" s="1" t="s">
        <v>74</v>
      </c>
      <c r="AY182" s="1" t="s">
        <v>74</v>
      </c>
      <c r="AZ182" s="1" t="s">
        <v>74</v>
      </c>
      <c r="BA182" s="1" t="s">
        <v>74</v>
      </c>
      <c r="BB182" s="1" t="s">
        <v>74</v>
      </c>
      <c r="BC182" s="1" t="s">
        <v>74</v>
      </c>
      <c r="BD182" s="1">
        <v>108398.0</v>
      </c>
      <c r="BE182" s="1" t="s">
        <v>1770</v>
      </c>
      <c r="BF182" s="2" t="str">
        <f>HYPERLINK("http://dx.doi.org/10.1016/j.bioorg.2025.108398","http://dx.doi.org/10.1016/j.bioorg.2025.108398")</f>
        <v>http://dx.doi.org/10.1016/j.bioorg.2025.108398</v>
      </c>
      <c r="BG182" s="1" t="s">
        <v>74</v>
      </c>
      <c r="BH182" s="1" t="s">
        <v>1771</v>
      </c>
      <c r="BI182" s="1" t="s">
        <v>74</v>
      </c>
      <c r="BJ182" s="1" t="s">
        <v>74</v>
      </c>
      <c r="BK182" s="1" t="s">
        <v>74</v>
      </c>
      <c r="BL182" s="1" t="s">
        <v>74</v>
      </c>
      <c r="BM182" s="1" t="s">
        <v>74</v>
      </c>
      <c r="BN182" s="1">
        <v>4.017453E7</v>
      </c>
      <c r="BO182" s="1" t="s">
        <v>74</v>
      </c>
      <c r="BP182" s="1" t="s">
        <v>74</v>
      </c>
      <c r="BQ182" s="1" t="s">
        <v>74</v>
      </c>
      <c r="BR182" s="1" t="s">
        <v>74</v>
      </c>
      <c r="BS182" s="1" t="s">
        <v>1772</v>
      </c>
      <c r="BT182" s="1" t="str">
        <f>HYPERLINK("https%3A%2F%2Fwww.webofscience.com%2Fwos%2Fwoscc%2Ffull-record%2FWOS:001461585800001","View Full Record in Web of Science")</f>
        <v>View Full Record in Web of Science</v>
      </c>
    </row>
    <row r="183" ht="12.75" customHeight="1">
      <c r="A183" s="1" t="s">
        <v>72</v>
      </c>
      <c r="B183" s="1" t="s">
        <v>1773</v>
      </c>
      <c r="C183" s="1" t="s">
        <v>74</v>
      </c>
      <c r="D183" s="1" t="s">
        <v>74</v>
      </c>
      <c r="E183" s="1" t="s">
        <v>74</v>
      </c>
      <c r="F183" s="1" t="s">
        <v>1774</v>
      </c>
      <c r="G183" s="1" t="s">
        <v>74</v>
      </c>
      <c r="H183" s="1" t="s">
        <v>74</v>
      </c>
      <c r="I183" s="1" t="s">
        <v>1775</v>
      </c>
      <c r="J183" s="1" t="s">
        <v>1776</v>
      </c>
      <c r="K183" s="1" t="s">
        <v>74</v>
      </c>
      <c r="L183" s="1" t="s">
        <v>74</v>
      </c>
      <c r="M183" s="1" t="s">
        <v>74</v>
      </c>
      <c r="N183" s="1" t="s">
        <v>74</v>
      </c>
      <c r="O183" s="1" t="s">
        <v>74</v>
      </c>
      <c r="P183" s="1" t="s">
        <v>74</v>
      </c>
      <c r="Q183" s="1" t="s">
        <v>74</v>
      </c>
      <c r="R183" s="1" t="s">
        <v>74</v>
      </c>
      <c r="S183" s="1" t="s">
        <v>74</v>
      </c>
      <c r="T183" s="1" t="s">
        <v>74</v>
      </c>
      <c r="U183" s="1" t="s">
        <v>74</v>
      </c>
      <c r="V183" s="1" t="s">
        <v>1777</v>
      </c>
      <c r="W183" s="1" t="s">
        <v>74</v>
      </c>
      <c r="X183" s="1" t="s">
        <v>74</v>
      </c>
      <c r="Y183" s="1" t="s">
        <v>74</v>
      </c>
      <c r="Z183" s="1" t="s">
        <v>74</v>
      </c>
      <c r="AA183" s="1" t="s">
        <v>119</v>
      </c>
      <c r="AB183" s="1" t="s">
        <v>1778</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1779</v>
      </c>
      <c r="AP183" s="1" t="s">
        <v>1780</v>
      </c>
      <c r="AQ183" s="1" t="s">
        <v>74</v>
      </c>
      <c r="AR183" s="1" t="s">
        <v>74</v>
      </c>
      <c r="AS183" s="1" t="s">
        <v>74</v>
      </c>
      <c r="AT183" s="1" t="s">
        <v>193</v>
      </c>
      <c r="AU183" s="1">
        <v>2025.0</v>
      </c>
      <c r="AV183" s="1">
        <v>185.0</v>
      </c>
      <c r="AW183" s="1" t="s">
        <v>74</v>
      </c>
      <c r="AX183" s="1" t="s">
        <v>74</v>
      </c>
      <c r="AY183" s="1" t="s">
        <v>74</v>
      </c>
      <c r="AZ183" s="1" t="s">
        <v>74</v>
      </c>
      <c r="BA183" s="1" t="s">
        <v>74</v>
      </c>
      <c r="BB183" s="1" t="s">
        <v>74</v>
      </c>
      <c r="BC183" s="1" t="s">
        <v>74</v>
      </c>
      <c r="BD183" s="1">
        <v>105118.0</v>
      </c>
      <c r="BE183" s="1" t="s">
        <v>1781</v>
      </c>
      <c r="BF183" s="2" t="str">
        <f>HYPERLINK("http://dx.doi.org/10.1016/j.ijmultiphaseflow.2024.105118","http://dx.doi.org/10.1016/j.ijmultiphaseflow.2024.105118")</f>
        <v>http://dx.doi.org/10.1016/j.ijmultiphaseflow.2024.105118</v>
      </c>
      <c r="BG183" s="1" t="s">
        <v>74</v>
      </c>
      <c r="BH183" s="1" t="s">
        <v>1782</v>
      </c>
      <c r="BI183" s="1" t="s">
        <v>74</v>
      </c>
      <c r="BJ183" s="1" t="s">
        <v>74</v>
      </c>
      <c r="BK183" s="1" t="s">
        <v>74</v>
      </c>
      <c r="BL183" s="1" t="s">
        <v>74</v>
      </c>
      <c r="BM183" s="1" t="s">
        <v>74</v>
      </c>
      <c r="BN183" s="1" t="s">
        <v>74</v>
      </c>
      <c r="BO183" s="1" t="s">
        <v>74</v>
      </c>
      <c r="BP183" s="1" t="s">
        <v>74</v>
      </c>
      <c r="BQ183" s="1" t="s">
        <v>74</v>
      </c>
      <c r="BR183" s="1" t="s">
        <v>74</v>
      </c>
      <c r="BS183" s="1" t="s">
        <v>1783</v>
      </c>
      <c r="BT183" s="1" t="str">
        <f>HYPERLINK("https%3A%2F%2Fwww.webofscience.com%2Fwos%2Fwoscc%2Ffull-record%2FWOS:001397708500001","View Full Record in Web of Science")</f>
        <v>View Full Record in Web of Science</v>
      </c>
    </row>
    <row r="184" ht="12.75" customHeight="1">
      <c r="A184" s="1" t="s">
        <v>72</v>
      </c>
      <c r="B184" s="1" t="s">
        <v>1784</v>
      </c>
      <c r="C184" s="1" t="s">
        <v>74</v>
      </c>
      <c r="D184" s="1" t="s">
        <v>74</v>
      </c>
      <c r="E184" s="1" t="s">
        <v>74</v>
      </c>
      <c r="F184" s="1" t="s">
        <v>1785</v>
      </c>
      <c r="G184" s="1" t="s">
        <v>74</v>
      </c>
      <c r="H184" s="1" t="s">
        <v>74</v>
      </c>
      <c r="I184" s="1" t="s">
        <v>1786</v>
      </c>
      <c r="J184" s="1" t="s">
        <v>1036</v>
      </c>
      <c r="K184" s="1" t="s">
        <v>74</v>
      </c>
      <c r="L184" s="1" t="s">
        <v>74</v>
      </c>
      <c r="M184" s="1" t="s">
        <v>74</v>
      </c>
      <c r="N184" s="1" t="s">
        <v>74</v>
      </c>
      <c r="O184" s="1" t="s">
        <v>74</v>
      </c>
      <c r="P184" s="1" t="s">
        <v>74</v>
      </c>
      <c r="Q184" s="1" t="s">
        <v>74</v>
      </c>
      <c r="R184" s="1" t="s">
        <v>74</v>
      </c>
      <c r="S184" s="1" t="s">
        <v>74</v>
      </c>
      <c r="T184" s="1" t="s">
        <v>74</v>
      </c>
      <c r="U184" s="1" t="s">
        <v>74</v>
      </c>
      <c r="V184" s="1" t="s">
        <v>1787</v>
      </c>
      <c r="W184" s="1" t="s">
        <v>74</v>
      </c>
      <c r="X184" s="1" t="s">
        <v>74</v>
      </c>
      <c r="Y184" s="1" t="s">
        <v>74</v>
      </c>
      <c r="Z184" s="1" t="s">
        <v>74</v>
      </c>
      <c r="AA184" s="1" t="s">
        <v>1788</v>
      </c>
      <c r="AB184" s="1" t="s">
        <v>1789</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74</v>
      </c>
      <c r="AP184" s="1" t="s">
        <v>1040</v>
      </c>
      <c r="AQ184" s="1" t="s">
        <v>74</v>
      </c>
      <c r="AR184" s="1" t="s">
        <v>74</v>
      </c>
      <c r="AS184" s="1" t="s">
        <v>74</v>
      </c>
      <c r="AT184" s="1" t="s">
        <v>123</v>
      </c>
      <c r="AU184" s="1">
        <v>2025.0</v>
      </c>
      <c r="AV184" s="1">
        <v>15.0</v>
      </c>
      <c r="AW184" s="1">
        <v>2.0</v>
      </c>
      <c r="AX184" s="1" t="s">
        <v>74</v>
      </c>
      <c r="AY184" s="1" t="s">
        <v>74</v>
      </c>
      <c r="AZ184" s="1" t="s">
        <v>74</v>
      </c>
      <c r="BA184" s="1" t="s">
        <v>74</v>
      </c>
      <c r="BB184" s="1" t="s">
        <v>74</v>
      </c>
      <c r="BC184" s="1" t="s">
        <v>74</v>
      </c>
      <c r="BD184" s="1">
        <v>200.0</v>
      </c>
      <c r="BE184" s="1" t="s">
        <v>1790</v>
      </c>
      <c r="BF184" s="2" t="str">
        <f>HYPERLINK("http://dx.doi.org/10.3390/buildings15020200","http://dx.doi.org/10.3390/buildings15020200")</f>
        <v>http://dx.doi.org/10.3390/buildings15020200</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1791</v>
      </c>
      <c r="BT184" s="1" t="str">
        <f>HYPERLINK("https%3A%2F%2Fwww.webofscience.com%2Fwos%2Fwoscc%2Ffull-record%2FWOS:001404644700001","View Full Record in Web of Science")</f>
        <v>View Full Record in Web of Science</v>
      </c>
    </row>
    <row r="185" ht="12.75" customHeight="1">
      <c r="A185" s="1" t="s">
        <v>72</v>
      </c>
      <c r="B185" s="1" t="s">
        <v>1792</v>
      </c>
      <c r="C185" s="1" t="s">
        <v>74</v>
      </c>
      <c r="D185" s="1" t="s">
        <v>74</v>
      </c>
      <c r="E185" s="1" t="s">
        <v>74</v>
      </c>
      <c r="F185" s="1" t="s">
        <v>1793</v>
      </c>
      <c r="G185" s="1" t="s">
        <v>74</v>
      </c>
      <c r="H185" s="1" t="s">
        <v>74</v>
      </c>
      <c r="I185" s="1" t="s">
        <v>1794</v>
      </c>
      <c r="J185" s="1" t="s">
        <v>1795</v>
      </c>
      <c r="K185" s="1" t="s">
        <v>74</v>
      </c>
      <c r="L185" s="1" t="s">
        <v>74</v>
      </c>
      <c r="M185" s="1" t="s">
        <v>74</v>
      </c>
      <c r="N185" s="1" t="s">
        <v>74</v>
      </c>
      <c r="O185" s="1" t="s">
        <v>74</v>
      </c>
      <c r="P185" s="1" t="s">
        <v>74</v>
      </c>
      <c r="Q185" s="1" t="s">
        <v>74</v>
      </c>
      <c r="R185" s="1" t="s">
        <v>74</v>
      </c>
      <c r="S185" s="1" t="s">
        <v>74</v>
      </c>
      <c r="T185" s="1" t="s">
        <v>74</v>
      </c>
      <c r="U185" s="1" t="s">
        <v>74</v>
      </c>
      <c r="V185" s="1" t="s">
        <v>74</v>
      </c>
      <c r="W185" s="1" t="s">
        <v>74</v>
      </c>
      <c r="X185" s="1" t="s">
        <v>74</v>
      </c>
      <c r="Y185" s="1" t="s">
        <v>74</v>
      </c>
      <c r="Z185" s="1" t="s">
        <v>74</v>
      </c>
      <c r="AA185" s="1" t="s">
        <v>74</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1796</v>
      </c>
      <c r="AP185" s="1" t="s">
        <v>1797</v>
      </c>
      <c r="AQ185" s="1" t="s">
        <v>74</v>
      </c>
      <c r="AR185" s="1" t="s">
        <v>74</v>
      </c>
      <c r="AS185" s="1" t="s">
        <v>74</v>
      </c>
      <c r="AT185" s="1" t="s">
        <v>1798</v>
      </c>
      <c r="AU185" s="1">
        <v>2024.0</v>
      </c>
      <c r="AV185" s="1" t="s">
        <v>74</v>
      </c>
      <c r="AW185" s="1" t="s">
        <v>74</v>
      </c>
      <c r="AX185" s="1" t="s">
        <v>74</v>
      </c>
      <c r="AY185" s="1" t="s">
        <v>74</v>
      </c>
      <c r="AZ185" s="1" t="s">
        <v>74</v>
      </c>
      <c r="BA185" s="1" t="s">
        <v>74</v>
      </c>
      <c r="BB185" s="1" t="s">
        <v>74</v>
      </c>
      <c r="BC185" s="1" t="s">
        <v>74</v>
      </c>
      <c r="BD185" s="1" t="s">
        <v>74</v>
      </c>
      <c r="BE185" s="1" t="s">
        <v>1799</v>
      </c>
      <c r="BF185" s="2" t="str">
        <f>HYPERLINK("http://dx.doi.org/10.1177/09500170241297576","http://dx.doi.org/10.1177/09500170241297576")</f>
        <v>http://dx.doi.org/10.1177/09500170241297576</v>
      </c>
      <c r="BG185" s="1" t="s">
        <v>74</v>
      </c>
      <c r="BH185" s="1" t="s">
        <v>1800</v>
      </c>
      <c r="BI185" s="1" t="s">
        <v>74</v>
      </c>
      <c r="BJ185" s="1" t="s">
        <v>74</v>
      </c>
      <c r="BK185" s="1" t="s">
        <v>74</v>
      </c>
      <c r="BL185" s="1" t="s">
        <v>74</v>
      </c>
      <c r="BM185" s="1" t="s">
        <v>74</v>
      </c>
      <c r="BN185" s="1" t="s">
        <v>74</v>
      </c>
      <c r="BO185" s="1" t="s">
        <v>74</v>
      </c>
      <c r="BP185" s="1" t="s">
        <v>74</v>
      </c>
      <c r="BQ185" s="1" t="s">
        <v>74</v>
      </c>
      <c r="BR185" s="1" t="s">
        <v>74</v>
      </c>
      <c r="BS185" s="1" t="s">
        <v>1801</v>
      </c>
      <c r="BT185" s="1" t="str">
        <f>HYPERLINK("https%3A%2F%2Fwww.webofscience.com%2Fwos%2Fwoscc%2Ffull-record%2FWOS:001356959300001","View Full Record in Web of Science")</f>
        <v>View Full Record in Web of Science</v>
      </c>
    </row>
    <row r="186" ht="12.75" customHeight="1">
      <c r="A186" s="1" t="s">
        <v>72</v>
      </c>
      <c r="B186" s="1" t="s">
        <v>1802</v>
      </c>
      <c r="C186" s="1" t="s">
        <v>74</v>
      </c>
      <c r="D186" s="1" t="s">
        <v>74</v>
      </c>
      <c r="E186" s="1" t="s">
        <v>74</v>
      </c>
      <c r="F186" s="1" t="s">
        <v>1803</v>
      </c>
      <c r="G186" s="1" t="s">
        <v>74</v>
      </c>
      <c r="H186" s="1" t="s">
        <v>74</v>
      </c>
      <c r="I186" s="1" t="s">
        <v>1804</v>
      </c>
      <c r="J186" s="1" t="s">
        <v>574</v>
      </c>
      <c r="K186" s="1" t="s">
        <v>74</v>
      </c>
      <c r="L186" s="1" t="s">
        <v>74</v>
      </c>
      <c r="M186" s="1" t="s">
        <v>74</v>
      </c>
      <c r="N186" s="1" t="s">
        <v>74</v>
      </c>
      <c r="O186" s="1" t="s">
        <v>74</v>
      </c>
      <c r="P186" s="1" t="s">
        <v>74</v>
      </c>
      <c r="Q186" s="1" t="s">
        <v>74</v>
      </c>
      <c r="R186" s="1" t="s">
        <v>74</v>
      </c>
      <c r="S186" s="1" t="s">
        <v>74</v>
      </c>
      <c r="T186" s="1" t="s">
        <v>74</v>
      </c>
      <c r="U186" s="1" t="s">
        <v>74</v>
      </c>
      <c r="V186" s="1" t="s">
        <v>1805</v>
      </c>
      <c r="W186" s="1" t="s">
        <v>74</v>
      </c>
      <c r="X186" s="1" t="s">
        <v>74</v>
      </c>
      <c r="Y186" s="1" t="s">
        <v>74</v>
      </c>
      <c r="Z186" s="1" t="s">
        <v>74</v>
      </c>
      <c r="AA186" s="1" t="s">
        <v>1806</v>
      </c>
      <c r="AB186" s="1" t="s">
        <v>1807</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1748</v>
      </c>
      <c r="AP186" s="1" t="s">
        <v>1749</v>
      </c>
      <c r="AQ186" s="1" t="s">
        <v>74</v>
      </c>
      <c r="AR186" s="1" t="s">
        <v>74</v>
      </c>
      <c r="AS186" s="1" t="s">
        <v>74</v>
      </c>
      <c r="AT186" s="1" t="s">
        <v>1808</v>
      </c>
      <c r="AU186" s="1">
        <v>2024.0</v>
      </c>
      <c r="AV186" s="1">
        <v>110.0</v>
      </c>
      <c r="AW186" s="1">
        <v>2.0</v>
      </c>
      <c r="AX186" s="1" t="s">
        <v>74</v>
      </c>
      <c r="AY186" s="1" t="s">
        <v>74</v>
      </c>
      <c r="AZ186" s="1" t="s">
        <v>74</v>
      </c>
      <c r="BA186" s="1" t="s">
        <v>74</v>
      </c>
      <c r="BB186" s="1" t="s">
        <v>74</v>
      </c>
      <c r="BC186" s="1" t="s">
        <v>74</v>
      </c>
      <c r="BD186" s="1">
        <v>23027.0</v>
      </c>
      <c r="BE186" s="1" t="s">
        <v>1809</v>
      </c>
      <c r="BF186" s="2" t="str">
        <f>HYPERLINK("http://dx.doi.org/10.1103/PhysRevD.110.023027","http://dx.doi.org/10.1103/PhysRevD.110.023027")</f>
        <v>http://dx.doi.org/10.1103/PhysRevD.110.023027</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1810</v>
      </c>
      <c r="BT186" s="1" t="str">
        <f>HYPERLINK("https%3A%2F%2Fwww.webofscience.com%2Fwos%2Fwoscc%2Ffull-record%2FWOS:001274725100001","View Full Record in Web of Science")</f>
        <v>View Full Record in Web of Science</v>
      </c>
    </row>
    <row r="187" ht="12.75" customHeight="1">
      <c r="A187" s="1" t="s">
        <v>72</v>
      </c>
      <c r="B187" s="1" t="s">
        <v>1811</v>
      </c>
      <c r="C187" s="1" t="s">
        <v>74</v>
      </c>
      <c r="D187" s="1" t="s">
        <v>74</v>
      </c>
      <c r="E187" s="1" t="s">
        <v>74</v>
      </c>
      <c r="F187" s="1" t="s">
        <v>1812</v>
      </c>
      <c r="G187" s="1" t="s">
        <v>74</v>
      </c>
      <c r="H187" s="1" t="s">
        <v>74</v>
      </c>
      <c r="I187" s="1" t="s">
        <v>1813</v>
      </c>
      <c r="J187" s="1" t="s">
        <v>1814</v>
      </c>
      <c r="K187" s="1" t="s">
        <v>74</v>
      </c>
      <c r="L187" s="1" t="s">
        <v>74</v>
      </c>
      <c r="M187" s="1" t="s">
        <v>74</v>
      </c>
      <c r="N187" s="1" t="s">
        <v>74</v>
      </c>
      <c r="O187" s="1" t="s">
        <v>74</v>
      </c>
      <c r="P187" s="1" t="s">
        <v>74</v>
      </c>
      <c r="Q187" s="1" t="s">
        <v>74</v>
      </c>
      <c r="R187" s="1" t="s">
        <v>74</v>
      </c>
      <c r="S187" s="1" t="s">
        <v>74</v>
      </c>
      <c r="T187" s="1" t="s">
        <v>74</v>
      </c>
      <c r="U187" s="1" t="s">
        <v>74</v>
      </c>
      <c r="V187" s="1" t="s">
        <v>74</v>
      </c>
      <c r="W187" s="1" t="s">
        <v>74</v>
      </c>
      <c r="X187" s="1" t="s">
        <v>74</v>
      </c>
      <c r="Y187" s="1" t="s">
        <v>74</v>
      </c>
      <c r="Z187" s="1" t="s">
        <v>74</v>
      </c>
      <c r="AA187" s="1" t="s">
        <v>74</v>
      </c>
      <c r="AB187" s="1" t="s">
        <v>74</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1815</v>
      </c>
      <c r="AP187" s="1" t="s">
        <v>1816</v>
      </c>
      <c r="AQ187" s="1" t="s">
        <v>74</v>
      </c>
      <c r="AR187" s="1" t="s">
        <v>74</v>
      </c>
      <c r="AS187" s="1" t="s">
        <v>74</v>
      </c>
      <c r="AT187" s="1" t="s">
        <v>148</v>
      </c>
      <c r="AU187" s="1">
        <v>2024.0</v>
      </c>
      <c r="AV187" s="1" t="s">
        <v>74</v>
      </c>
      <c r="AW187" s="1">
        <v>49.0</v>
      </c>
      <c r="AX187" s="1" t="s">
        <v>74</v>
      </c>
      <c r="AY187" s="1" t="s">
        <v>74</v>
      </c>
      <c r="AZ187" s="1" t="s">
        <v>159</v>
      </c>
      <c r="BA187" s="1" t="s">
        <v>74</v>
      </c>
      <c r="BB187" s="1">
        <v>209.0</v>
      </c>
      <c r="BC187" s="1">
        <v>210.0</v>
      </c>
      <c r="BD187" s="1" t="s">
        <v>74</v>
      </c>
      <c r="BE187" s="1" t="s">
        <v>74</v>
      </c>
      <c r="BF187" s="1" t="s">
        <v>74</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1817</v>
      </c>
      <c r="BT187" s="1" t="str">
        <f>HYPERLINK("https%3A%2F%2Fwww.webofscience.com%2Fwos%2Fwoscc%2Ffull-record%2FWOS:001273937000017","View Full Record in Web of Science")</f>
        <v>View Full Record in Web of Science</v>
      </c>
    </row>
    <row r="188" ht="12.75" customHeight="1">
      <c r="A188" s="1" t="s">
        <v>72</v>
      </c>
      <c r="B188" s="1" t="s">
        <v>1818</v>
      </c>
      <c r="C188" s="1" t="s">
        <v>74</v>
      </c>
      <c r="D188" s="1" t="s">
        <v>74</v>
      </c>
      <c r="E188" s="1" t="s">
        <v>74</v>
      </c>
      <c r="F188" s="1" t="s">
        <v>1819</v>
      </c>
      <c r="G188" s="1" t="s">
        <v>74</v>
      </c>
      <c r="H188" s="1" t="s">
        <v>74</v>
      </c>
      <c r="I188" s="1" t="s">
        <v>1820</v>
      </c>
      <c r="J188" s="1" t="s">
        <v>1821</v>
      </c>
      <c r="K188" s="1" t="s">
        <v>74</v>
      </c>
      <c r="L188" s="1" t="s">
        <v>74</v>
      </c>
      <c r="M188" s="1" t="s">
        <v>74</v>
      </c>
      <c r="N188" s="1" t="s">
        <v>74</v>
      </c>
      <c r="O188" s="1" t="s">
        <v>74</v>
      </c>
      <c r="P188" s="1" t="s">
        <v>74</v>
      </c>
      <c r="Q188" s="1" t="s">
        <v>74</v>
      </c>
      <c r="R188" s="1" t="s">
        <v>74</v>
      </c>
      <c r="S188" s="1" t="s">
        <v>74</v>
      </c>
      <c r="T188" s="1" t="s">
        <v>74</v>
      </c>
      <c r="U188" s="1" t="s">
        <v>74</v>
      </c>
      <c r="V188" s="1" t="s">
        <v>1822</v>
      </c>
      <c r="W188" s="1" t="s">
        <v>74</v>
      </c>
      <c r="X188" s="1" t="s">
        <v>74</v>
      </c>
      <c r="Y188" s="1" t="s">
        <v>74</v>
      </c>
      <c r="Z188" s="1" t="s">
        <v>74</v>
      </c>
      <c r="AA188" s="1" t="s">
        <v>74</v>
      </c>
      <c r="AB188" s="1" t="s">
        <v>74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1823</v>
      </c>
      <c r="AP188" s="1" t="s">
        <v>74</v>
      </c>
      <c r="AQ188" s="1" t="s">
        <v>74</v>
      </c>
      <c r="AR188" s="1" t="s">
        <v>74</v>
      </c>
      <c r="AS188" s="1" t="s">
        <v>74</v>
      </c>
      <c r="AT188" s="1" t="s">
        <v>148</v>
      </c>
      <c r="AU188" s="1">
        <v>2024.0</v>
      </c>
      <c r="AV188" s="1">
        <v>46.0</v>
      </c>
      <c r="AW188" s="1" t="s">
        <v>74</v>
      </c>
      <c r="AX188" s="1" t="s">
        <v>74</v>
      </c>
      <c r="AY188" s="1" t="s">
        <v>74</v>
      </c>
      <c r="AZ188" s="1" t="s">
        <v>74</v>
      </c>
      <c r="BA188" s="1" t="s">
        <v>74</v>
      </c>
      <c r="BB188" s="1">
        <v>107.0</v>
      </c>
      <c r="BC188" s="1">
        <v>123.0</v>
      </c>
      <c r="BD188" s="1" t="s">
        <v>74</v>
      </c>
      <c r="BE188" s="1" t="s">
        <v>1824</v>
      </c>
      <c r="BF188" s="2" t="str">
        <f>HYPERLINK("http://dx.doi.org/10.34096/sys.n46.15120","http://dx.doi.org/10.34096/sys.n46.15120")</f>
        <v>http://dx.doi.org/10.34096/sys.n46.15120</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1825</v>
      </c>
      <c r="BT188" s="1" t="str">
        <f>HYPERLINK("https%3A%2F%2Fwww.webofscience.com%2Fwos%2Fwoscc%2Ffull-record%2FWOS:001411688700005","View Full Record in Web of Science")</f>
        <v>View Full Record in Web of Science</v>
      </c>
    </row>
    <row r="189" ht="12.75" customHeight="1">
      <c r="A189" s="1" t="s">
        <v>126</v>
      </c>
      <c r="B189" s="1" t="s">
        <v>1826</v>
      </c>
      <c r="C189" s="1" t="s">
        <v>74</v>
      </c>
      <c r="D189" s="1" t="s">
        <v>74</v>
      </c>
      <c r="E189" s="1" t="s">
        <v>128</v>
      </c>
      <c r="F189" s="1" t="s">
        <v>1827</v>
      </c>
      <c r="G189" s="1" t="s">
        <v>74</v>
      </c>
      <c r="H189" s="1" t="s">
        <v>74</v>
      </c>
      <c r="I189" s="1" t="s">
        <v>1828</v>
      </c>
      <c r="J189" s="1" t="s">
        <v>1829</v>
      </c>
      <c r="K189" s="1" t="s">
        <v>1830</v>
      </c>
      <c r="L189" s="1" t="s">
        <v>74</v>
      </c>
      <c r="M189" s="1" t="s">
        <v>74</v>
      </c>
      <c r="N189" s="1" t="s">
        <v>74</v>
      </c>
      <c r="O189" s="1" t="s">
        <v>1831</v>
      </c>
      <c r="P189" s="1" t="s">
        <v>1832</v>
      </c>
      <c r="Q189" s="1" t="s">
        <v>1833</v>
      </c>
      <c r="R189" s="1" t="s">
        <v>74</v>
      </c>
      <c r="S189" s="1" t="s">
        <v>74</v>
      </c>
      <c r="T189" s="1" t="s">
        <v>74</v>
      </c>
      <c r="U189" s="1" t="s">
        <v>74</v>
      </c>
      <c r="V189" s="1" t="s">
        <v>1834</v>
      </c>
      <c r="W189" s="1" t="s">
        <v>74</v>
      </c>
      <c r="X189" s="1" t="s">
        <v>74</v>
      </c>
      <c r="Y189" s="1" t="s">
        <v>74</v>
      </c>
      <c r="Z189" s="1" t="s">
        <v>74</v>
      </c>
      <c r="AA189" s="1" t="s">
        <v>137</v>
      </c>
      <c r="AB189" s="1" t="s">
        <v>74</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1835</v>
      </c>
      <c r="AP189" s="1" t="s">
        <v>74</v>
      </c>
      <c r="AQ189" s="1" t="s">
        <v>1836</v>
      </c>
      <c r="AR189" s="1" t="s">
        <v>74</v>
      </c>
      <c r="AS189" s="1" t="s">
        <v>74</v>
      </c>
      <c r="AT189" s="1" t="s">
        <v>74</v>
      </c>
      <c r="AU189" s="1">
        <v>2024.0</v>
      </c>
      <c r="AV189" s="1" t="s">
        <v>74</v>
      </c>
      <c r="AW189" s="1" t="s">
        <v>74</v>
      </c>
      <c r="AX189" s="1" t="s">
        <v>74</v>
      </c>
      <c r="AY189" s="1" t="s">
        <v>74</v>
      </c>
      <c r="AZ189" s="1" t="s">
        <v>74</v>
      </c>
      <c r="BA189" s="1" t="s">
        <v>74</v>
      </c>
      <c r="BB189" s="1">
        <v>539.0</v>
      </c>
      <c r="BC189" s="1">
        <v>544.0</v>
      </c>
      <c r="BD189" s="1" t="s">
        <v>74</v>
      </c>
      <c r="BE189" s="1" t="s">
        <v>1837</v>
      </c>
      <c r="BF189" s="2" t="str">
        <f>HYPERLINK("http://dx.doi.org/10.1109/CSNDSP60683.2024.10636626","http://dx.doi.org/10.1109/CSNDSP60683.2024.10636626")</f>
        <v>http://dx.doi.org/10.1109/CSNDSP60683.2024.10636626</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1838</v>
      </c>
      <c r="BT189" s="1" t="str">
        <f>HYPERLINK("https%3A%2F%2Fwww.webofscience.com%2Fwos%2Fwoscc%2Ffull-record%2FWOS:001324588800102","View Full Record in Web of Science")</f>
        <v>View Full Record in Web of Science</v>
      </c>
    </row>
    <row r="190" ht="12.75" customHeight="1">
      <c r="A190" s="1" t="s">
        <v>126</v>
      </c>
      <c r="B190" s="1" t="s">
        <v>1839</v>
      </c>
      <c r="C190" s="1" t="s">
        <v>74</v>
      </c>
      <c r="D190" s="1" t="s">
        <v>1840</v>
      </c>
      <c r="E190" s="1" t="s">
        <v>74</v>
      </c>
      <c r="F190" s="1" t="s">
        <v>1841</v>
      </c>
      <c r="G190" s="1" t="s">
        <v>74</v>
      </c>
      <c r="H190" s="1" t="s">
        <v>74</v>
      </c>
      <c r="I190" s="1" t="s">
        <v>1842</v>
      </c>
      <c r="J190" s="1" t="s">
        <v>1843</v>
      </c>
      <c r="K190" s="1" t="s">
        <v>1844</v>
      </c>
      <c r="L190" s="1" t="s">
        <v>74</v>
      </c>
      <c r="M190" s="1" t="s">
        <v>74</v>
      </c>
      <c r="N190" s="1" t="s">
        <v>74</v>
      </c>
      <c r="O190" s="1" t="s">
        <v>1845</v>
      </c>
      <c r="P190" s="1" t="s">
        <v>1846</v>
      </c>
      <c r="Q190" s="1" t="s">
        <v>1847</v>
      </c>
      <c r="R190" s="1" t="s">
        <v>74</v>
      </c>
      <c r="S190" s="1" t="s">
        <v>74</v>
      </c>
      <c r="T190" s="1" t="s">
        <v>74</v>
      </c>
      <c r="U190" s="1" t="s">
        <v>74</v>
      </c>
      <c r="V190" s="1" t="s">
        <v>1848</v>
      </c>
      <c r="W190" s="1" t="s">
        <v>74</v>
      </c>
      <c r="X190" s="1" t="s">
        <v>74</v>
      </c>
      <c r="Y190" s="1" t="s">
        <v>74</v>
      </c>
      <c r="Z190" s="1" t="s">
        <v>74</v>
      </c>
      <c r="AA190" s="1" t="s">
        <v>74</v>
      </c>
      <c r="AB190" s="1" t="s">
        <v>74</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1849</v>
      </c>
      <c r="AP190" s="1" t="s">
        <v>1850</v>
      </c>
      <c r="AQ190" s="1" t="s">
        <v>1851</v>
      </c>
      <c r="AR190" s="1" t="s">
        <v>74</v>
      </c>
      <c r="AS190" s="1" t="s">
        <v>74</v>
      </c>
      <c r="AT190" s="1" t="s">
        <v>74</v>
      </c>
      <c r="AU190" s="1">
        <v>2024.0</v>
      </c>
      <c r="AV190" s="1" t="s">
        <v>74</v>
      </c>
      <c r="AW190" s="1" t="s">
        <v>74</v>
      </c>
      <c r="AX190" s="1" t="s">
        <v>74</v>
      </c>
      <c r="AY190" s="1" t="s">
        <v>74</v>
      </c>
      <c r="AZ190" s="1" t="s">
        <v>74</v>
      </c>
      <c r="BA190" s="1" t="s">
        <v>74</v>
      </c>
      <c r="BB190" s="1">
        <v>291.0</v>
      </c>
      <c r="BC190" s="1">
        <v>299.0</v>
      </c>
      <c r="BD190" s="1" t="s">
        <v>74</v>
      </c>
      <c r="BE190" s="1" t="s">
        <v>1852</v>
      </c>
      <c r="BF190" s="2" t="str">
        <f>HYPERLINK("http://dx.doi.org/10.1007/978-3-031-72486-2_31","http://dx.doi.org/10.1007/978-3-031-72486-2_31")</f>
        <v>http://dx.doi.org/10.1007/978-3-031-72486-2_31</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1853</v>
      </c>
      <c r="BT190" s="1" t="str">
        <f>HYPERLINK("https%3A%2F%2Fwww.webofscience.com%2Fwos%2Fwoscc%2Ffull-record%2FWOS:001445604600030","View Full Record in Web of Science")</f>
        <v>View Full Record in Web of Science</v>
      </c>
    </row>
    <row r="191" ht="12.75" customHeight="1">
      <c r="A191" s="1" t="s">
        <v>72</v>
      </c>
      <c r="B191" s="1" t="s">
        <v>1854</v>
      </c>
      <c r="C191" s="1" t="s">
        <v>74</v>
      </c>
      <c r="D191" s="1" t="s">
        <v>74</v>
      </c>
      <c r="E191" s="1" t="s">
        <v>74</v>
      </c>
      <c r="F191" s="1" t="s">
        <v>1855</v>
      </c>
      <c r="G191" s="1" t="s">
        <v>74</v>
      </c>
      <c r="H191" s="1" t="s">
        <v>74</v>
      </c>
      <c r="I191" s="1" t="s">
        <v>1856</v>
      </c>
      <c r="J191" s="1" t="s">
        <v>1857</v>
      </c>
      <c r="K191" s="1" t="s">
        <v>74</v>
      </c>
      <c r="L191" s="1" t="s">
        <v>74</v>
      </c>
      <c r="M191" s="1" t="s">
        <v>74</v>
      </c>
      <c r="N191" s="1" t="s">
        <v>74</v>
      </c>
      <c r="O191" s="1" t="s">
        <v>1858</v>
      </c>
      <c r="P191" s="1" t="s">
        <v>1859</v>
      </c>
      <c r="Q191" s="1" t="s">
        <v>1860</v>
      </c>
      <c r="R191" s="1" t="s">
        <v>1861</v>
      </c>
      <c r="S191" s="1" t="s">
        <v>74</v>
      </c>
      <c r="T191" s="1" t="s">
        <v>74</v>
      </c>
      <c r="U191" s="1" t="s">
        <v>74</v>
      </c>
      <c r="V191" s="1" t="s">
        <v>74</v>
      </c>
      <c r="W191" s="1" t="s">
        <v>74</v>
      </c>
      <c r="X191" s="1" t="s">
        <v>74</v>
      </c>
      <c r="Y191" s="1" t="s">
        <v>74</v>
      </c>
      <c r="Z191" s="1" t="s">
        <v>74</v>
      </c>
      <c r="AA191" s="1" t="s">
        <v>1862</v>
      </c>
      <c r="AB191" s="1" t="s">
        <v>74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1863</v>
      </c>
      <c r="AP191" s="1" t="s">
        <v>1864</v>
      </c>
      <c r="AQ191" s="1" t="s">
        <v>74</v>
      </c>
      <c r="AR191" s="1" t="s">
        <v>74</v>
      </c>
      <c r="AS191" s="1" t="s">
        <v>74</v>
      </c>
      <c r="AT191" s="1" t="s">
        <v>410</v>
      </c>
      <c r="AU191" s="1">
        <v>2023.0</v>
      </c>
      <c r="AV191" s="1">
        <v>148.0</v>
      </c>
      <c r="AW191" s="1" t="s">
        <v>74</v>
      </c>
      <c r="AX191" s="1" t="s">
        <v>74</v>
      </c>
      <c r="AY191" s="1" t="s">
        <v>74</v>
      </c>
      <c r="AZ191" s="1" t="s">
        <v>74</v>
      </c>
      <c r="BA191" s="1">
        <v>104957.0</v>
      </c>
      <c r="BB191" s="1" t="s">
        <v>74</v>
      </c>
      <c r="BC191" s="1" t="s">
        <v>74</v>
      </c>
      <c r="BD191" s="1" t="s">
        <v>74</v>
      </c>
      <c r="BE191" s="1" t="s">
        <v>74</v>
      </c>
      <c r="BF191" s="1" t="s">
        <v>74</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1865</v>
      </c>
      <c r="BT191" s="1" t="str">
        <f>HYPERLINK("https%3A%2F%2Fwww.webofscience.com%2Fwos%2Fwoscc%2Ffull-record%2FWOS:001058416200036","View Full Record in Web of Science")</f>
        <v>View Full Record in Web of Science</v>
      </c>
    </row>
    <row r="192" ht="12.75" customHeight="1">
      <c r="A192" s="1" t="s">
        <v>72</v>
      </c>
      <c r="B192" s="1" t="s">
        <v>1866</v>
      </c>
      <c r="C192" s="1" t="s">
        <v>74</v>
      </c>
      <c r="D192" s="1" t="s">
        <v>74</v>
      </c>
      <c r="E192" s="1" t="s">
        <v>74</v>
      </c>
      <c r="F192" s="1" t="s">
        <v>1867</v>
      </c>
      <c r="G192" s="1" t="s">
        <v>74</v>
      </c>
      <c r="H192" s="1" t="s">
        <v>74</v>
      </c>
      <c r="I192" s="1" t="s">
        <v>1868</v>
      </c>
      <c r="J192" s="1" t="s">
        <v>1869</v>
      </c>
      <c r="K192" s="1" t="s">
        <v>74</v>
      </c>
      <c r="L192" s="1" t="s">
        <v>74</v>
      </c>
      <c r="M192" s="1" t="s">
        <v>74</v>
      </c>
      <c r="N192" s="1" t="s">
        <v>74</v>
      </c>
      <c r="O192" s="1" t="s">
        <v>74</v>
      </c>
      <c r="P192" s="1" t="s">
        <v>74</v>
      </c>
      <c r="Q192" s="1" t="s">
        <v>74</v>
      </c>
      <c r="R192" s="1" t="s">
        <v>74</v>
      </c>
      <c r="S192" s="1" t="s">
        <v>74</v>
      </c>
      <c r="T192" s="1" t="s">
        <v>74</v>
      </c>
      <c r="U192" s="1" t="s">
        <v>74</v>
      </c>
      <c r="V192" s="1" t="s">
        <v>1870</v>
      </c>
      <c r="W192" s="1" t="s">
        <v>74</v>
      </c>
      <c r="X192" s="1" t="s">
        <v>74</v>
      </c>
      <c r="Y192" s="1" t="s">
        <v>74</v>
      </c>
      <c r="Z192" s="1" t="s">
        <v>74</v>
      </c>
      <c r="AA192" s="1" t="s">
        <v>1871</v>
      </c>
      <c r="AB192" s="1" t="s">
        <v>1872</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1873</v>
      </c>
      <c r="AP192" s="1" t="s">
        <v>1874</v>
      </c>
      <c r="AQ192" s="1" t="s">
        <v>74</v>
      </c>
      <c r="AR192" s="1" t="s">
        <v>74</v>
      </c>
      <c r="AS192" s="1" t="s">
        <v>74</v>
      </c>
      <c r="AT192" s="1" t="s">
        <v>158</v>
      </c>
      <c r="AU192" s="1">
        <v>2023.0</v>
      </c>
      <c r="AV192" s="1">
        <v>384.0</v>
      </c>
      <c r="AW192" s="1" t="s">
        <v>74</v>
      </c>
      <c r="AX192" s="1" t="s">
        <v>74</v>
      </c>
      <c r="AY192" s="1" t="s">
        <v>74</v>
      </c>
      <c r="AZ192" s="1" t="s">
        <v>74</v>
      </c>
      <c r="BA192" s="1" t="s">
        <v>74</v>
      </c>
      <c r="BB192" s="1" t="s">
        <v>74</v>
      </c>
      <c r="BC192" s="1" t="s">
        <v>74</v>
      </c>
      <c r="BD192" s="1">
        <v>129249.0</v>
      </c>
      <c r="BE192" s="1" t="s">
        <v>1875</v>
      </c>
      <c r="BF192" s="2" t="str">
        <f>HYPERLINK("http://dx.doi.org/10.1016/j.biortech.2023.129249","http://dx.doi.org/10.1016/j.biortech.2023.129249")</f>
        <v>http://dx.doi.org/10.1016/j.biortech.2023.129249</v>
      </c>
      <c r="BG192" s="1" t="s">
        <v>74</v>
      </c>
      <c r="BH192" s="1" t="s">
        <v>1876</v>
      </c>
      <c r="BI192" s="1" t="s">
        <v>74</v>
      </c>
      <c r="BJ192" s="1" t="s">
        <v>74</v>
      </c>
      <c r="BK192" s="1" t="s">
        <v>74</v>
      </c>
      <c r="BL192" s="1" t="s">
        <v>74</v>
      </c>
      <c r="BM192" s="1" t="s">
        <v>74</v>
      </c>
      <c r="BN192" s="1">
        <v>3.726809E7</v>
      </c>
      <c r="BO192" s="1" t="s">
        <v>74</v>
      </c>
      <c r="BP192" s="1" t="s">
        <v>74</v>
      </c>
      <c r="BQ192" s="1" t="s">
        <v>74</v>
      </c>
      <c r="BR192" s="1" t="s">
        <v>74</v>
      </c>
      <c r="BS192" s="1" t="s">
        <v>1877</v>
      </c>
      <c r="BT192" s="1" t="str">
        <f>HYPERLINK("https%3A%2F%2Fwww.webofscience.com%2Fwos%2Fwoscc%2Ffull-record%2FWOS:001024582800001","View Full Record in Web of Science")</f>
        <v>View Full Record in Web of Science</v>
      </c>
    </row>
    <row r="193" ht="12.75" customHeight="1">
      <c r="A193" s="1" t="s">
        <v>72</v>
      </c>
      <c r="B193" s="1" t="s">
        <v>1878</v>
      </c>
      <c r="C193" s="1" t="s">
        <v>74</v>
      </c>
      <c r="D193" s="1" t="s">
        <v>74</v>
      </c>
      <c r="E193" s="1" t="s">
        <v>74</v>
      </c>
      <c r="F193" s="1" t="s">
        <v>1879</v>
      </c>
      <c r="G193" s="1" t="s">
        <v>74</v>
      </c>
      <c r="H193" s="1" t="s">
        <v>74</v>
      </c>
      <c r="I193" s="1" t="s">
        <v>1880</v>
      </c>
      <c r="J193" s="1" t="s">
        <v>981</v>
      </c>
      <c r="K193" s="1" t="s">
        <v>74</v>
      </c>
      <c r="L193" s="1" t="s">
        <v>74</v>
      </c>
      <c r="M193" s="1" t="s">
        <v>74</v>
      </c>
      <c r="N193" s="1" t="s">
        <v>74</v>
      </c>
      <c r="O193" s="1" t="s">
        <v>74</v>
      </c>
      <c r="P193" s="1" t="s">
        <v>74</v>
      </c>
      <c r="Q193" s="1" t="s">
        <v>74</v>
      </c>
      <c r="R193" s="1" t="s">
        <v>74</v>
      </c>
      <c r="S193" s="1" t="s">
        <v>74</v>
      </c>
      <c r="T193" s="1" t="s">
        <v>74</v>
      </c>
      <c r="U193" s="1" t="s">
        <v>74</v>
      </c>
      <c r="V193" s="1" t="s">
        <v>1881</v>
      </c>
      <c r="W193" s="1" t="s">
        <v>74</v>
      </c>
      <c r="X193" s="1" t="s">
        <v>74</v>
      </c>
      <c r="Y193" s="1" t="s">
        <v>74</v>
      </c>
      <c r="Z193" s="1" t="s">
        <v>74</v>
      </c>
      <c r="AA193" s="1" t="s">
        <v>1882</v>
      </c>
      <c r="AB193" s="1" t="s">
        <v>1883</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74</v>
      </c>
      <c r="AP193" s="1" t="s">
        <v>985</v>
      </c>
      <c r="AQ193" s="1" t="s">
        <v>74</v>
      </c>
      <c r="AR193" s="1" t="s">
        <v>74</v>
      </c>
      <c r="AS193" s="1" t="s">
        <v>74</v>
      </c>
      <c r="AT193" s="1" t="s">
        <v>818</v>
      </c>
      <c r="AU193" s="1">
        <v>2023.0</v>
      </c>
      <c r="AV193" s="1">
        <v>15.0</v>
      </c>
      <c r="AW193" s="1">
        <v>4.0</v>
      </c>
      <c r="AX193" s="1" t="s">
        <v>74</v>
      </c>
      <c r="AY193" s="1" t="s">
        <v>74</v>
      </c>
      <c r="AZ193" s="1" t="s">
        <v>74</v>
      </c>
      <c r="BA193" s="1" t="s">
        <v>74</v>
      </c>
      <c r="BB193" s="1" t="s">
        <v>74</v>
      </c>
      <c r="BC193" s="1" t="s">
        <v>74</v>
      </c>
      <c r="BD193" s="1">
        <v>3205.0</v>
      </c>
      <c r="BE193" s="1" t="s">
        <v>1884</v>
      </c>
      <c r="BF193" s="2" t="str">
        <f>HYPERLINK("http://dx.doi.org/10.3390/su15043205","http://dx.doi.org/10.3390/su15043205")</f>
        <v>http://dx.doi.org/10.3390/su15043205</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1885</v>
      </c>
      <c r="BT193" s="1" t="str">
        <f>HYPERLINK("https%3A%2F%2Fwww.webofscience.com%2Fwos%2Fwoscc%2Ffull-record%2FWOS:000940595600001","View Full Record in Web of Science")</f>
        <v>View Full Record in Web of Science</v>
      </c>
    </row>
    <row r="194" ht="12.75" customHeight="1">
      <c r="A194" s="1" t="s">
        <v>72</v>
      </c>
      <c r="B194" s="1" t="s">
        <v>1886</v>
      </c>
      <c r="C194" s="1" t="s">
        <v>74</v>
      </c>
      <c r="D194" s="1" t="s">
        <v>74</v>
      </c>
      <c r="E194" s="1" t="s">
        <v>74</v>
      </c>
      <c r="F194" s="1" t="s">
        <v>1887</v>
      </c>
      <c r="G194" s="1" t="s">
        <v>74</v>
      </c>
      <c r="H194" s="1" t="s">
        <v>74</v>
      </c>
      <c r="I194" s="1" t="s">
        <v>1888</v>
      </c>
      <c r="J194" s="1" t="s">
        <v>1889</v>
      </c>
      <c r="K194" s="1" t="s">
        <v>74</v>
      </c>
      <c r="L194" s="1" t="s">
        <v>74</v>
      </c>
      <c r="M194" s="1" t="s">
        <v>74</v>
      </c>
      <c r="N194" s="1" t="s">
        <v>74</v>
      </c>
      <c r="O194" s="1" t="s">
        <v>74</v>
      </c>
      <c r="P194" s="1" t="s">
        <v>74</v>
      </c>
      <c r="Q194" s="1" t="s">
        <v>74</v>
      </c>
      <c r="R194" s="1" t="s">
        <v>74</v>
      </c>
      <c r="S194" s="1" t="s">
        <v>74</v>
      </c>
      <c r="T194" s="1" t="s">
        <v>74</v>
      </c>
      <c r="U194" s="1" t="s">
        <v>74</v>
      </c>
      <c r="V194" s="1" t="s">
        <v>1890</v>
      </c>
      <c r="W194" s="1" t="s">
        <v>74</v>
      </c>
      <c r="X194" s="1" t="s">
        <v>74</v>
      </c>
      <c r="Y194" s="1" t="s">
        <v>74</v>
      </c>
      <c r="Z194" s="1" t="s">
        <v>74</v>
      </c>
      <c r="AA194" s="1" t="s">
        <v>74</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1891</v>
      </c>
      <c r="AP194" s="1" t="s">
        <v>1892</v>
      </c>
      <c r="AQ194" s="1" t="s">
        <v>74</v>
      </c>
      <c r="AR194" s="1" t="s">
        <v>74</v>
      </c>
      <c r="AS194" s="1" t="s">
        <v>74</v>
      </c>
      <c r="AT194" s="1" t="s">
        <v>74</v>
      </c>
      <c r="AU194" s="1">
        <v>2023.0</v>
      </c>
      <c r="AV194" s="1">
        <v>33.0</v>
      </c>
      <c r="AW194" s="1">
        <v>2.0</v>
      </c>
      <c r="AX194" s="1" t="s">
        <v>74</v>
      </c>
      <c r="AY194" s="1" t="s">
        <v>74</v>
      </c>
      <c r="AZ194" s="1" t="s">
        <v>74</v>
      </c>
      <c r="BA194" s="1" t="s">
        <v>74</v>
      </c>
      <c r="BB194" s="1">
        <v>238.0</v>
      </c>
      <c r="BC194" s="1">
        <v>263.0</v>
      </c>
      <c r="BD194" s="1" t="s">
        <v>74</v>
      </c>
      <c r="BE194" s="1" t="s">
        <v>74</v>
      </c>
      <c r="BF194" s="1" t="s">
        <v>74</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1893</v>
      </c>
      <c r="BT194" s="1" t="str">
        <f>HYPERLINK("https%3A%2F%2Fwww.webofscience.com%2Fwos%2Fwoscc%2Ffull-record%2FWOS:001137454700010","View Full Record in Web of Science")</f>
        <v>View Full Record in Web of Science</v>
      </c>
    </row>
    <row r="195" ht="12.75" customHeight="1">
      <c r="A195" s="1" t="s">
        <v>72</v>
      </c>
      <c r="B195" s="1" t="s">
        <v>1894</v>
      </c>
      <c r="C195" s="1" t="s">
        <v>74</v>
      </c>
      <c r="D195" s="1" t="s">
        <v>74</v>
      </c>
      <c r="E195" s="1" t="s">
        <v>74</v>
      </c>
      <c r="F195" s="1" t="s">
        <v>1895</v>
      </c>
      <c r="G195" s="1" t="s">
        <v>74</v>
      </c>
      <c r="H195" s="1" t="s">
        <v>74</v>
      </c>
      <c r="I195" s="1" t="s">
        <v>1896</v>
      </c>
      <c r="J195" s="1" t="s">
        <v>1897</v>
      </c>
      <c r="K195" s="1" t="s">
        <v>74</v>
      </c>
      <c r="L195" s="1" t="s">
        <v>74</v>
      </c>
      <c r="M195" s="1" t="s">
        <v>74</v>
      </c>
      <c r="N195" s="1" t="s">
        <v>74</v>
      </c>
      <c r="O195" s="1" t="s">
        <v>74</v>
      </c>
      <c r="P195" s="1" t="s">
        <v>74</v>
      </c>
      <c r="Q195" s="1" t="s">
        <v>74</v>
      </c>
      <c r="R195" s="1" t="s">
        <v>74</v>
      </c>
      <c r="S195" s="1" t="s">
        <v>74</v>
      </c>
      <c r="T195" s="1" t="s">
        <v>74</v>
      </c>
      <c r="U195" s="1" t="s">
        <v>74</v>
      </c>
      <c r="V195" s="1" t="s">
        <v>1898</v>
      </c>
      <c r="W195" s="1" t="s">
        <v>74</v>
      </c>
      <c r="X195" s="1" t="s">
        <v>74</v>
      </c>
      <c r="Y195" s="1" t="s">
        <v>74</v>
      </c>
      <c r="Z195" s="1" t="s">
        <v>74</v>
      </c>
      <c r="AA195" s="1" t="s">
        <v>1899</v>
      </c>
      <c r="AB195" s="1" t="s">
        <v>1900</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74</v>
      </c>
      <c r="AP195" s="1" t="s">
        <v>1901</v>
      </c>
      <c r="AQ195" s="1" t="s">
        <v>74</v>
      </c>
      <c r="AR195" s="1" t="s">
        <v>74</v>
      </c>
      <c r="AS195" s="1" t="s">
        <v>74</v>
      </c>
      <c r="AT195" s="1" t="s">
        <v>193</v>
      </c>
      <c r="AU195" s="1">
        <v>2022.0</v>
      </c>
      <c r="AV195" s="1">
        <v>12.0</v>
      </c>
      <c r="AW195" s="1">
        <v>7.0</v>
      </c>
      <c r="AX195" s="1" t="s">
        <v>74</v>
      </c>
      <c r="AY195" s="1" t="s">
        <v>74</v>
      </c>
      <c r="AZ195" s="1" t="s">
        <v>74</v>
      </c>
      <c r="BA195" s="1" t="s">
        <v>74</v>
      </c>
      <c r="BB195" s="1" t="s">
        <v>74</v>
      </c>
      <c r="BC195" s="1" t="s">
        <v>74</v>
      </c>
      <c r="BD195" s="1">
        <v>1095.0</v>
      </c>
      <c r="BE195" s="1" t="s">
        <v>1902</v>
      </c>
      <c r="BF195" s="2" t="str">
        <f>HYPERLINK("http://dx.doi.org/10.3390/nano12071095","http://dx.doi.org/10.3390/nano12071095")</f>
        <v>http://dx.doi.org/10.3390/nano12071095</v>
      </c>
      <c r="BG195" s="1" t="s">
        <v>74</v>
      </c>
      <c r="BH195" s="1" t="s">
        <v>74</v>
      </c>
      <c r="BI195" s="1" t="s">
        <v>74</v>
      </c>
      <c r="BJ195" s="1" t="s">
        <v>74</v>
      </c>
      <c r="BK195" s="1" t="s">
        <v>74</v>
      </c>
      <c r="BL195" s="1" t="s">
        <v>74</v>
      </c>
      <c r="BM195" s="1" t="s">
        <v>74</v>
      </c>
      <c r="BN195" s="1">
        <v>3.5407211E7</v>
      </c>
      <c r="BO195" s="1" t="s">
        <v>74</v>
      </c>
      <c r="BP195" s="1" t="s">
        <v>74</v>
      </c>
      <c r="BQ195" s="1" t="s">
        <v>74</v>
      </c>
      <c r="BR195" s="1" t="s">
        <v>74</v>
      </c>
      <c r="BS195" s="1" t="s">
        <v>1903</v>
      </c>
      <c r="BT195" s="1" t="str">
        <f>HYPERLINK("https%3A%2F%2Fwww.webofscience.com%2Fwos%2Fwoscc%2Ffull-record%2FWOS:000781323000001","View Full Record in Web of Science")</f>
        <v>View Full Record in Web of Science</v>
      </c>
    </row>
    <row r="196" ht="12.75" customHeight="1">
      <c r="A196" s="1" t="s">
        <v>126</v>
      </c>
      <c r="B196" s="1" t="s">
        <v>1904</v>
      </c>
      <c r="C196" s="1" t="s">
        <v>74</v>
      </c>
      <c r="D196" s="1" t="s">
        <v>74</v>
      </c>
      <c r="E196" s="1" t="s">
        <v>1905</v>
      </c>
      <c r="F196" s="1" t="s">
        <v>1906</v>
      </c>
      <c r="G196" s="1" t="s">
        <v>74</v>
      </c>
      <c r="H196" s="1" t="s">
        <v>74</v>
      </c>
      <c r="I196" s="1" t="s">
        <v>1907</v>
      </c>
      <c r="J196" s="1" t="s">
        <v>1908</v>
      </c>
      <c r="K196" s="1" t="s">
        <v>1909</v>
      </c>
      <c r="L196" s="1" t="s">
        <v>74</v>
      </c>
      <c r="M196" s="1" t="s">
        <v>74</v>
      </c>
      <c r="N196" s="1" t="s">
        <v>74</v>
      </c>
      <c r="O196" s="1" t="s">
        <v>1910</v>
      </c>
      <c r="P196" s="1" t="s">
        <v>1911</v>
      </c>
      <c r="Q196" s="1" t="s">
        <v>1073</v>
      </c>
      <c r="R196" s="1" t="s">
        <v>74</v>
      </c>
      <c r="S196" s="1" t="s">
        <v>74</v>
      </c>
      <c r="T196" s="1" t="s">
        <v>74</v>
      </c>
      <c r="U196" s="1" t="s">
        <v>74</v>
      </c>
      <c r="V196" s="1" t="s">
        <v>74</v>
      </c>
      <c r="W196" s="1" t="s">
        <v>74</v>
      </c>
      <c r="X196" s="1" t="s">
        <v>74</v>
      </c>
      <c r="Y196" s="1" t="s">
        <v>74</v>
      </c>
      <c r="Z196" s="1" t="s">
        <v>74</v>
      </c>
      <c r="AA196" s="1" t="s">
        <v>74</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74</v>
      </c>
      <c r="AP196" s="1" t="s">
        <v>74</v>
      </c>
      <c r="AQ196" s="1" t="s">
        <v>1912</v>
      </c>
      <c r="AR196" s="1" t="s">
        <v>74</v>
      </c>
      <c r="AS196" s="1" t="s">
        <v>74</v>
      </c>
      <c r="AT196" s="1" t="s">
        <v>74</v>
      </c>
      <c r="AU196" s="1">
        <v>2022.0</v>
      </c>
      <c r="AV196" s="1" t="s">
        <v>74</v>
      </c>
      <c r="AW196" s="1" t="s">
        <v>74</v>
      </c>
      <c r="AX196" s="1" t="s">
        <v>74</v>
      </c>
      <c r="AY196" s="1" t="s">
        <v>74</v>
      </c>
      <c r="AZ196" s="1" t="s">
        <v>74</v>
      </c>
      <c r="BA196" s="1" t="s">
        <v>74</v>
      </c>
      <c r="BB196" s="1">
        <v>218.0</v>
      </c>
      <c r="BC196" s="1">
        <v>219.0</v>
      </c>
      <c r="BD196" s="1" t="s">
        <v>74</v>
      </c>
      <c r="BE196" s="1" t="s">
        <v>74</v>
      </c>
      <c r="BF196" s="1" t="s">
        <v>74</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1913</v>
      </c>
      <c r="BT196" s="1" t="str">
        <f>HYPERLINK("https%3A%2F%2Fwww.webofscience.com%2Fwos%2Fwoscc%2Ffull-record%2FWOS:001435673500045","View Full Record in Web of Science")</f>
        <v>View Full Record in Web of Science</v>
      </c>
    </row>
    <row r="197" ht="12.75" customHeight="1">
      <c r="A197" s="1" t="s">
        <v>72</v>
      </c>
      <c r="B197" s="1" t="s">
        <v>1914</v>
      </c>
      <c r="C197" s="1" t="s">
        <v>74</v>
      </c>
      <c r="D197" s="1" t="s">
        <v>74</v>
      </c>
      <c r="E197" s="1" t="s">
        <v>74</v>
      </c>
      <c r="F197" s="1" t="s">
        <v>1915</v>
      </c>
      <c r="G197" s="1" t="s">
        <v>74</v>
      </c>
      <c r="H197" s="1" t="s">
        <v>74</v>
      </c>
      <c r="I197" s="1" t="s">
        <v>1916</v>
      </c>
      <c r="J197" s="1" t="s">
        <v>1917</v>
      </c>
      <c r="K197" s="1" t="s">
        <v>74</v>
      </c>
      <c r="L197" s="1" t="s">
        <v>74</v>
      </c>
      <c r="M197" s="1" t="s">
        <v>74</v>
      </c>
      <c r="N197" s="1" t="s">
        <v>74</v>
      </c>
      <c r="O197" s="1" t="s">
        <v>74</v>
      </c>
      <c r="P197" s="1" t="s">
        <v>74</v>
      </c>
      <c r="Q197" s="1" t="s">
        <v>74</v>
      </c>
      <c r="R197" s="1" t="s">
        <v>74</v>
      </c>
      <c r="S197" s="1" t="s">
        <v>74</v>
      </c>
      <c r="T197" s="1" t="s">
        <v>74</v>
      </c>
      <c r="U197" s="1" t="s">
        <v>74</v>
      </c>
      <c r="V197" s="1" t="s">
        <v>1918</v>
      </c>
      <c r="W197" s="1" t="s">
        <v>74</v>
      </c>
      <c r="X197" s="1" t="s">
        <v>74</v>
      </c>
      <c r="Y197" s="1" t="s">
        <v>74</v>
      </c>
      <c r="Z197" s="1" t="s">
        <v>74</v>
      </c>
      <c r="AA197" s="1" t="s">
        <v>1919</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1920</v>
      </c>
      <c r="AP197" s="1" t="s">
        <v>1921</v>
      </c>
      <c r="AQ197" s="1" t="s">
        <v>74</v>
      </c>
      <c r="AR197" s="1" t="s">
        <v>74</v>
      </c>
      <c r="AS197" s="1" t="s">
        <v>74</v>
      </c>
      <c r="AT197" s="1" t="s">
        <v>158</v>
      </c>
      <c r="AU197" s="1">
        <v>2021.0</v>
      </c>
      <c r="AV197" s="1">
        <v>39.0</v>
      </c>
      <c r="AW197" s="1">
        <v>2.0</v>
      </c>
      <c r="AX197" s="1" t="s">
        <v>74</v>
      </c>
      <c r="AY197" s="1" t="s">
        <v>74</v>
      </c>
      <c r="AZ197" s="1" t="s">
        <v>74</v>
      </c>
      <c r="BA197" s="1" t="s">
        <v>74</v>
      </c>
      <c r="BB197" s="1">
        <v>297.0</v>
      </c>
      <c r="BC197" s="1">
        <v>327.0</v>
      </c>
      <c r="BD197" s="1" t="s">
        <v>1922</v>
      </c>
      <c r="BE197" s="1" t="s">
        <v>1923</v>
      </c>
      <c r="BF197" s="2" t="str">
        <f>HYPERLINK("http://dx.doi.org/10.1017/S0212610919000156","http://dx.doi.org/10.1017/S0212610919000156")</f>
        <v>http://dx.doi.org/10.1017/S0212610919000156</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1924</v>
      </c>
      <c r="BT197" s="1" t="str">
        <f>HYPERLINK("https%3A%2F%2Fwww.webofscience.com%2Fwos%2Fwoscc%2Ffull-record%2FWOS:000684596000006","View Full Record in Web of Science")</f>
        <v>View Full Record in Web of Science</v>
      </c>
    </row>
    <row r="198" ht="12.75" customHeight="1">
      <c r="A198" s="1" t="s">
        <v>72</v>
      </c>
      <c r="B198" s="1" t="s">
        <v>1925</v>
      </c>
      <c r="C198" s="1" t="s">
        <v>74</v>
      </c>
      <c r="D198" s="1" t="s">
        <v>74</v>
      </c>
      <c r="E198" s="1" t="s">
        <v>74</v>
      </c>
      <c r="F198" s="1" t="s">
        <v>1926</v>
      </c>
      <c r="G198" s="1" t="s">
        <v>74</v>
      </c>
      <c r="H198" s="1" t="s">
        <v>74</v>
      </c>
      <c r="I198" s="1" t="s">
        <v>1927</v>
      </c>
      <c r="J198" s="1" t="s">
        <v>1928</v>
      </c>
      <c r="K198" s="1" t="s">
        <v>74</v>
      </c>
      <c r="L198" s="1" t="s">
        <v>74</v>
      </c>
      <c r="M198" s="1" t="s">
        <v>74</v>
      </c>
      <c r="N198" s="1" t="s">
        <v>74</v>
      </c>
      <c r="O198" s="1" t="s">
        <v>74</v>
      </c>
      <c r="P198" s="1" t="s">
        <v>74</v>
      </c>
      <c r="Q198" s="1" t="s">
        <v>74</v>
      </c>
      <c r="R198" s="1" t="s">
        <v>74</v>
      </c>
      <c r="S198" s="1" t="s">
        <v>74</v>
      </c>
      <c r="T198" s="1" t="s">
        <v>74</v>
      </c>
      <c r="U198" s="1" t="s">
        <v>74</v>
      </c>
      <c r="V198" s="1" t="s">
        <v>1929</v>
      </c>
      <c r="W198" s="1" t="s">
        <v>74</v>
      </c>
      <c r="X198" s="1" t="s">
        <v>74</v>
      </c>
      <c r="Y198" s="1" t="s">
        <v>74</v>
      </c>
      <c r="Z198" s="1" t="s">
        <v>74</v>
      </c>
      <c r="AA198" s="1" t="s">
        <v>1930</v>
      </c>
      <c r="AB198" s="1" t="s">
        <v>74</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1931</v>
      </c>
      <c r="AP198" s="1" t="s">
        <v>1932</v>
      </c>
      <c r="AQ198" s="1" t="s">
        <v>74</v>
      </c>
      <c r="AR198" s="1" t="s">
        <v>74</v>
      </c>
      <c r="AS198" s="1" t="s">
        <v>74</v>
      </c>
      <c r="AT198" s="1" t="s">
        <v>158</v>
      </c>
      <c r="AU198" s="1">
        <v>2021.0</v>
      </c>
      <c r="AV198" s="1">
        <v>110.0</v>
      </c>
      <c r="AW198" s="1" t="s">
        <v>945</v>
      </c>
      <c r="AX198" s="1" t="s">
        <v>74</v>
      </c>
      <c r="AY198" s="1" t="s">
        <v>74</v>
      </c>
      <c r="AZ198" s="1" t="s">
        <v>74</v>
      </c>
      <c r="BA198" s="1" t="s">
        <v>74</v>
      </c>
      <c r="BB198" s="1">
        <v>609.0</v>
      </c>
      <c r="BC198" s="1">
        <v>622.0</v>
      </c>
      <c r="BD198" s="1" t="s">
        <v>74</v>
      </c>
      <c r="BE198" s="1" t="s">
        <v>1933</v>
      </c>
      <c r="BF198" s="2" t="str">
        <f>HYPERLINK("http://dx.doi.org/10.1134/S0001434621090315","http://dx.doi.org/10.1134/S0001434621090315")</f>
        <v>http://dx.doi.org/10.1134/S0001434621090315</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1934</v>
      </c>
      <c r="BT198" s="1" t="str">
        <f>HYPERLINK("https%3A%2F%2Fwww.webofscience.com%2Fwos%2Fwoscc%2Ffull-record%2FWOS:000711049900031","View Full Record in Web of Science")</f>
        <v>View Full Record in Web of Science</v>
      </c>
    </row>
    <row r="199" ht="12.75" customHeight="1">
      <c r="A199" s="1" t="s">
        <v>72</v>
      </c>
      <c r="B199" s="1" t="s">
        <v>1935</v>
      </c>
      <c r="C199" s="1" t="s">
        <v>74</v>
      </c>
      <c r="D199" s="1" t="s">
        <v>74</v>
      </c>
      <c r="E199" s="1" t="s">
        <v>74</v>
      </c>
      <c r="F199" s="1" t="s">
        <v>1936</v>
      </c>
      <c r="G199" s="1" t="s">
        <v>74</v>
      </c>
      <c r="H199" s="1" t="s">
        <v>74</v>
      </c>
      <c r="I199" s="1" t="s">
        <v>1937</v>
      </c>
      <c r="J199" s="1" t="s">
        <v>1938</v>
      </c>
      <c r="K199" s="1" t="s">
        <v>74</v>
      </c>
      <c r="L199" s="1" t="s">
        <v>74</v>
      </c>
      <c r="M199" s="1" t="s">
        <v>74</v>
      </c>
      <c r="N199" s="1" t="s">
        <v>74</v>
      </c>
      <c r="O199" s="1" t="s">
        <v>74</v>
      </c>
      <c r="P199" s="1" t="s">
        <v>74</v>
      </c>
      <c r="Q199" s="1" t="s">
        <v>74</v>
      </c>
      <c r="R199" s="1" t="s">
        <v>74</v>
      </c>
      <c r="S199" s="1" t="s">
        <v>74</v>
      </c>
      <c r="T199" s="1" t="s">
        <v>74</v>
      </c>
      <c r="U199" s="1" t="s">
        <v>74</v>
      </c>
      <c r="V199" s="1" t="s">
        <v>1939</v>
      </c>
      <c r="W199" s="1" t="s">
        <v>74</v>
      </c>
      <c r="X199" s="1" t="s">
        <v>74</v>
      </c>
      <c r="Y199" s="1" t="s">
        <v>74</v>
      </c>
      <c r="Z199" s="1" t="s">
        <v>74</v>
      </c>
      <c r="AA199" s="1" t="s">
        <v>74</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1940</v>
      </c>
      <c r="AP199" s="1" t="s">
        <v>1941</v>
      </c>
      <c r="AQ199" s="1" t="s">
        <v>74</v>
      </c>
      <c r="AR199" s="1" t="s">
        <v>74</v>
      </c>
      <c r="AS199" s="1" t="s">
        <v>74</v>
      </c>
      <c r="AT199" s="1" t="s">
        <v>148</v>
      </c>
      <c r="AU199" s="1">
        <v>2021.0</v>
      </c>
      <c r="AV199" s="1">
        <v>16.0</v>
      </c>
      <c r="AW199" s="1">
        <v>39.0</v>
      </c>
      <c r="AX199" s="1" t="s">
        <v>74</v>
      </c>
      <c r="AY199" s="1" t="s">
        <v>74</v>
      </c>
      <c r="AZ199" s="1" t="s">
        <v>74</v>
      </c>
      <c r="BA199" s="1" t="s">
        <v>74</v>
      </c>
      <c r="BB199" s="1">
        <v>59.0</v>
      </c>
      <c r="BC199" s="1">
        <v>92.0</v>
      </c>
      <c r="BD199" s="1" t="s">
        <v>74</v>
      </c>
      <c r="BE199" s="1" t="s">
        <v>1942</v>
      </c>
      <c r="BF199" s="2" t="str">
        <f>HYPERLINK("http://dx.doi.org/10.15648/hc.39.2021.2960","http://dx.doi.org/10.15648/hc.39.2021.2960")</f>
        <v>http://dx.doi.org/10.15648/hc.39.2021.2960</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1943</v>
      </c>
      <c r="BT199" s="1" t="str">
        <f>HYPERLINK("https%3A%2F%2Fwww.webofscience.com%2Fwos%2Fwoscc%2Ffull-record%2FWOS:000756721200004","View Full Record in Web of Science")</f>
        <v>View Full Record in Web of Science</v>
      </c>
    </row>
    <row r="200" ht="12.75" customHeight="1">
      <c r="A200" s="1" t="s">
        <v>72</v>
      </c>
      <c r="B200" s="1" t="s">
        <v>1944</v>
      </c>
      <c r="C200" s="1" t="s">
        <v>74</v>
      </c>
      <c r="D200" s="1" t="s">
        <v>74</v>
      </c>
      <c r="E200" s="1" t="s">
        <v>74</v>
      </c>
      <c r="F200" s="1" t="s">
        <v>1945</v>
      </c>
      <c r="G200" s="1" t="s">
        <v>74</v>
      </c>
      <c r="H200" s="1" t="s">
        <v>74</v>
      </c>
      <c r="I200" s="1" t="s">
        <v>1946</v>
      </c>
      <c r="J200" s="1" t="s">
        <v>1947</v>
      </c>
      <c r="K200" s="1" t="s">
        <v>74</v>
      </c>
      <c r="L200" s="1" t="s">
        <v>74</v>
      </c>
      <c r="M200" s="1" t="s">
        <v>74</v>
      </c>
      <c r="N200" s="1" t="s">
        <v>74</v>
      </c>
      <c r="O200" s="1" t="s">
        <v>74</v>
      </c>
      <c r="P200" s="1" t="s">
        <v>74</v>
      </c>
      <c r="Q200" s="1" t="s">
        <v>74</v>
      </c>
      <c r="R200" s="1" t="s">
        <v>74</v>
      </c>
      <c r="S200" s="1" t="s">
        <v>74</v>
      </c>
      <c r="T200" s="1" t="s">
        <v>74</v>
      </c>
      <c r="U200" s="1" t="s">
        <v>74</v>
      </c>
      <c r="V200" s="1" t="s">
        <v>1948</v>
      </c>
      <c r="W200" s="1" t="s">
        <v>74</v>
      </c>
      <c r="X200" s="1" t="s">
        <v>74</v>
      </c>
      <c r="Y200" s="1" t="s">
        <v>74</v>
      </c>
      <c r="Z200" s="1" t="s">
        <v>74</v>
      </c>
      <c r="AA200" s="1" t="s">
        <v>1949</v>
      </c>
      <c r="AB200" s="1" t="s">
        <v>1950</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1951</v>
      </c>
      <c r="AP200" s="1" t="s">
        <v>74</v>
      </c>
      <c r="AQ200" s="1" t="s">
        <v>74</v>
      </c>
      <c r="AR200" s="1" t="s">
        <v>74</v>
      </c>
      <c r="AS200" s="1" t="s">
        <v>74</v>
      </c>
      <c r="AT200" s="1" t="s">
        <v>1952</v>
      </c>
      <c r="AU200" s="1">
        <v>2021.0</v>
      </c>
      <c r="AV200" s="1" t="s">
        <v>74</v>
      </c>
      <c r="AW200" s="1">
        <v>5.0</v>
      </c>
      <c r="AX200" s="1" t="s">
        <v>74</v>
      </c>
      <c r="AY200" s="1" t="s">
        <v>74</v>
      </c>
      <c r="AZ200" s="1" t="s">
        <v>74</v>
      </c>
      <c r="BA200" s="1" t="s">
        <v>74</v>
      </c>
      <c r="BB200" s="1" t="s">
        <v>74</v>
      </c>
      <c r="BC200" s="1" t="s">
        <v>74</v>
      </c>
      <c r="BD200" s="1">
        <v>165.0</v>
      </c>
      <c r="BE200" s="1" t="s">
        <v>1953</v>
      </c>
      <c r="BF200" s="2" t="str">
        <f>HYPERLINK("http://dx.doi.org/10.1007/JHEP05(2021)165","http://dx.doi.org/10.1007/JHEP05(2021)165")</f>
        <v>http://dx.doi.org/10.1007/JHEP05(2021)165</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1954</v>
      </c>
      <c r="BT200" s="1" t="str">
        <f>HYPERLINK("https%3A%2F%2Fwww.webofscience.com%2Fwos%2Fwoscc%2Ffull-record%2FWOS:000658363200002","View Full Record in Web of Science")</f>
        <v>View Full Record in Web of Science</v>
      </c>
    </row>
    <row r="201" ht="12.75" customHeight="1">
      <c r="A201" s="1" t="s">
        <v>72</v>
      </c>
      <c r="B201" s="1" t="s">
        <v>1955</v>
      </c>
      <c r="C201" s="1" t="s">
        <v>74</v>
      </c>
      <c r="D201" s="1" t="s">
        <v>74</v>
      </c>
      <c r="E201" s="1" t="s">
        <v>74</v>
      </c>
      <c r="F201" s="1" t="s">
        <v>1956</v>
      </c>
      <c r="G201" s="1" t="s">
        <v>74</v>
      </c>
      <c r="H201" s="1" t="s">
        <v>74</v>
      </c>
      <c r="I201" s="1" t="s">
        <v>1957</v>
      </c>
      <c r="J201" s="1" t="s">
        <v>1958</v>
      </c>
      <c r="K201" s="1" t="s">
        <v>74</v>
      </c>
      <c r="L201" s="1" t="s">
        <v>74</v>
      </c>
      <c r="M201" s="1" t="s">
        <v>74</v>
      </c>
      <c r="N201" s="1" t="s">
        <v>74</v>
      </c>
      <c r="O201" s="1" t="s">
        <v>74</v>
      </c>
      <c r="P201" s="1" t="s">
        <v>74</v>
      </c>
      <c r="Q201" s="1" t="s">
        <v>74</v>
      </c>
      <c r="R201" s="1" t="s">
        <v>74</v>
      </c>
      <c r="S201" s="1" t="s">
        <v>74</v>
      </c>
      <c r="T201" s="1" t="s">
        <v>74</v>
      </c>
      <c r="U201" s="1" t="s">
        <v>74</v>
      </c>
      <c r="V201" s="1" t="s">
        <v>1959</v>
      </c>
      <c r="W201" s="1" t="s">
        <v>74</v>
      </c>
      <c r="X201" s="1" t="s">
        <v>74</v>
      </c>
      <c r="Y201" s="1" t="s">
        <v>74</v>
      </c>
      <c r="Z201" s="1" t="s">
        <v>74</v>
      </c>
      <c r="AA201" s="1" t="s">
        <v>1960</v>
      </c>
      <c r="AB201" s="1" t="s">
        <v>1961</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1962</v>
      </c>
      <c r="AP201" s="1" t="s">
        <v>1963</v>
      </c>
      <c r="AQ201" s="1" t="s">
        <v>74</v>
      </c>
      <c r="AR201" s="1" t="s">
        <v>74</v>
      </c>
      <c r="AS201" s="1" t="s">
        <v>74</v>
      </c>
      <c r="AT201" s="1" t="s">
        <v>1964</v>
      </c>
      <c r="AU201" s="1">
        <v>2021.0</v>
      </c>
      <c r="AV201" s="1">
        <v>45.0</v>
      </c>
      <c r="AW201" s="1">
        <v>14.0</v>
      </c>
      <c r="AX201" s="1" t="s">
        <v>74</v>
      </c>
      <c r="AY201" s="1" t="s">
        <v>74</v>
      </c>
      <c r="AZ201" s="1" t="s">
        <v>74</v>
      </c>
      <c r="BA201" s="1" t="s">
        <v>74</v>
      </c>
      <c r="BB201" s="1">
        <v>6521.0</v>
      </c>
      <c r="BC201" s="1">
        <v>6534.0</v>
      </c>
      <c r="BD201" s="1" t="s">
        <v>74</v>
      </c>
      <c r="BE201" s="1" t="s">
        <v>1965</v>
      </c>
      <c r="BF201" s="2" t="str">
        <f>HYPERLINK("http://dx.doi.org/10.1039/d1nj00091h","http://dx.doi.org/10.1039/d1nj00091h")</f>
        <v>http://dx.doi.org/10.1039/d1nj00091h</v>
      </c>
      <c r="BG201" s="1" t="s">
        <v>74</v>
      </c>
      <c r="BH201" s="1" t="s">
        <v>1966</v>
      </c>
      <c r="BI201" s="1" t="s">
        <v>74</v>
      </c>
      <c r="BJ201" s="1" t="s">
        <v>74</v>
      </c>
      <c r="BK201" s="1" t="s">
        <v>74</v>
      </c>
      <c r="BL201" s="1" t="s">
        <v>74</v>
      </c>
      <c r="BM201" s="1" t="s">
        <v>74</v>
      </c>
      <c r="BN201" s="1" t="s">
        <v>74</v>
      </c>
      <c r="BO201" s="1" t="s">
        <v>74</v>
      </c>
      <c r="BP201" s="1" t="s">
        <v>74</v>
      </c>
      <c r="BQ201" s="1" t="s">
        <v>74</v>
      </c>
      <c r="BR201" s="1" t="s">
        <v>74</v>
      </c>
      <c r="BS201" s="1" t="s">
        <v>1967</v>
      </c>
      <c r="BT201" s="1" t="str">
        <f>HYPERLINK("https%3A%2F%2Fwww.webofscience.com%2Fwos%2Fwoscc%2Ffull-record%2FWOS:000632588500001","View Full Record in Web of Science")</f>
        <v>View Full Record in Web of Science</v>
      </c>
    </row>
    <row r="202" ht="12.75" customHeight="1">
      <c r="A202" s="1" t="s">
        <v>105</v>
      </c>
      <c r="B202" s="1" t="s">
        <v>1968</v>
      </c>
      <c r="C202" s="1" t="s">
        <v>74</v>
      </c>
      <c r="D202" s="1" t="s">
        <v>1969</v>
      </c>
      <c r="E202" s="1" t="s">
        <v>74</v>
      </c>
      <c r="F202" s="1" t="s">
        <v>1970</v>
      </c>
      <c r="G202" s="1" t="s">
        <v>74</v>
      </c>
      <c r="H202" s="1" t="s">
        <v>74</v>
      </c>
      <c r="I202" s="1" t="s">
        <v>1971</v>
      </c>
      <c r="J202" s="1" t="s">
        <v>1972</v>
      </c>
      <c r="K202" s="1" t="s">
        <v>74</v>
      </c>
      <c r="L202" s="1" t="s">
        <v>74</v>
      </c>
      <c r="M202" s="1" t="s">
        <v>74</v>
      </c>
      <c r="N202" s="1" t="s">
        <v>74</v>
      </c>
      <c r="O202" s="1" t="s">
        <v>74</v>
      </c>
      <c r="P202" s="1" t="s">
        <v>74</v>
      </c>
      <c r="Q202" s="1" t="s">
        <v>74</v>
      </c>
      <c r="R202" s="1" t="s">
        <v>74</v>
      </c>
      <c r="S202" s="1" t="s">
        <v>74</v>
      </c>
      <c r="T202" s="1" t="s">
        <v>74</v>
      </c>
      <c r="U202" s="1" t="s">
        <v>74</v>
      </c>
      <c r="V202" s="1" t="s">
        <v>74</v>
      </c>
      <c r="W202" s="1" t="s">
        <v>74</v>
      </c>
      <c r="X202" s="1" t="s">
        <v>74</v>
      </c>
      <c r="Y202" s="1" t="s">
        <v>74</v>
      </c>
      <c r="Z202" s="1" t="s">
        <v>74</v>
      </c>
      <c r="AA202" s="1" t="s">
        <v>1973</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74</v>
      </c>
      <c r="AP202" s="1" t="s">
        <v>74</v>
      </c>
      <c r="AQ202" s="1" t="s">
        <v>1974</v>
      </c>
      <c r="AR202" s="1" t="s">
        <v>74</v>
      </c>
      <c r="AS202" s="1" t="s">
        <v>74</v>
      </c>
      <c r="AT202" s="1" t="s">
        <v>74</v>
      </c>
      <c r="AU202" s="1">
        <v>2021.0</v>
      </c>
      <c r="AV202" s="1" t="s">
        <v>74</v>
      </c>
      <c r="AW202" s="1" t="s">
        <v>74</v>
      </c>
      <c r="AX202" s="1" t="s">
        <v>74</v>
      </c>
      <c r="AY202" s="1" t="s">
        <v>74</v>
      </c>
      <c r="AZ202" s="1" t="s">
        <v>74</v>
      </c>
      <c r="BA202" s="1" t="s">
        <v>74</v>
      </c>
      <c r="BB202" s="1">
        <v>255.0</v>
      </c>
      <c r="BC202" s="1">
        <v>273.0</v>
      </c>
      <c r="BD202" s="1" t="s">
        <v>74</v>
      </c>
      <c r="BE202" s="1" t="s">
        <v>74</v>
      </c>
      <c r="BF202" s="1" t="s">
        <v>74</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1975</v>
      </c>
      <c r="BT202" s="1" t="str">
        <f>HYPERLINK("https%3A%2F%2Fwww.webofscience.com%2Fwos%2Fwoscc%2Ffull-record%2FWOS:000651158400013","View Full Record in Web of Science")</f>
        <v>View Full Record in Web of Science</v>
      </c>
    </row>
    <row r="203" ht="12.75" customHeight="1">
      <c r="A203" s="1" t="s">
        <v>72</v>
      </c>
      <c r="B203" s="1" t="s">
        <v>218</v>
      </c>
      <c r="C203" s="1" t="s">
        <v>74</v>
      </c>
      <c r="D203" s="1" t="s">
        <v>74</v>
      </c>
      <c r="E203" s="1" t="s">
        <v>74</v>
      </c>
      <c r="F203" s="1" t="s">
        <v>219</v>
      </c>
      <c r="G203" s="1" t="s">
        <v>74</v>
      </c>
      <c r="H203" s="1" t="s">
        <v>74</v>
      </c>
      <c r="I203" s="1" t="s">
        <v>1976</v>
      </c>
      <c r="J203" s="1" t="s">
        <v>377</v>
      </c>
      <c r="K203" s="1" t="s">
        <v>74</v>
      </c>
      <c r="L203" s="1" t="s">
        <v>74</v>
      </c>
      <c r="M203" s="1" t="s">
        <v>74</v>
      </c>
      <c r="N203" s="1" t="s">
        <v>74</v>
      </c>
      <c r="O203" s="1" t="s">
        <v>74</v>
      </c>
      <c r="P203" s="1" t="s">
        <v>74</v>
      </c>
      <c r="Q203" s="1" t="s">
        <v>74</v>
      </c>
      <c r="R203" s="1" t="s">
        <v>74</v>
      </c>
      <c r="S203" s="1" t="s">
        <v>74</v>
      </c>
      <c r="T203" s="1" t="s">
        <v>74</v>
      </c>
      <c r="U203" s="1" t="s">
        <v>74</v>
      </c>
      <c r="V203" s="1" t="s">
        <v>1977</v>
      </c>
      <c r="W203" s="1" t="s">
        <v>74</v>
      </c>
      <c r="X203" s="1" t="s">
        <v>74</v>
      </c>
      <c r="Y203" s="1" t="s">
        <v>74</v>
      </c>
      <c r="Z203" s="1" t="s">
        <v>74</v>
      </c>
      <c r="AA203" s="1" t="s">
        <v>74</v>
      </c>
      <c r="AB203" s="1" t="s">
        <v>74</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381</v>
      </c>
      <c r="AP203" s="1" t="s">
        <v>74</v>
      </c>
      <c r="AQ203" s="1" t="s">
        <v>74</v>
      </c>
      <c r="AR203" s="1" t="s">
        <v>74</v>
      </c>
      <c r="AS203" s="1" t="s">
        <v>74</v>
      </c>
      <c r="AT203" s="1" t="s">
        <v>148</v>
      </c>
      <c r="AU203" s="1">
        <v>2020.0</v>
      </c>
      <c r="AV203" s="1">
        <v>53.0</v>
      </c>
      <c r="AW203" s="1">
        <v>2.0</v>
      </c>
      <c r="AX203" s="1" t="s">
        <v>74</v>
      </c>
      <c r="AY203" s="1" t="s">
        <v>74</v>
      </c>
      <c r="AZ203" s="1" t="s">
        <v>74</v>
      </c>
      <c r="BA203" s="1" t="s">
        <v>74</v>
      </c>
      <c r="BB203" s="1">
        <v>591.0</v>
      </c>
      <c r="BC203" s="1">
        <v>629.0</v>
      </c>
      <c r="BD203" s="1" t="s">
        <v>74</v>
      </c>
      <c r="BE203" s="1" t="s">
        <v>74</v>
      </c>
      <c r="BF203" s="1" t="s">
        <v>74</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1978</v>
      </c>
      <c r="BT203" s="1" t="str">
        <f>HYPERLINK("https%3A%2F%2Fwww.webofscience.com%2Fwos%2Fwoscc%2Ffull-record%2FWOS:000612332100008","View Full Record in Web of Science")</f>
        <v>View Full Record in Web of Science</v>
      </c>
    </row>
    <row r="204" ht="12.75" customHeight="1">
      <c r="A204" s="1" t="s">
        <v>72</v>
      </c>
      <c r="B204" s="1" t="s">
        <v>1979</v>
      </c>
      <c r="C204" s="1" t="s">
        <v>74</v>
      </c>
      <c r="D204" s="1" t="s">
        <v>74</v>
      </c>
      <c r="E204" s="1" t="s">
        <v>74</v>
      </c>
      <c r="F204" s="1" t="s">
        <v>1980</v>
      </c>
      <c r="G204" s="1" t="s">
        <v>74</v>
      </c>
      <c r="H204" s="1" t="s">
        <v>74</v>
      </c>
      <c r="I204" s="1" t="s">
        <v>1981</v>
      </c>
      <c r="J204" s="1" t="s">
        <v>1027</v>
      </c>
      <c r="K204" s="1" t="s">
        <v>74</v>
      </c>
      <c r="L204" s="1" t="s">
        <v>74</v>
      </c>
      <c r="M204" s="1" t="s">
        <v>74</v>
      </c>
      <c r="N204" s="1" t="s">
        <v>74</v>
      </c>
      <c r="O204" s="1" t="s">
        <v>74</v>
      </c>
      <c r="P204" s="1" t="s">
        <v>74</v>
      </c>
      <c r="Q204" s="1" t="s">
        <v>74</v>
      </c>
      <c r="R204" s="1" t="s">
        <v>74</v>
      </c>
      <c r="S204" s="1" t="s">
        <v>74</v>
      </c>
      <c r="T204" s="1" t="s">
        <v>74</v>
      </c>
      <c r="U204" s="1" t="s">
        <v>74</v>
      </c>
      <c r="V204" s="1" t="s">
        <v>1982</v>
      </c>
      <c r="W204" s="1" t="s">
        <v>74</v>
      </c>
      <c r="X204" s="1" t="s">
        <v>74</v>
      </c>
      <c r="Y204" s="1" t="s">
        <v>74</v>
      </c>
      <c r="Z204" s="1" t="s">
        <v>74</v>
      </c>
      <c r="AA204" s="1" t="s">
        <v>1983</v>
      </c>
      <c r="AB204" s="1" t="s">
        <v>1984</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1029</v>
      </c>
      <c r="AP204" s="1" t="s">
        <v>1030</v>
      </c>
      <c r="AQ204" s="1" t="s">
        <v>74</v>
      </c>
      <c r="AR204" s="1" t="s">
        <v>74</v>
      </c>
      <c r="AS204" s="1" t="s">
        <v>74</v>
      </c>
      <c r="AT204" s="1" t="s">
        <v>171</v>
      </c>
      <c r="AU204" s="1">
        <v>2020.0</v>
      </c>
      <c r="AV204" s="1">
        <v>35.0</v>
      </c>
      <c r="AW204" s="1">
        <v>1.0</v>
      </c>
      <c r="AX204" s="1" t="s">
        <v>74</v>
      </c>
      <c r="AY204" s="1" t="s">
        <v>74</v>
      </c>
      <c r="AZ204" s="1" t="s">
        <v>74</v>
      </c>
      <c r="BA204" s="1" t="s">
        <v>74</v>
      </c>
      <c r="BB204" s="1">
        <v>46.0</v>
      </c>
      <c r="BC204" s="1">
        <v>73.0</v>
      </c>
      <c r="BD204" s="1" t="s">
        <v>74</v>
      </c>
      <c r="BE204" s="1" t="s">
        <v>74</v>
      </c>
      <c r="BF204" s="1" t="s">
        <v>74</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1985</v>
      </c>
      <c r="BT204" s="1" t="str">
        <f>HYPERLINK("https%3A%2F%2Fwww.webofscience.com%2Fwos%2Fwoscc%2Ffull-record%2FWOS:000583662500003","View Full Record in Web of Science")</f>
        <v>View Full Record in Web of Science</v>
      </c>
    </row>
    <row r="205" ht="12.75" customHeight="1">
      <c r="A205" s="1" t="s">
        <v>72</v>
      </c>
      <c r="B205" s="1" t="s">
        <v>1986</v>
      </c>
      <c r="C205" s="1" t="s">
        <v>74</v>
      </c>
      <c r="D205" s="1" t="s">
        <v>74</v>
      </c>
      <c r="E205" s="1" t="s">
        <v>74</v>
      </c>
      <c r="F205" s="1" t="s">
        <v>1987</v>
      </c>
      <c r="G205" s="1" t="s">
        <v>74</v>
      </c>
      <c r="H205" s="1" t="s">
        <v>74</v>
      </c>
      <c r="I205" s="1" t="s">
        <v>1988</v>
      </c>
      <c r="J205" s="1" t="s">
        <v>1989</v>
      </c>
      <c r="K205" s="1" t="s">
        <v>74</v>
      </c>
      <c r="L205" s="1" t="s">
        <v>74</v>
      </c>
      <c r="M205" s="1" t="s">
        <v>74</v>
      </c>
      <c r="N205" s="1" t="s">
        <v>74</v>
      </c>
      <c r="O205" s="1" t="s">
        <v>74</v>
      </c>
      <c r="P205" s="1" t="s">
        <v>74</v>
      </c>
      <c r="Q205" s="1" t="s">
        <v>74</v>
      </c>
      <c r="R205" s="1" t="s">
        <v>74</v>
      </c>
      <c r="S205" s="1" t="s">
        <v>74</v>
      </c>
      <c r="T205" s="1" t="s">
        <v>74</v>
      </c>
      <c r="U205" s="1" t="s">
        <v>74</v>
      </c>
      <c r="V205" s="1" t="s">
        <v>1990</v>
      </c>
      <c r="W205" s="1" t="s">
        <v>74</v>
      </c>
      <c r="X205" s="1" t="s">
        <v>74</v>
      </c>
      <c r="Y205" s="1" t="s">
        <v>74</v>
      </c>
      <c r="Z205" s="1" t="s">
        <v>74</v>
      </c>
      <c r="AA205" s="1" t="s">
        <v>1991</v>
      </c>
      <c r="AB205" s="1" t="s">
        <v>1077</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74</v>
      </c>
      <c r="AP205" s="1" t="s">
        <v>1992</v>
      </c>
      <c r="AQ205" s="1" t="s">
        <v>74</v>
      </c>
      <c r="AR205" s="1" t="s">
        <v>74</v>
      </c>
      <c r="AS205" s="1" t="s">
        <v>74</v>
      </c>
      <c r="AT205" s="1" t="s">
        <v>193</v>
      </c>
      <c r="AU205" s="1">
        <v>2020.0</v>
      </c>
      <c r="AV205" s="1">
        <v>13.0</v>
      </c>
      <c r="AW205" s="1">
        <v>8.0</v>
      </c>
      <c r="AX205" s="1" t="s">
        <v>74</v>
      </c>
      <c r="AY205" s="1" t="s">
        <v>74</v>
      </c>
      <c r="AZ205" s="1" t="s">
        <v>74</v>
      </c>
      <c r="BA205" s="1" t="s">
        <v>74</v>
      </c>
      <c r="BB205" s="1" t="s">
        <v>74</v>
      </c>
      <c r="BC205" s="1" t="s">
        <v>74</v>
      </c>
      <c r="BD205" s="1">
        <v>1910.0</v>
      </c>
      <c r="BE205" s="1" t="s">
        <v>1993</v>
      </c>
      <c r="BF205" s="2" t="str">
        <f>HYPERLINK("http://dx.doi.org/10.3390/en13081910","http://dx.doi.org/10.3390/en13081910")</f>
        <v>http://dx.doi.org/10.3390/en13081910</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1994</v>
      </c>
      <c r="BT205" s="1" t="str">
        <f>HYPERLINK("https%3A%2F%2Fwww.webofscience.com%2Fwos%2Fwoscc%2Ffull-record%2FWOS:000538041800053","View Full Record in Web of Science")</f>
        <v>View Full Record in Web of Science</v>
      </c>
    </row>
    <row r="206" ht="12.75" customHeight="1">
      <c r="A206" s="1" t="s">
        <v>105</v>
      </c>
      <c r="B206" s="1" t="s">
        <v>1904</v>
      </c>
      <c r="C206" s="1" t="s">
        <v>74</v>
      </c>
      <c r="D206" s="1" t="s">
        <v>74</v>
      </c>
      <c r="E206" s="1" t="s">
        <v>228</v>
      </c>
      <c r="F206" s="1" t="s">
        <v>1906</v>
      </c>
      <c r="G206" s="1" t="s">
        <v>74</v>
      </c>
      <c r="H206" s="1" t="s">
        <v>74</v>
      </c>
      <c r="I206" s="1" t="s">
        <v>1995</v>
      </c>
      <c r="J206" s="1" t="s">
        <v>1996</v>
      </c>
      <c r="K206" s="1" t="s">
        <v>74</v>
      </c>
      <c r="L206" s="1" t="s">
        <v>74</v>
      </c>
      <c r="M206" s="1" t="s">
        <v>74</v>
      </c>
      <c r="N206" s="1" t="s">
        <v>74</v>
      </c>
      <c r="O206" s="1" t="s">
        <v>74</v>
      </c>
      <c r="P206" s="1" t="s">
        <v>74</v>
      </c>
      <c r="Q206" s="1" t="s">
        <v>74</v>
      </c>
      <c r="R206" s="1" t="s">
        <v>74</v>
      </c>
      <c r="S206" s="1" t="s">
        <v>74</v>
      </c>
      <c r="T206" s="1" t="s">
        <v>74</v>
      </c>
      <c r="U206" s="1" t="s">
        <v>74</v>
      </c>
      <c r="V206" s="1" t="s">
        <v>1997</v>
      </c>
      <c r="W206" s="1" t="s">
        <v>74</v>
      </c>
      <c r="X206" s="1" t="s">
        <v>74</v>
      </c>
      <c r="Y206" s="1" t="s">
        <v>74</v>
      </c>
      <c r="Z206" s="1" t="s">
        <v>74</v>
      </c>
      <c r="AA206" s="1" t="s">
        <v>74</v>
      </c>
      <c r="AB206" s="1" t="s">
        <v>74</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74</v>
      </c>
      <c r="AP206" s="1" t="s">
        <v>74</v>
      </c>
      <c r="AQ206" s="1" t="s">
        <v>1998</v>
      </c>
      <c r="AR206" s="1" t="s">
        <v>74</v>
      </c>
      <c r="AS206" s="1" t="s">
        <v>74</v>
      </c>
      <c r="AT206" s="1" t="s">
        <v>74</v>
      </c>
      <c r="AU206" s="1">
        <v>2020.0</v>
      </c>
      <c r="AV206" s="1" t="s">
        <v>74</v>
      </c>
      <c r="AW206" s="1" t="s">
        <v>74</v>
      </c>
      <c r="AX206" s="1" t="s">
        <v>74</v>
      </c>
      <c r="AY206" s="1" t="s">
        <v>74</v>
      </c>
      <c r="AZ206" s="1" t="s">
        <v>74</v>
      </c>
      <c r="BA206" s="1" t="s">
        <v>74</v>
      </c>
      <c r="BB206" s="1">
        <v>12.0</v>
      </c>
      <c r="BC206" s="1">
        <v>29.0</v>
      </c>
      <c r="BD206" s="1" t="s">
        <v>74</v>
      </c>
      <c r="BE206" s="1" t="s">
        <v>74</v>
      </c>
      <c r="BF206" s="1" t="s">
        <v>74</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1999</v>
      </c>
      <c r="BT206" s="1" t="str">
        <f>HYPERLINK("https%3A%2F%2Fwww.webofscience.com%2Fwos%2Fwoscc%2Ffull-record%2FWOS:000608874800002","View Full Record in Web of Science")</f>
        <v>View Full Record in Web of Science</v>
      </c>
    </row>
    <row r="207" ht="12.75" customHeight="1">
      <c r="A207" s="1" t="s">
        <v>126</v>
      </c>
      <c r="B207" s="1" t="s">
        <v>2000</v>
      </c>
      <c r="C207" s="1" t="s">
        <v>74</v>
      </c>
      <c r="D207" s="1" t="s">
        <v>74</v>
      </c>
      <c r="E207" s="1" t="s">
        <v>128</v>
      </c>
      <c r="F207" s="1" t="s">
        <v>2001</v>
      </c>
      <c r="G207" s="1" t="s">
        <v>74</v>
      </c>
      <c r="H207" s="1" t="s">
        <v>74</v>
      </c>
      <c r="I207" s="1" t="s">
        <v>2002</v>
      </c>
      <c r="J207" s="1" t="s">
        <v>2003</v>
      </c>
      <c r="K207" s="1" t="s">
        <v>1154</v>
      </c>
      <c r="L207" s="1" t="s">
        <v>74</v>
      </c>
      <c r="M207" s="1" t="s">
        <v>74</v>
      </c>
      <c r="N207" s="1" t="s">
        <v>74</v>
      </c>
      <c r="O207" s="1" t="s">
        <v>2004</v>
      </c>
      <c r="P207" s="1" t="s">
        <v>2005</v>
      </c>
      <c r="Q207" s="1" t="s">
        <v>2006</v>
      </c>
      <c r="R207" s="1" t="s">
        <v>2007</v>
      </c>
      <c r="S207" s="1" t="s">
        <v>2008</v>
      </c>
      <c r="T207" s="1" t="s">
        <v>74</v>
      </c>
      <c r="U207" s="1" t="s">
        <v>74</v>
      </c>
      <c r="V207" s="1" t="s">
        <v>74</v>
      </c>
      <c r="W207" s="1" t="s">
        <v>74</v>
      </c>
      <c r="X207" s="1" t="s">
        <v>74</v>
      </c>
      <c r="Y207" s="1" t="s">
        <v>74</v>
      </c>
      <c r="Z207" s="1" t="s">
        <v>74</v>
      </c>
      <c r="AA207" s="1" t="s">
        <v>2009</v>
      </c>
      <c r="AB207" s="1" t="s">
        <v>2010</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1163</v>
      </c>
      <c r="AP207" s="1" t="s">
        <v>74</v>
      </c>
      <c r="AQ207" s="1" t="s">
        <v>2011</v>
      </c>
      <c r="AR207" s="1" t="s">
        <v>74</v>
      </c>
      <c r="AS207" s="1" t="s">
        <v>74</v>
      </c>
      <c r="AT207" s="1" t="s">
        <v>74</v>
      </c>
      <c r="AU207" s="1">
        <v>2020.0</v>
      </c>
      <c r="AV207" s="1" t="s">
        <v>74</v>
      </c>
      <c r="AW207" s="1" t="s">
        <v>74</v>
      </c>
      <c r="AX207" s="1" t="s">
        <v>74</v>
      </c>
      <c r="AY207" s="1" t="s">
        <v>74</v>
      </c>
      <c r="AZ207" s="1" t="s">
        <v>74</v>
      </c>
      <c r="BA207" s="1" t="s">
        <v>74</v>
      </c>
      <c r="BB207" s="1" t="s">
        <v>74</v>
      </c>
      <c r="BC207" s="1" t="s">
        <v>74</v>
      </c>
      <c r="BD207" s="1" t="s">
        <v>74</v>
      </c>
      <c r="BE207" s="1" t="s">
        <v>74</v>
      </c>
      <c r="BF207" s="1" t="s">
        <v>74</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2012</v>
      </c>
      <c r="BT207" s="1" t="str">
        <f>HYPERLINK("https%3A%2F%2Fwww.webofscience.com%2Fwos%2Fwoscc%2Ffull-record%2FWOS:000848755600081","View Full Record in Web of Science")</f>
        <v>View Full Record in Web of Science</v>
      </c>
    </row>
    <row r="208" ht="12.75" customHeight="1">
      <c r="A208" s="1" t="s">
        <v>105</v>
      </c>
      <c r="B208" s="1" t="s">
        <v>2013</v>
      </c>
      <c r="C208" s="1" t="s">
        <v>74</v>
      </c>
      <c r="D208" s="1" t="s">
        <v>2014</v>
      </c>
      <c r="E208" s="1" t="s">
        <v>74</v>
      </c>
      <c r="F208" s="1" t="s">
        <v>2015</v>
      </c>
      <c r="G208" s="1" t="s">
        <v>74</v>
      </c>
      <c r="H208" s="1" t="s">
        <v>74</v>
      </c>
      <c r="I208" s="1" t="s">
        <v>2016</v>
      </c>
      <c r="J208" s="1" t="s">
        <v>2017</v>
      </c>
      <c r="K208" s="1" t="s">
        <v>74</v>
      </c>
      <c r="L208" s="1" t="s">
        <v>74</v>
      </c>
      <c r="M208" s="1" t="s">
        <v>74</v>
      </c>
      <c r="N208" s="1" t="s">
        <v>74</v>
      </c>
      <c r="O208" s="1" t="s">
        <v>74</v>
      </c>
      <c r="P208" s="1" t="s">
        <v>74</v>
      </c>
      <c r="Q208" s="1" t="s">
        <v>74</v>
      </c>
      <c r="R208" s="1" t="s">
        <v>74</v>
      </c>
      <c r="S208" s="1" t="s">
        <v>74</v>
      </c>
      <c r="T208" s="1" t="s">
        <v>74</v>
      </c>
      <c r="U208" s="1" t="s">
        <v>74</v>
      </c>
      <c r="V208" s="1" t="s">
        <v>2018</v>
      </c>
      <c r="W208" s="1" t="s">
        <v>74</v>
      </c>
      <c r="X208" s="1" t="s">
        <v>74</v>
      </c>
      <c r="Y208" s="1" t="s">
        <v>74</v>
      </c>
      <c r="Z208" s="1" t="s">
        <v>74</v>
      </c>
      <c r="AA208" s="1" t="s">
        <v>74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74</v>
      </c>
      <c r="AP208" s="1" t="s">
        <v>74</v>
      </c>
      <c r="AQ208" s="1" t="s">
        <v>2019</v>
      </c>
      <c r="AR208" s="1" t="s">
        <v>74</v>
      </c>
      <c r="AS208" s="1" t="s">
        <v>74</v>
      </c>
      <c r="AT208" s="1" t="s">
        <v>74</v>
      </c>
      <c r="AU208" s="1">
        <v>2020.0</v>
      </c>
      <c r="AV208" s="1" t="s">
        <v>74</v>
      </c>
      <c r="AW208" s="1" t="s">
        <v>74</v>
      </c>
      <c r="AX208" s="1" t="s">
        <v>74</v>
      </c>
      <c r="AY208" s="1" t="s">
        <v>74</v>
      </c>
      <c r="AZ208" s="1" t="s">
        <v>74</v>
      </c>
      <c r="BA208" s="1" t="s">
        <v>74</v>
      </c>
      <c r="BB208" s="1">
        <v>184.0</v>
      </c>
      <c r="BC208" s="1">
        <v>217.0</v>
      </c>
      <c r="BD208" s="1" t="s">
        <v>74</v>
      </c>
      <c r="BE208" s="1" t="s">
        <v>74</v>
      </c>
      <c r="BF208" s="1" t="s">
        <v>74</v>
      </c>
      <c r="BG208" s="1" t="s">
        <v>74</v>
      </c>
      <c r="BH208" s="1" t="s">
        <v>74</v>
      </c>
      <c r="BI208" s="1" t="s">
        <v>74</v>
      </c>
      <c r="BJ208" s="1" t="s">
        <v>74</v>
      </c>
      <c r="BK208" s="1" t="s">
        <v>74</v>
      </c>
      <c r="BL208" s="1" t="s">
        <v>74</v>
      </c>
      <c r="BM208" s="1" t="s">
        <v>74</v>
      </c>
      <c r="BN208" s="1" t="s">
        <v>74</v>
      </c>
      <c r="BO208" s="1" t="s">
        <v>74</v>
      </c>
      <c r="BP208" s="1" t="s">
        <v>74</v>
      </c>
      <c r="BQ208" s="1" t="s">
        <v>74</v>
      </c>
      <c r="BR208" s="1" t="s">
        <v>74</v>
      </c>
      <c r="BS208" s="1" t="s">
        <v>2020</v>
      </c>
      <c r="BT208" s="1" t="str">
        <f>HYPERLINK("https%3A%2F%2Fwww.webofscience.com%2Fwos%2Fwoscc%2Ffull-record%2FWOS:000608842500010","View Full Record in Web of Science")</f>
        <v>View Full Record in Web of Science</v>
      </c>
    </row>
    <row r="209" ht="12.75" customHeight="1">
      <c r="A209" s="1" t="s">
        <v>105</v>
      </c>
      <c r="B209" s="1" t="s">
        <v>2021</v>
      </c>
      <c r="C209" s="1" t="s">
        <v>74</v>
      </c>
      <c r="D209" s="1" t="s">
        <v>74</v>
      </c>
      <c r="E209" s="1" t="s">
        <v>228</v>
      </c>
      <c r="F209" s="1" t="s">
        <v>2022</v>
      </c>
      <c r="G209" s="1" t="s">
        <v>74</v>
      </c>
      <c r="H209" s="1" t="s">
        <v>74</v>
      </c>
      <c r="I209" s="1" t="s">
        <v>2023</v>
      </c>
      <c r="J209" s="1" t="s">
        <v>1996</v>
      </c>
      <c r="K209" s="1" t="s">
        <v>74</v>
      </c>
      <c r="L209" s="1" t="s">
        <v>74</v>
      </c>
      <c r="M209" s="1" t="s">
        <v>74</v>
      </c>
      <c r="N209" s="1" t="s">
        <v>74</v>
      </c>
      <c r="O209" s="1" t="s">
        <v>74</v>
      </c>
      <c r="P209" s="1" t="s">
        <v>74</v>
      </c>
      <c r="Q209" s="1" t="s">
        <v>74</v>
      </c>
      <c r="R209" s="1" t="s">
        <v>74</v>
      </c>
      <c r="S209" s="1" t="s">
        <v>74</v>
      </c>
      <c r="T209" s="1" t="s">
        <v>74</v>
      </c>
      <c r="U209" s="1" t="s">
        <v>74</v>
      </c>
      <c r="V209" s="1" t="s">
        <v>2024</v>
      </c>
      <c r="W209" s="1" t="s">
        <v>74</v>
      </c>
      <c r="X209" s="1" t="s">
        <v>74</v>
      </c>
      <c r="Y209" s="1" t="s">
        <v>74</v>
      </c>
      <c r="Z209" s="1" t="s">
        <v>74</v>
      </c>
      <c r="AA209" s="1" t="s">
        <v>74</v>
      </c>
      <c r="AB209" s="1" t="s">
        <v>74</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74</v>
      </c>
      <c r="AP209" s="1" t="s">
        <v>74</v>
      </c>
      <c r="AQ209" s="1" t="s">
        <v>1998</v>
      </c>
      <c r="AR209" s="1" t="s">
        <v>74</v>
      </c>
      <c r="AS209" s="1" t="s">
        <v>74</v>
      </c>
      <c r="AT209" s="1" t="s">
        <v>74</v>
      </c>
      <c r="AU209" s="1">
        <v>2020.0</v>
      </c>
      <c r="AV209" s="1" t="s">
        <v>74</v>
      </c>
      <c r="AW209" s="1" t="s">
        <v>74</v>
      </c>
      <c r="AX209" s="1" t="s">
        <v>74</v>
      </c>
      <c r="AY209" s="1" t="s">
        <v>74</v>
      </c>
      <c r="AZ209" s="1" t="s">
        <v>74</v>
      </c>
      <c r="BA209" s="1" t="s">
        <v>74</v>
      </c>
      <c r="BB209" s="1">
        <v>92.0</v>
      </c>
      <c r="BC209" s="1">
        <v>108.0</v>
      </c>
      <c r="BD209" s="1" t="s">
        <v>74</v>
      </c>
      <c r="BE209" s="1" t="s">
        <v>74</v>
      </c>
      <c r="BF209" s="1" t="s">
        <v>74</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2025</v>
      </c>
      <c r="BT209" s="1" t="str">
        <f>HYPERLINK("https%3A%2F%2Fwww.webofscience.com%2Fwos%2Fwoscc%2Ffull-record%2FWOS:000608874800006","View Full Record in Web of Science")</f>
        <v>View Full Record in Web of Science</v>
      </c>
    </row>
    <row r="210" ht="12.75" customHeight="1">
      <c r="A210" s="1" t="s">
        <v>72</v>
      </c>
      <c r="B210" s="1" t="s">
        <v>2026</v>
      </c>
      <c r="C210" s="1" t="s">
        <v>74</v>
      </c>
      <c r="D210" s="1" t="s">
        <v>74</v>
      </c>
      <c r="E210" s="1" t="s">
        <v>74</v>
      </c>
      <c r="F210" s="1" t="s">
        <v>2027</v>
      </c>
      <c r="G210" s="1" t="s">
        <v>74</v>
      </c>
      <c r="H210" s="1" t="s">
        <v>74</v>
      </c>
      <c r="I210" s="1" t="s">
        <v>2028</v>
      </c>
      <c r="J210" s="1" t="s">
        <v>2029</v>
      </c>
      <c r="K210" s="1" t="s">
        <v>74</v>
      </c>
      <c r="L210" s="1" t="s">
        <v>74</v>
      </c>
      <c r="M210" s="1" t="s">
        <v>74</v>
      </c>
      <c r="N210" s="1" t="s">
        <v>74</v>
      </c>
      <c r="O210" s="1" t="s">
        <v>74</v>
      </c>
      <c r="P210" s="1" t="s">
        <v>74</v>
      </c>
      <c r="Q210" s="1" t="s">
        <v>74</v>
      </c>
      <c r="R210" s="1" t="s">
        <v>74</v>
      </c>
      <c r="S210" s="1" t="s">
        <v>74</v>
      </c>
      <c r="T210" s="1" t="s">
        <v>74</v>
      </c>
      <c r="U210" s="1" t="s">
        <v>74</v>
      </c>
      <c r="V210" s="1" t="s">
        <v>2030</v>
      </c>
      <c r="W210" s="1" t="s">
        <v>74</v>
      </c>
      <c r="X210" s="1" t="s">
        <v>74</v>
      </c>
      <c r="Y210" s="1" t="s">
        <v>74</v>
      </c>
      <c r="Z210" s="1" t="s">
        <v>74</v>
      </c>
      <c r="AA210" s="1" t="s">
        <v>74</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2031</v>
      </c>
      <c r="AP210" s="1" t="s">
        <v>2032</v>
      </c>
      <c r="AQ210" s="1" t="s">
        <v>74</v>
      </c>
      <c r="AR210" s="1" t="s">
        <v>74</v>
      </c>
      <c r="AS210" s="1" t="s">
        <v>74</v>
      </c>
      <c r="AT210" s="1" t="s">
        <v>74</v>
      </c>
      <c r="AU210" s="1">
        <v>2020.0</v>
      </c>
      <c r="AV210" s="1" t="s">
        <v>74</v>
      </c>
      <c r="AW210" s="1">
        <v>120.0</v>
      </c>
      <c r="AX210" s="1" t="s">
        <v>74</v>
      </c>
      <c r="AY210" s="1" t="s">
        <v>74</v>
      </c>
      <c r="AZ210" s="1" t="s">
        <v>74</v>
      </c>
      <c r="BA210" s="1" t="s">
        <v>74</v>
      </c>
      <c r="BB210" s="1">
        <v>195.0</v>
      </c>
      <c r="BC210" s="1">
        <v>225.0</v>
      </c>
      <c r="BD210" s="1" t="s">
        <v>74</v>
      </c>
      <c r="BE210" s="1" t="s">
        <v>74</v>
      </c>
      <c r="BF210" s="1" t="s">
        <v>74</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2033</v>
      </c>
      <c r="BT210" s="1" t="str">
        <f>HYPERLINK("https%3A%2F%2Fwww.webofscience.com%2Fwos%2Fwoscc%2Ffull-record%2FWOS:000749836700008","View Full Record in Web of Science")</f>
        <v>View Full Record in Web of Science</v>
      </c>
    </row>
    <row r="211" ht="12.75" customHeight="1">
      <c r="A211" s="1" t="s">
        <v>72</v>
      </c>
      <c r="B211" s="1" t="s">
        <v>2034</v>
      </c>
      <c r="C211" s="1" t="s">
        <v>74</v>
      </c>
      <c r="D211" s="1" t="s">
        <v>74</v>
      </c>
      <c r="E211" s="1" t="s">
        <v>74</v>
      </c>
      <c r="F211" s="1" t="s">
        <v>2035</v>
      </c>
      <c r="G211" s="1" t="s">
        <v>74</v>
      </c>
      <c r="H211" s="1" t="s">
        <v>74</v>
      </c>
      <c r="I211" s="1" t="s">
        <v>2036</v>
      </c>
      <c r="J211" s="1" t="s">
        <v>2037</v>
      </c>
      <c r="K211" s="1" t="s">
        <v>74</v>
      </c>
      <c r="L211" s="1" t="s">
        <v>74</v>
      </c>
      <c r="M211" s="1" t="s">
        <v>74</v>
      </c>
      <c r="N211" s="1" t="s">
        <v>74</v>
      </c>
      <c r="O211" s="1" t="s">
        <v>74</v>
      </c>
      <c r="P211" s="1" t="s">
        <v>74</v>
      </c>
      <c r="Q211" s="1" t="s">
        <v>74</v>
      </c>
      <c r="R211" s="1" t="s">
        <v>74</v>
      </c>
      <c r="S211" s="1" t="s">
        <v>74</v>
      </c>
      <c r="T211" s="1" t="s">
        <v>74</v>
      </c>
      <c r="U211" s="1" t="s">
        <v>74</v>
      </c>
      <c r="V211" s="1" t="s">
        <v>2038</v>
      </c>
      <c r="W211" s="1" t="s">
        <v>74</v>
      </c>
      <c r="X211" s="1" t="s">
        <v>74</v>
      </c>
      <c r="Y211" s="1" t="s">
        <v>74</v>
      </c>
      <c r="Z211" s="1" t="s">
        <v>74</v>
      </c>
      <c r="AA211" s="1" t="s">
        <v>2039</v>
      </c>
      <c r="AB211" s="1" t="s">
        <v>2040</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2041</v>
      </c>
      <c r="AP211" s="1" t="s">
        <v>2042</v>
      </c>
      <c r="AQ211" s="1" t="s">
        <v>74</v>
      </c>
      <c r="AR211" s="1" t="s">
        <v>74</v>
      </c>
      <c r="AS211" s="1" t="s">
        <v>74</v>
      </c>
      <c r="AT211" s="1" t="s">
        <v>1560</v>
      </c>
      <c r="AU211" s="1">
        <v>2019.0</v>
      </c>
      <c r="AV211" s="1">
        <v>4544.0</v>
      </c>
      <c r="AW211" s="1">
        <v>4.0</v>
      </c>
      <c r="AX211" s="1" t="s">
        <v>74</v>
      </c>
      <c r="AY211" s="1" t="s">
        <v>74</v>
      </c>
      <c r="AZ211" s="1" t="s">
        <v>74</v>
      </c>
      <c r="BA211" s="1" t="s">
        <v>74</v>
      </c>
      <c r="BB211" s="1">
        <v>589.0</v>
      </c>
      <c r="BC211" s="1">
        <v>597.0</v>
      </c>
      <c r="BD211" s="1" t="s">
        <v>74</v>
      </c>
      <c r="BE211" s="1" t="s">
        <v>2043</v>
      </c>
      <c r="BF211" s="2" t="str">
        <f>HYPERLINK("http://dx.doi.org/10.11646/zootaxa.4544.4.9","http://dx.doi.org/10.11646/zootaxa.4544.4.9")</f>
        <v>http://dx.doi.org/10.11646/zootaxa.4544.4.9</v>
      </c>
      <c r="BG211" s="1" t="s">
        <v>74</v>
      </c>
      <c r="BH211" s="1" t="s">
        <v>74</v>
      </c>
      <c r="BI211" s="1" t="s">
        <v>74</v>
      </c>
      <c r="BJ211" s="1" t="s">
        <v>74</v>
      </c>
      <c r="BK211" s="1" t="s">
        <v>74</v>
      </c>
      <c r="BL211" s="1" t="s">
        <v>74</v>
      </c>
      <c r="BM211" s="1" t="s">
        <v>74</v>
      </c>
      <c r="BN211" s="1">
        <v>3.0647261E7</v>
      </c>
      <c r="BO211" s="1" t="s">
        <v>74</v>
      </c>
      <c r="BP211" s="1" t="s">
        <v>74</v>
      </c>
      <c r="BQ211" s="1" t="s">
        <v>74</v>
      </c>
      <c r="BR211" s="1" t="s">
        <v>74</v>
      </c>
      <c r="BS211" s="1" t="s">
        <v>2044</v>
      </c>
      <c r="BT211" s="1" t="str">
        <f>HYPERLINK("https%3A%2F%2Fwww.webofscience.com%2Fwos%2Fwoscc%2Ffull-record%2FWOS:000455659500009","View Full Record in Web of Science")</f>
        <v>View Full Record in Web of Science</v>
      </c>
    </row>
    <row r="212" ht="12.75" customHeight="1">
      <c r="A212" s="1" t="s">
        <v>72</v>
      </c>
      <c r="B212" s="1" t="s">
        <v>2045</v>
      </c>
      <c r="C212" s="1" t="s">
        <v>74</v>
      </c>
      <c r="D212" s="1" t="s">
        <v>74</v>
      </c>
      <c r="E212" s="1" t="s">
        <v>74</v>
      </c>
      <c r="F212" s="1" t="s">
        <v>2046</v>
      </c>
      <c r="G212" s="1" t="s">
        <v>74</v>
      </c>
      <c r="H212" s="1" t="s">
        <v>74</v>
      </c>
      <c r="I212" s="1" t="s">
        <v>2047</v>
      </c>
      <c r="J212" s="1" t="s">
        <v>2048</v>
      </c>
      <c r="K212" s="1" t="s">
        <v>74</v>
      </c>
      <c r="L212" s="1" t="s">
        <v>74</v>
      </c>
      <c r="M212" s="1" t="s">
        <v>74</v>
      </c>
      <c r="N212" s="1" t="s">
        <v>74</v>
      </c>
      <c r="O212" s="1" t="s">
        <v>74</v>
      </c>
      <c r="P212" s="1" t="s">
        <v>74</v>
      </c>
      <c r="Q212" s="1" t="s">
        <v>74</v>
      </c>
      <c r="R212" s="1" t="s">
        <v>74</v>
      </c>
      <c r="S212" s="1" t="s">
        <v>74</v>
      </c>
      <c r="T212" s="1" t="s">
        <v>74</v>
      </c>
      <c r="U212" s="1" t="s">
        <v>74</v>
      </c>
      <c r="V212" s="1" t="s">
        <v>2049</v>
      </c>
      <c r="W212" s="1" t="s">
        <v>74</v>
      </c>
      <c r="X212" s="1" t="s">
        <v>74</v>
      </c>
      <c r="Y212" s="1" t="s">
        <v>74</v>
      </c>
      <c r="Z212" s="1" t="s">
        <v>74</v>
      </c>
      <c r="AA212" s="1" t="s">
        <v>74</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2050</v>
      </c>
      <c r="AP212" s="1" t="s">
        <v>74</v>
      </c>
      <c r="AQ212" s="1" t="s">
        <v>74</v>
      </c>
      <c r="AR212" s="1" t="s">
        <v>74</v>
      </c>
      <c r="AS212" s="1" t="s">
        <v>74</v>
      </c>
      <c r="AT212" s="1" t="s">
        <v>410</v>
      </c>
      <c r="AU212" s="1">
        <v>2017.0</v>
      </c>
      <c r="AV212" s="1">
        <v>16.0</v>
      </c>
      <c r="AW212" s="1">
        <v>6.0</v>
      </c>
      <c r="AX212" s="1" t="s">
        <v>74</v>
      </c>
      <c r="AY212" s="1" t="s">
        <v>74</v>
      </c>
      <c r="AZ212" s="1" t="s">
        <v>74</v>
      </c>
      <c r="BA212" s="1" t="s">
        <v>74</v>
      </c>
      <c r="BB212" s="1">
        <v>578.0</v>
      </c>
      <c r="BC212" s="1" t="s">
        <v>509</v>
      </c>
      <c r="BD212" s="1" t="s">
        <v>74</v>
      </c>
      <c r="BE212" s="1" t="s">
        <v>74</v>
      </c>
      <c r="BF212" s="1" t="s">
        <v>74</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2051</v>
      </c>
      <c r="BT212" s="1" t="str">
        <f>HYPERLINK("https%3A%2F%2Fwww.webofscience.com%2Fwos%2Fwoscc%2Ffull-record%2FWOS:000417350300006","View Full Record in Web of Science")</f>
        <v>View Full Record in Web of Science</v>
      </c>
    </row>
    <row r="213" ht="12.75" customHeight="1">
      <c r="A213" s="1" t="s">
        <v>72</v>
      </c>
      <c r="B213" s="1" t="s">
        <v>2052</v>
      </c>
      <c r="C213" s="1" t="s">
        <v>74</v>
      </c>
      <c r="D213" s="1" t="s">
        <v>74</v>
      </c>
      <c r="E213" s="1" t="s">
        <v>74</v>
      </c>
      <c r="F213" s="1" t="s">
        <v>2053</v>
      </c>
      <c r="G213" s="1" t="s">
        <v>74</v>
      </c>
      <c r="H213" s="1" t="s">
        <v>74</v>
      </c>
      <c r="I213" s="1" t="s">
        <v>2054</v>
      </c>
      <c r="J213" s="1" t="s">
        <v>2055</v>
      </c>
      <c r="K213" s="1" t="s">
        <v>74</v>
      </c>
      <c r="L213" s="1" t="s">
        <v>74</v>
      </c>
      <c r="M213" s="1" t="s">
        <v>74</v>
      </c>
      <c r="N213" s="1" t="s">
        <v>74</v>
      </c>
      <c r="O213" s="1" t="s">
        <v>74</v>
      </c>
      <c r="P213" s="1" t="s">
        <v>74</v>
      </c>
      <c r="Q213" s="1" t="s">
        <v>74</v>
      </c>
      <c r="R213" s="1" t="s">
        <v>74</v>
      </c>
      <c r="S213" s="1" t="s">
        <v>74</v>
      </c>
      <c r="T213" s="1" t="s">
        <v>74</v>
      </c>
      <c r="U213" s="1" t="s">
        <v>74</v>
      </c>
      <c r="V213" s="1" t="s">
        <v>2056</v>
      </c>
      <c r="W213" s="1" t="s">
        <v>74</v>
      </c>
      <c r="X213" s="1" t="s">
        <v>74</v>
      </c>
      <c r="Y213" s="1" t="s">
        <v>74</v>
      </c>
      <c r="Z213" s="1" t="s">
        <v>74</v>
      </c>
      <c r="AA213" s="1" t="s">
        <v>74</v>
      </c>
      <c r="AB213" s="1" t="s">
        <v>74</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2057</v>
      </c>
      <c r="AP213" s="1" t="s">
        <v>74</v>
      </c>
      <c r="AQ213" s="1" t="s">
        <v>74</v>
      </c>
      <c r="AR213" s="1" t="s">
        <v>74</v>
      </c>
      <c r="AS213" s="1" t="s">
        <v>74</v>
      </c>
      <c r="AT213" s="1" t="s">
        <v>91</v>
      </c>
      <c r="AU213" s="1">
        <v>2017.0</v>
      </c>
      <c r="AV213" s="1">
        <v>74.0</v>
      </c>
      <c r="AW213" s="1" t="s">
        <v>74</v>
      </c>
      <c r="AX213" s="1" t="s">
        <v>74</v>
      </c>
      <c r="AY213" s="1" t="s">
        <v>74</v>
      </c>
      <c r="AZ213" s="1" t="s">
        <v>74</v>
      </c>
      <c r="BA213" s="1" t="s">
        <v>74</v>
      </c>
      <c r="BB213" s="1">
        <v>512.0</v>
      </c>
      <c r="BC213" s="1">
        <v>521.0</v>
      </c>
      <c r="BD213" s="1" t="s">
        <v>74</v>
      </c>
      <c r="BE213" s="1" t="s">
        <v>2058</v>
      </c>
      <c r="BF213" s="2" t="str">
        <f>HYPERLINK("http://dx.doi.org/10.1016/j.rser.2017.01.110","http://dx.doi.org/10.1016/j.rser.2017.01.110")</f>
        <v>http://dx.doi.org/10.1016/j.rser.2017.01.110</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2059</v>
      </c>
      <c r="BT213" s="1" t="str">
        <f>HYPERLINK("https%3A%2F%2Fwww.webofscience.com%2Fwos%2Fwoscc%2Ffull-record%2FWOS:000401492900037","View Full Record in Web of Science")</f>
        <v>View Full Record in Web of Science</v>
      </c>
    </row>
    <row r="214" ht="12.75" customHeight="1">
      <c r="A214" s="1" t="s">
        <v>72</v>
      </c>
      <c r="B214" s="1" t="s">
        <v>2060</v>
      </c>
      <c r="C214" s="1" t="s">
        <v>74</v>
      </c>
      <c r="D214" s="1" t="s">
        <v>74</v>
      </c>
      <c r="E214" s="1" t="s">
        <v>74</v>
      </c>
      <c r="F214" s="1" t="s">
        <v>2061</v>
      </c>
      <c r="G214" s="1" t="s">
        <v>74</v>
      </c>
      <c r="H214" s="1" t="s">
        <v>74</v>
      </c>
      <c r="I214" s="1" t="s">
        <v>2062</v>
      </c>
      <c r="J214" s="1" t="s">
        <v>2063</v>
      </c>
      <c r="K214" s="1" t="s">
        <v>74</v>
      </c>
      <c r="L214" s="1" t="s">
        <v>74</v>
      </c>
      <c r="M214" s="1" t="s">
        <v>74</v>
      </c>
      <c r="N214" s="1" t="s">
        <v>74</v>
      </c>
      <c r="O214" s="1" t="s">
        <v>74</v>
      </c>
      <c r="P214" s="1" t="s">
        <v>74</v>
      </c>
      <c r="Q214" s="1" t="s">
        <v>74</v>
      </c>
      <c r="R214" s="1" t="s">
        <v>74</v>
      </c>
      <c r="S214" s="1" t="s">
        <v>74</v>
      </c>
      <c r="T214" s="1" t="s">
        <v>74</v>
      </c>
      <c r="U214" s="1" t="s">
        <v>74</v>
      </c>
      <c r="V214" s="1" t="s">
        <v>2064</v>
      </c>
      <c r="W214" s="1" t="s">
        <v>74</v>
      </c>
      <c r="X214" s="1" t="s">
        <v>74</v>
      </c>
      <c r="Y214" s="1" t="s">
        <v>74</v>
      </c>
      <c r="Z214" s="1" t="s">
        <v>74</v>
      </c>
      <c r="AA214" s="1" t="s">
        <v>284</v>
      </c>
      <c r="AB214" s="1" t="s">
        <v>285</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2065</v>
      </c>
      <c r="AP214" s="1" t="s">
        <v>2066</v>
      </c>
      <c r="AQ214" s="1" t="s">
        <v>74</v>
      </c>
      <c r="AR214" s="1" t="s">
        <v>74</v>
      </c>
      <c r="AS214" s="1" t="s">
        <v>74</v>
      </c>
      <c r="AT214" s="1" t="s">
        <v>82</v>
      </c>
      <c r="AU214" s="1">
        <v>2016.0</v>
      </c>
      <c r="AV214" s="1">
        <v>15.0</v>
      </c>
      <c r="AW214" s="1" t="s">
        <v>74</v>
      </c>
      <c r="AX214" s="1" t="s">
        <v>74</v>
      </c>
      <c r="AY214" s="1" t="s">
        <v>74</v>
      </c>
      <c r="AZ214" s="1" t="s">
        <v>74</v>
      </c>
      <c r="BA214" s="1" t="s">
        <v>74</v>
      </c>
      <c r="BB214" s="1">
        <v>27.0</v>
      </c>
      <c r="BC214" s="1">
        <v>37.0</v>
      </c>
      <c r="BD214" s="1" t="s">
        <v>74</v>
      </c>
      <c r="BE214" s="1" t="s">
        <v>2067</v>
      </c>
      <c r="BF214" s="2" t="str">
        <f>HYPERLINK("http://dx.doi.org/10.1016/j.ijcip.2016.07.001","http://dx.doi.org/10.1016/j.ijcip.2016.07.001")</f>
        <v>http://dx.doi.org/10.1016/j.ijcip.2016.07.001</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2068</v>
      </c>
      <c r="BT214" s="1" t="str">
        <f>HYPERLINK("https%3A%2F%2Fwww.webofscience.com%2Fwos%2Fwoscc%2Ffull-record%2FWOS:000389101700004","View Full Record in Web of Science")</f>
        <v>View Full Record in Web of Science</v>
      </c>
    </row>
    <row r="215" ht="12.75" customHeight="1">
      <c r="A215" s="1" t="s">
        <v>72</v>
      </c>
      <c r="B215" s="1" t="s">
        <v>2069</v>
      </c>
      <c r="C215" s="1" t="s">
        <v>74</v>
      </c>
      <c r="D215" s="1" t="s">
        <v>74</v>
      </c>
      <c r="E215" s="1" t="s">
        <v>74</v>
      </c>
      <c r="F215" s="1" t="s">
        <v>2070</v>
      </c>
      <c r="G215" s="1" t="s">
        <v>74</v>
      </c>
      <c r="H215" s="1" t="s">
        <v>74</v>
      </c>
      <c r="I215" s="1" t="s">
        <v>2071</v>
      </c>
      <c r="J215" s="1" t="s">
        <v>439</v>
      </c>
      <c r="K215" s="1" t="s">
        <v>74</v>
      </c>
      <c r="L215" s="1" t="s">
        <v>74</v>
      </c>
      <c r="M215" s="1" t="s">
        <v>74</v>
      </c>
      <c r="N215" s="1" t="s">
        <v>74</v>
      </c>
      <c r="O215" s="1" t="s">
        <v>74</v>
      </c>
      <c r="P215" s="1" t="s">
        <v>74</v>
      </c>
      <c r="Q215" s="1" t="s">
        <v>74</v>
      </c>
      <c r="R215" s="1" t="s">
        <v>74</v>
      </c>
      <c r="S215" s="1" t="s">
        <v>74</v>
      </c>
      <c r="T215" s="1" t="s">
        <v>74</v>
      </c>
      <c r="U215" s="1" t="s">
        <v>74</v>
      </c>
      <c r="V215" s="1" t="s">
        <v>2072</v>
      </c>
      <c r="W215" s="1" t="s">
        <v>74</v>
      </c>
      <c r="X215" s="1" t="s">
        <v>74</v>
      </c>
      <c r="Y215" s="1" t="s">
        <v>74</v>
      </c>
      <c r="Z215" s="1" t="s">
        <v>74</v>
      </c>
      <c r="AA215" s="1" t="s">
        <v>2073</v>
      </c>
      <c r="AB215" s="1" t="s">
        <v>2074</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443</v>
      </c>
      <c r="AP215" s="1" t="s">
        <v>74</v>
      </c>
      <c r="AQ215" s="1" t="s">
        <v>74</v>
      </c>
      <c r="AR215" s="1" t="s">
        <v>74</v>
      </c>
      <c r="AS215" s="1" t="s">
        <v>74</v>
      </c>
      <c r="AT215" s="1" t="s">
        <v>818</v>
      </c>
      <c r="AU215" s="1">
        <v>2016.0</v>
      </c>
      <c r="AV215" s="1">
        <v>11.0</v>
      </c>
      <c r="AW215" s="1">
        <v>2.0</v>
      </c>
      <c r="AX215" s="1" t="s">
        <v>74</v>
      </c>
      <c r="AY215" s="1" t="s">
        <v>74</v>
      </c>
      <c r="AZ215" s="1" t="s">
        <v>74</v>
      </c>
      <c r="BA215" s="1" t="s">
        <v>74</v>
      </c>
      <c r="BB215" s="1">
        <v>1707.0</v>
      </c>
      <c r="BC215" s="1">
        <v>1719.0</v>
      </c>
      <c r="BD215" s="1" t="s">
        <v>74</v>
      </c>
      <c r="BE215" s="1" t="s">
        <v>74</v>
      </c>
      <c r="BF215" s="1" t="s">
        <v>74</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2075</v>
      </c>
      <c r="BT215" s="1" t="str">
        <f>HYPERLINK("https%3A%2F%2Fwww.webofscience.com%2Fwos%2Fwoscc%2Ffull-record%2FWOS:000371091400066","View Full Record in Web of Science")</f>
        <v>View Full Record in Web of Science</v>
      </c>
    </row>
    <row r="216" ht="12.75" customHeight="1">
      <c r="A216" s="1" t="s">
        <v>72</v>
      </c>
      <c r="B216" s="1" t="s">
        <v>2076</v>
      </c>
      <c r="C216" s="1" t="s">
        <v>74</v>
      </c>
      <c r="D216" s="1" t="s">
        <v>74</v>
      </c>
      <c r="E216" s="1" t="s">
        <v>74</v>
      </c>
      <c r="F216" s="1" t="s">
        <v>2077</v>
      </c>
      <c r="G216" s="1" t="s">
        <v>74</v>
      </c>
      <c r="H216" s="1" t="s">
        <v>74</v>
      </c>
      <c r="I216" s="1" t="s">
        <v>2078</v>
      </c>
      <c r="J216" s="1" t="s">
        <v>2079</v>
      </c>
      <c r="K216" s="1" t="s">
        <v>74</v>
      </c>
      <c r="L216" s="1" t="s">
        <v>74</v>
      </c>
      <c r="M216" s="1" t="s">
        <v>74</v>
      </c>
      <c r="N216" s="1" t="s">
        <v>74</v>
      </c>
      <c r="O216" s="1" t="s">
        <v>74</v>
      </c>
      <c r="P216" s="1" t="s">
        <v>74</v>
      </c>
      <c r="Q216" s="1" t="s">
        <v>74</v>
      </c>
      <c r="R216" s="1" t="s">
        <v>74</v>
      </c>
      <c r="S216" s="1" t="s">
        <v>74</v>
      </c>
      <c r="T216" s="1" t="s">
        <v>74</v>
      </c>
      <c r="U216" s="1" t="s">
        <v>74</v>
      </c>
      <c r="V216" s="1" t="s">
        <v>2080</v>
      </c>
      <c r="W216" s="1" t="s">
        <v>74</v>
      </c>
      <c r="X216" s="1" t="s">
        <v>74</v>
      </c>
      <c r="Y216" s="1" t="s">
        <v>74</v>
      </c>
      <c r="Z216" s="1" t="s">
        <v>74</v>
      </c>
      <c r="AA216" s="1" t="s">
        <v>2081</v>
      </c>
      <c r="AB216" s="1" t="s">
        <v>2082</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2083</v>
      </c>
      <c r="AP216" s="1" t="s">
        <v>2084</v>
      </c>
      <c r="AQ216" s="1" t="s">
        <v>74</v>
      </c>
      <c r="AR216" s="1" t="s">
        <v>74</v>
      </c>
      <c r="AS216" s="1" t="s">
        <v>74</v>
      </c>
      <c r="AT216" s="1" t="s">
        <v>818</v>
      </c>
      <c r="AU216" s="1">
        <v>2016.0</v>
      </c>
      <c r="AV216" s="1">
        <v>49.0</v>
      </c>
      <c r="AW216" s="1" t="s">
        <v>74</v>
      </c>
      <c r="AX216" s="1" t="s">
        <v>74</v>
      </c>
      <c r="AY216" s="1" t="s">
        <v>74</v>
      </c>
      <c r="AZ216" s="1" t="s">
        <v>74</v>
      </c>
      <c r="BA216" s="1" t="s">
        <v>74</v>
      </c>
      <c r="BB216" s="1">
        <v>45.0</v>
      </c>
      <c r="BC216" s="1">
        <v>53.0</v>
      </c>
      <c r="BD216" s="1" t="s">
        <v>74</v>
      </c>
      <c r="BE216" s="1" t="s">
        <v>2085</v>
      </c>
      <c r="BF216" s="2" t="str">
        <f>HYPERLINK("http://dx.doi.org/10.1016/j.fsi.2015.12.008","http://dx.doi.org/10.1016/j.fsi.2015.12.008")</f>
        <v>http://dx.doi.org/10.1016/j.fsi.2015.12.008</v>
      </c>
      <c r="BG216" s="1" t="s">
        <v>74</v>
      </c>
      <c r="BH216" s="1" t="s">
        <v>74</v>
      </c>
      <c r="BI216" s="1" t="s">
        <v>74</v>
      </c>
      <c r="BJ216" s="1" t="s">
        <v>74</v>
      </c>
      <c r="BK216" s="1" t="s">
        <v>74</v>
      </c>
      <c r="BL216" s="1" t="s">
        <v>74</v>
      </c>
      <c r="BM216" s="1" t="s">
        <v>74</v>
      </c>
      <c r="BN216" s="1">
        <v>2.6690664E7</v>
      </c>
      <c r="BO216" s="1" t="s">
        <v>74</v>
      </c>
      <c r="BP216" s="1" t="s">
        <v>74</v>
      </c>
      <c r="BQ216" s="1" t="s">
        <v>74</v>
      </c>
      <c r="BR216" s="1" t="s">
        <v>74</v>
      </c>
      <c r="BS216" s="1" t="s">
        <v>2086</v>
      </c>
      <c r="BT216" s="1" t="str">
        <f>HYPERLINK("https%3A%2F%2Fwww.webofscience.com%2Fwos%2Fwoscc%2Ffull-record%2FWOS:000370884200006","View Full Record in Web of Science")</f>
        <v>View Full Record in Web of Science</v>
      </c>
    </row>
    <row r="217" ht="12.75" customHeight="1">
      <c r="A217" s="1" t="s">
        <v>126</v>
      </c>
      <c r="B217" s="1" t="s">
        <v>2087</v>
      </c>
      <c r="C217" s="1" t="s">
        <v>74</v>
      </c>
      <c r="D217" s="1" t="s">
        <v>2088</v>
      </c>
      <c r="E217" s="1" t="s">
        <v>74</v>
      </c>
      <c r="F217" s="1" t="s">
        <v>2089</v>
      </c>
      <c r="G217" s="1" t="s">
        <v>74</v>
      </c>
      <c r="H217" s="1" t="s">
        <v>74</v>
      </c>
      <c r="I217" s="1" t="s">
        <v>2090</v>
      </c>
      <c r="J217" s="1" t="s">
        <v>2091</v>
      </c>
      <c r="K217" s="1" t="s">
        <v>74</v>
      </c>
      <c r="L217" s="1" t="s">
        <v>74</v>
      </c>
      <c r="M217" s="1" t="s">
        <v>74</v>
      </c>
      <c r="N217" s="1" t="s">
        <v>74</v>
      </c>
      <c r="O217" s="1" t="s">
        <v>2092</v>
      </c>
      <c r="P217" s="1" t="s">
        <v>2093</v>
      </c>
      <c r="Q217" s="1" t="s">
        <v>2094</v>
      </c>
      <c r="R217" s="1" t="s">
        <v>2095</v>
      </c>
      <c r="S217" s="1" t="s">
        <v>74</v>
      </c>
      <c r="T217" s="1" t="s">
        <v>74</v>
      </c>
      <c r="U217" s="1" t="s">
        <v>74</v>
      </c>
      <c r="V217" s="1" t="s">
        <v>2096</v>
      </c>
      <c r="W217" s="1" t="s">
        <v>74</v>
      </c>
      <c r="X217" s="1" t="s">
        <v>74</v>
      </c>
      <c r="Y217" s="1" t="s">
        <v>74</v>
      </c>
      <c r="Z217" s="1" t="s">
        <v>74</v>
      </c>
      <c r="AA217" s="1" t="s">
        <v>2097</v>
      </c>
      <c r="AB217" s="1" t="s">
        <v>2098</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74</v>
      </c>
      <c r="AP217" s="1" t="s">
        <v>74</v>
      </c>
      <c r="AQ217" s="1" t="s">
        <v>2099</v>
      </c>
      <c r="AR217" s="1" t="s">
        <v>74</v>
      </c>
      <c r="AS217" s="1" t="s">
        <v>74</v>
      </c>
      <c r="AT217" s="1" t="s">
        <v>74</v>
      </c>
      <c r="AU217" s="1">
        <v>2016.0</v>
      </c>
      <c r="AV217" s="1" t="s">
        <v>74</v>
      </c>
      <c r="AW217" s="1" t="s">
        <v>74</v>
      </c>
      <c r="AX217" s="1" t="s">
        <v>74</v>
      </c>
      <c r="AY217" s="1" t="s">
        <v>74</v>
      </c>
      <c r="AZ217" s="1" t="s">
        <v>74</v>
      </c>
      <c r="BA217" s="1" t="s">
        <v>74</v>
      </c>
      <c r="BB217" s="1">
        <v>109.0</v>
      </c>
      <c r="BC217" s="1">
        <v>117.0</v>
      </c>
      <c r="BD217" s="1" t="s">
        <v>74</v>
      </c>
      <c r="BE217" s="1" t="s">
        <v>74</v>
      </c>
      <c r="BF217" s="1" t="s">
        <v>74</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2100</v>
      </c>
      <c r="BT217" s="1" t="str">
        <f>HYPERLINK("https%3A%2F%2Fwww.webofscience.com%2Fwos%2Fwoscc%2Ffull-record%2FWOS:000391251000017","View Full Record in Web of Science")</f>
        <v>View Full Record in Web of Science</v>
      </c>
    </row>
    <row r="218" ht="12.75" customHeight="1">
      <c r="A218" s="1" t="s">
        <v>72</v>
      </c>
      <c r="B218" s="1" t="s">
        <v>2101</v>
      </c>
      <c r="C218" s="1" t="s">
        <v>74</v>
      </c>
      <c r="D218" s="1" t="s">
        <v>74</v>
      </c>
      <c r="E218" s="1" t="s">
        <v>74</v>
      </c>
      <c r="F218" s="1" t="s">
        <v>2102</v>
      </c>
      <c r="G218" s="1" t="s">
        <v>74</v>
      </c>
      <c r="H218" s="1" t="s">
        <v>74</v>
      </c>
      <c r="I218" s="1" t="s">
        <v>2103</v>
      </c>
      <c r="J218" s="1" t="s">
        <v>2104</v>
      </c>
      <c r="K218" s="1" t="s">
        <v>74</v>
      </c>
      <c r="L218" s="1" t="s">
        <v>74</v>
      </c>
      <c r="M218" s="1" t="s">
        <v>74</v>
      </c>
      <c r="N218" s="1" t="s">
        <v>74</v>
      </c>
      <c r="O218" s="1" t="s">
        <v>74</v>
      </c>
      <c r="P218" s="1" t="s">
        <v>74</v>
      </c>
      <c r="Q218" s="1" t="s">
        <v>74</v>
      </c>
      <c r="R218" s="1" t="s">
        <v>74</v>
      </c>
      <c r="S218" s="1" t="s">
        <v>74</v>
      </c>
      <c r="T218" s="1" t="s">
        <v>74</v>
      </c>
      <c r="U218" s="1" t="s">
        <v>74</v>
      </c>
      <c r="V218" s="1" t="s">
        <v>2105</v>
      </c>
      <c r="W218" s="1" t="s">
        <v>74</v>
      </c>
      <c r="X218" s="1" t="s">
        <v>74</v>
      </c>
      <c r="Y218" s="1" t="s">
        <v>74</v>
      </c>
      <c r="Z218" s="1" t="s">
        <v>74</v>
      </c>
      <c r="AA218" s="1" t="s">
        <v>2106</v>
      </c>
      <c r="AB218" s="1" t="s">
        <v>74</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2107</v>
      </c>
      <c r="AP218" s="1" t="s">
        <v>2108</v>
      </c>
      <c r="AQ218" s="1" t="s">
        <v>74</v>
      </c>
      <c r="AR218" s="1" t="s">
        <v>74</v>
      </c>
      <c r="AS218" s="1" t="s">
        <v>74</v>
      </c>
      <c r="AT218" s="1" t="s">
        <v>158</v>
      </c>
      <c r="AU218" s="1">
        <v>2015.0</v>
      </c>
      <c r="AV218" s="1">
        <v>62.0</v>
      </c>
      <c r="AW218" s="1">
        <v>3.0</v>
      </c>
      <c r="AX218" s="1" t="s">
        <v>74</v>
      </c>
      <c r="AY218" s="1" t="s">
        <v>74</v>
      </c>
      <c r="AZ218" s="1" t="s">
        <v>74</v>
      </c>
      <c r="BA218" s="1" t="s">
        <v>74</v>
      </c>
      <c r="BB218" s="1">
        <v>344.0</v>
      </c>
      <c r="BC218" s="1">
        <v>361.0</v>
      </c>
      <c r="BD218" s="1" t="s">
        <v>74</v>
      </c>
      <c r="BE218" s="1" t="s">
        <v>2109</v>
      </c>
      <c r="BF218" s="2" t="str">
        <f>HYPERLINK("http://dx.doi.org/10.1177/0037768615587815","http://dx.doi.org/10.1177/0037768615587815")</f>
        <v>http://dx.doi.org/10.1177/0037768615587815</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2110</v>
      </c>
      <c r="BT218" s="1" t="str">
        <f>HYPERLINK("https%3A%2F%2Fwww.webofscience.com%2Fwos%2Fwoscc%2Ffull-record%2FWOS:000359926700005","View Full Record in Web of Science")</f>
        <v>View Full Record in Web of Science</v>
      </c>
    </row>
    <row r="219" ht="12.75" customHeight="1">
      <c r="A219" s="1" t="s">
        <v>72</v>
      </c>
      <c r="B219" s="1" t="s">
        <v>2111</v>
      </c>
      <c r="C219" s="1" t="s">
        <v>74</v>
      </c>
      <c r="D219" s="1" t="s">
        <v>74</v>
      </c>
      <c r="E219" s="1" t="s">
        <v>74</v>
      </c>
      <c r="F219" s="1" t="s">
        <v>2112</v>
      </c>
      <c r="G219" s="1" t="s">
        <v>74</v>
      </c>
      <c r="H219" s="1" t="s">
        <v>74</v>
      </c>
      <c r="I219" s="1" t="s">
        <v>2113</v>
      </c>
      <c r="J219" s="1" t="s">
        <v>314</v>
      </c>
      <c r="K219" s="1" t="s">
        <v>74</v>
      </c>
      <c r="L219" s="1" t="s">
        <v>74</v>
      </c>
      <c r="M219" s="1" t="s">
        <v>74</v>
      </c>
      <c r="N219" s="1" t="s">
        <v>74</v>
      </c>
      <c r="O219" s="1" t="s">
        <v>74</v>
      </c>
      <c r="P219" s="1" t="s">
        <v>74</v>
      </c>
      <c r="Q219" s="1" t="s">
        <v>74</v>
      </c>
      <c r="R219" s="1" t="s">
        <v>74</v>
      </c>
      <c r="S219" s="1" t="s">
        <v>74</v>
      </c>
      <c r="T219" s="1" t="s">
        <v>74</v>
      </c>
      <c r="U219" s="1" t="s">
        <v>74</v>
      </c>
      <c r="V219" s="1" t="s">
        <v>2114</v>
      </c>
      <c r="W219" s="1" t="s">
        <v>74</v>
      </c>
      <c r="X219" s="1" t="s">
        <v>74</v>
      </c>
      <c r="Y219" s="1" t="s">
        <v>74</v>
      </c>
      <c r="Z219" s="1" t="s">
        <v>74</v>
      </c>
      <c r="AA219" s="1" t="s">
        <v>2115</v>
      </c>
      <c r="AB219" s="1" t="s">
        <v>2116</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316</v>
      </c>
      <c r="AP219" s="1" t="s">
        <v>74</v>
      </c>
      <c r="AQ219" s="1" t="s">
        <v>74</v>
      </c>
      <c r="AR219" s="1" t="s">
        <v>74</v>
      </c>
      <c r="AS219" s="1" t="s">
        <v>74</v>
      </c>
      <c r="AT219" s="1" t="s">
        <v>974</v>
      </c>
      <c r="AU219" s="1">
        <v>2015.0</v>
      </c>
      <c r="AV219" s="1">
        <v>13.0</v>
      </c>
      <c r="AW219" s="1">
        <v>8.0</v>
      </c>
      <c r="AX219" s="1" t="s">
        <v>74</v>
      </c>
      <c r="AY219" s="1" t="s">
        <v>74</v>
      </c>
      <c r="AZ219" s="1" t="s">
        <v>74</v>
      </c>
      <c r="BA219" s="1" t="s">
        <v>74</v>
      </c>
      <c r="BB219" s="1">
        <v>2653.0</v>
      </c>
      <c r="BC219" s="1">
        <v>2660.0</v>
      </c>
      <c r="BD219" s="1" t="s">
        <v>74</v>
      </c>
      <c r="BE219" s="1" t="s">
        <v>2117</v>
      </c>
      <c r="BF219" s="2" t="str">
        <f>HYPERLINK("http://dx.doi.org/10.1109/TLA.2015.7332145","http://dx.doi.org/10.1109/TLA.2015.7332145")</f>
        <v>http://dx.doi.org/10.1109/TLA.2015.7332145</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2118</v>
      </c>
      <c r="BT219" s="1" t="str">
        <f>HYPERLINK("https%3A%2F%2Fwww.webofscience.com%2Fwos%2Fwoscc%2Ffull-record%2FWOS:000365236700028","View Full Record in Web of Science")</f>
        <v>View Full Record in Web of Science</v>
      </c>
    </row>
    <row r="220" ht="12.75" customHeight="1">
      <c r="A220" s="1" t="s">
        <v>72</v>
      </c>
      <c r="B220" s="1" t="s">
        <v>2119</v>
      </c>
      <c r="C220" s="1" t="s">
        <v>74</v>
      </c>
      <c r="D220" s="1" t="s">
        <v>74</v>
      </c>
      <c r="E220" s="1" t="s">
        <v>74</v>
      </c>
      <c r="F220" s="1" t="s">
        <v>2120</v>
      </c>
      <c r="G220" s="1" t="s">
        <v>74</v>
      </c>
      <c r="H220" s="1" t="s">
        <v>74</v>
      </c>
      <c r="I220" s="1" t="s">
        <v>2121</v>
      </c>
      <c r="J220" s="1" t="s">
        <v>314</v>
      </c>
      <c r="K220" s="1" t="s">
        <v>74</v>
      </c>
      <c r="L220" s="1" t="s">
        <v>74</v>
      </c>
      <c r="M220" s="1" t="s">
        <v>74</v>
      </c>
      <c r="N220" s="1" t="s">
        <v>74</v>
      </c>
      <c r="O220" s="1" t="s">
        <v>2122</v>
      </c>
      <c r="P220" s="1">
        <v>2014.0</v>
      </c>
      <c r="Q220" s="1" t="s">
        <v>2123</v>
      </c>
      <c r="R220" s="1" t="s">
        <v>2124</v>
      </c>
      <c r="S220" s="1" t="s">
        <v>74</v>
      </c>
      <c r="T220" s="1" t="s">
        <v>74</v>
      </c>
      <c r="U220" s="1" t="s">
        <v>74</v>
      </c>
      <c r="V220" s="1" t="s">
        <v>2125</v>
      </c>
      <c r="W220" s="1" t="s">
        <v>74</v>
      </c>
      <c r="X220" s="1" t="s">
        <v>74</v>
      </c>
      <c r="Y220" s="1" t="s">
        <v>74</v>
      </c>
      <c r="Z220" s="1" t="s">
        <v>74</v>
      </c>
      <c r="AA220" s="1" t="s">
        <v>1137</v>
      </c>
      <c r="AB220" s="1" t="s">
        <v>1138</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316</v>
      </c>
      <c r="AP220" s="1" t="s">
        <v>74</v>
      </c>
      <c r="AQ220" s="1" t="s">
        <v>74</v>
      </c>
      <c r="AR220" s="1" t="s">
        <v>74</v>
      </c>
      <c r="AS220" s="1" t="s">
        <v>74</v>
      </c>
      <c r="AT220" s="1" t="s">
        <v>171</v>
      </c>
      <c r="AU220" s="1">
        <v>2015.0</v>
      </c>
      <c r="AV220" s="1">
        <v>13.0</v>
      </c>
      <c r="AW220" s="1">
        <v>6.0</v>
      </c>
      <c r="AX220" s="1" t="s">
        <v>74</v>
      </c>
      <c r="AY220" s="1" t="s">
        <v>74</v>
      </c>
      <c r="AZ220" s="1" t="s">
        <v>74</v>
      </c>
      <c r="BA220" s="1" t="s">
        <v>74</v>
      </c>
      <c r="BB220" s="1">
        <v>1888.0</v>
      </c>
      <c r="BC220" s="1">
        <v>1892.0</v>
      </c>
      <c r="BD220" s="1" t="s">
        <v>74</v>
      </c>
      <c r="BE220" s="1" t="s">
        <v>2126</v>
      </c>
      <c r="BF220" s="2" t="str">
        <f>HYPERLINK("http://dx.doi.org/10.1109/TLA.2015.7164213","http://dx.doi.org/10.1109/TLA.2015.7164213")</f>
        <v>http://dx.doi.org/10.1109/TLA.2015.7164213</v>
      </c>
      <c r="BG220" s="1" t="s">
        <v>74</v>
      </c>
      <c r="BH220" s="1" t="s">
        <v>74</v>
      </c>
      <c r="BI220" s="1" t="s">
        <v>74</v>
      </c>
      <c r="BJ220" s="1" t="s">
        <v>74</v>
      </c>
      <c r="BK220" s="1" t="s">
        <v>74</v>
      </c>
      <c r="BL220" s="1" t="s">
        <v>74</v>
      </c>
      <c r="BM220" s="1" t="s">
        <v>74</v>
      </c>
      <c r="BN220" s="1" t="s">
        <v>74</v>
      </c>
      <c r="BO220" s="1" t="s">
        <v>74</v>
      </c>
      <c r="BP220" s="1" t="s">
        <v>74</v>
      </c>
      <c r="BQ220" s="1" t="s">
        <v>74</v>
      </c>
      <c r="BR220" s="1" t="s">
        <v>74</v>
      </c>
      <c r="BS220" s="1" t="s">
        <v>2127</v>
      </c>
      <c r="BT220" s="1" t="str">
        <f>HYPERLINK("https%3A%2F%2Fwww.webofscience.com%2Fwos%2Fwoscc%2Ffull-record%2FWOS:000358504700006","View Full Record in Web of Science")</f>
        <v>View Full Record in Web of Science</v>
      </c>
    </row>
    <row r="221" ht="12.75" customHeight="1">
      <c r="A221" s="1" t="s">
        <v>72</v>
      </c>
      <c r="B221" s="1" t="s">
        <v>2128</v>
      </c>
      <c r="C221" s="1" t="s">
        <v>74</v>
      </c>
      <c r="D221" s="1" t="s">
        <v>74</v>
      </c>
      <c r="E221" s="1" t="s">
        <v>74</v>
      </c>
      <c r="F221" s="1" t="s">
        <v>2129</v>
      </c>
      <c r="G221" s="1" t="s">
        <v>74</v>
      </c>
      <c r="H221" s="1" t="s">
        <v>74</v>
      </c>
      <c r="I221" s="1" t="s">
        <v>2130</v>
      </c>
      <c r="J221" s="1" t="s">
        <v>1190</v>
      </c>
      <c r="K221" s="1" t="s">
        <v>74</v>
      </c>
      <c r="L221" s="1" t="s">
        <v>74</v>
      </c>
      <c r="M221" s="1" t="s">
        <v>74</v>
      </c>
      <c r="N221" s="1" t="s">
        <v>74</v>
      </c>
      <c r="O221" s="1" t="s">
        <v>74</v>
      </c>
      <c r="P221" s="1" t="s">
        <v>74</v>
      </c>
      <c r="Q221" s="1" t="s">
        <v>74</v>
      </c>
      <c r="R221" s="1" t="s">
        <v>74</v>
      </c>
      <c r="S221" s="1" t="s">
        <v>74</v>
      </c>
      <c r="T221" s="1" t="s">
        <v>74</v>
      </c>
      <c r="U221" s="1" t="s">
        <v>74</v>
      </c>
      <c r="V221" s="1" t="s">
        <v>74</v>
      </c>
      <c r="W221" s="1" t="s">
        <v>74</v>
      </c>
      <c r="X221" s="1" t="s">
        <v>74</v>
      </c>
      <c r="Y221" s="1" t="s">
        <v>74</v>
      </c>
      <c r="Z221" s="1" t="s">
        <v>74</v>
      </c>
      <c r="AA221" s="1" t="s">
        <v>74</v>
      </c>
      <c r="AB221" s="1" t="s">
        <v>74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1191</v>
      </c>
      <c r="AP221" s="1" t="s">
        <v>1192</v>
      </c>
      <c r="AQ221" s="1" t="s">
        <v>74</v>
      </c>
      <c r="AR221" s="1" t="s">
        <v>74</v>
      </c>
      <c r="AS221" s="1" t="s">
        <v>74</v>
      </c>
      <c r="AT221" s="1" t="s">
        <v>1201</v>
      </c>
      <c r="AU221" s="1">
        <v>2015.0</v>
      </c>
      <c r="AV221" s="1">
        <v>30.0</v>
      </c>
      <c r="AW221" s="1">
        <v>2.0</v>
      </c>
      <c r="AX221" s="1" t="s">
        <v>74</v>
      </c>
      <c r="AY221" s="1" t="s">
        <v>74</v>
      </c>
      <c r="AZ221" s="1" t="s">
        <v>74</v>
      </c>
      <c r="BA221" s="1" t="s">
        <v>74</v>
      </c>
      <c r="BB221" s="1">
        <v>40.0</v>
      </c>
      <c r="BC221" s="1">
        <v>54.0</v>
      </c>
      <c r="BD221" s="1" t="s">
        <v>74</v>
      </c>
      <c r="BE221" s="1" t="s">
        <v>74</v>
      </c>
      <c r="BF221" s="1" t="s">
        <v>74</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2131</v>
      </c>
      <c r="BT221" s="1" t="str">
        <f>HYPERLINK("https%3A%2F%2Fwww.webofscience.com%2Fwos%2Fwoscc%2Ffull-record%2FWOS:000353528700004","View Full Record in Web of Science")</f>
        <v>View Full Record in Web of Science</v>
      </c>
    </row>
    <row r="222" ht="12.75" customHeight="1">
      <c r="A222" s="1" t="s">
        <v>126</v>
      </c>
      <c r="B222" s="1" t="s">
        <v>2132</v>
      </c>
      <c r="C222" s="1" t="s">
        <v>74</v>
      </c>
      <c r="D222" s="1" t="s">
        <v>74</v>
      </c>
      <c r="E222" s="1" t="s">
        <v>128</v>
      </c>
      <c r="F222" s="1" t="s">
        <v>2133</v>
      </c>
      <c r="G222" s="1" t="s">
        <v>74</v>
      </c>
      <c r="H222" s="1" t="s">
        <v>74</v>
      </c>
      <c r="I222" s="1" t="s">
        <v>2134</v>
      </c>
      <c r="J222" s="1" t="s">
        <v>2135</v>
      </c>
      <c r="K222" s="1" t="s">
        <v>74</v>
      </c>
      <c r="L222" s="1" t="s">
        <v>74</v>
      </c>
      <c r="M222" s="1" t="s">
        <v>74</v>
      </c>
      <c r="N222" s="1" t="s">
        <v>74</v>
      </c>
      <c r="O222" s="1" t="s">
        <v>2136</v>
      </c>
      <c r="P222" s="1" t="s">
        <v>2137</v>
      </c>
      <c r="Q222" s="1" t="s">
        <v>2138</v>
      </c>
      <c r="R222" s="1" t="s">
        <v>2139</v>
      </c>
      <c r="S222" s="1" t="s">
        <v>74</v>
      </c>
      <c r="T222" s="1" t="s">
        <v>74</v>
      </c>
      <c r="U222" s="1" t="s">
        <v>74</v>
      </c>
      <c r="V222" s="1" t="s">
        <v>2140</v>
      </c>
      <c r="W222" s="1" t="s">
        <v>74</v>
      </c>
      <c r="X222" s="1" t="s">
        <v>74</v>
      </c>
      <c r="Y222" s="1" t="s">
        <v>74</v>
      </c>
      <c r="Z222" s="1" t="s">
        <v>74</v>
      </c>
      <c r="AA222" s="1" t="s">
        <v>2141</v>
      </c>
      <c r="AB222" s="1" t="s">
        <v>74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74</v>
      </c>
      <c r="AP222" s="1" t="s">
        <v>74</v>
      </c>
      <c r="AQ222" s="1" t="s">
        <v>2142</v>
      </c>
      <c r="AR222" s="1" t="s">
        <v>74</v>
      </c>
      <c r="AS222" s="1" t="s">
        <v>74</v>
      </c>
      <c r="AT222" s="1" t="s">
        <v>74</v>
      </c>
      <c r="AU222" s="1">
        <v>2015.0</v>
      </c>
      <c r="AV222" s="1" t="s">
        <v>74</v>
      </c>
      <c r="AW222" s="1" t="s">
        <v>74</v>
      </c>
      <c r="AX222" s="1" t="s">
        <v>74</v>
      </c>
      <c r="AY222" s="1" t="s">
        <v>74</v>
      </c>
      <c r="AZ222" s="1" t="s">
        <v>74</v>
      </c>
      <c r="BA222" s="1" t="s">
        <v>74</v>
      </c>
      <c r="BB222" s="1">
        <v>376.0</v>
      </c>
      <c r="BC222" s="1">
        <v>381.0</v>
      </c>
      <c r="BD222" s="1" t="s">
        <v>74</v>
      </c>
      <c r="BE222" s="1" t="s">
        <v>74</v>
      </c>
      <c r="BF222" s="1" t="s">
        <v>74</v>
      </c>
      <c r="BG222" s="1" t="s">
        <v>74</v>
      </c>
      <c r="BH222" s="1" t="s">
        <v>74</v>
      </c>
      <c r="BI222" s="1" t="s">
        <v>74</v>
      </c>
      <c r="BJ222" s="1" t="s">
        <v>74</v>
      </c>
      <c r="BK222" s="1" t="s">
        <v>74</v>
      </c>
      <c r="BL222" s="1" t="s">
        <v>74</v>
      </c>
      <c r="BM222" s="1" t="s">
        <v>74</v>
      </c>
      <c r="BN222" s="1" t="s">
        <v>74</v>
      </c>
      <c r="BO222" s="1" t="s">
        <v>74</v>
      </c>
      <c r="BP222" s="1" t="s">
        <v>74</v>
      </c>
      <c r="BQ222" s="1" t="s">
        <v>74</v>
      </c>
      <c r="BR222" s="1" t="s">
        <v>74</v>
      </c>
      <c r="BS222" s="1" t="s">
        <v>2143</v>
      </c>
      <c r="BT222" s="1" t="str">
        <f>HYPERLINK("https%3A%2F%2Fwww.webofscience.com%2Fwos%2Fwoscc%2Ffull-record%2FWOS:000398603600068","View Full Record in Web of Science")</f>
        <v>View Full Record in Web of Science</v>
      </c>
    </row>
    <row r="223" ht="12.75" customHeight="1">
      <c r="A223" s="1" t="s">
        <v>72</v>
      </c>
      <c r="B223" s="1" t="s">
        <v>2144</v>
      </c>
      <c r="C223" s="1" t="s">
        <v>74</v>
      </c>
      <c r="D223" s="1" t="s">
        <v>74</v>
      </c>
      <c r="E223" s="1" t="s">
        <v>74</v>
      </c>
      <c r="F223" s="1" t="s">
        <v>2145</v>
      </c>
      <c r="G223" s="1" t="s">
        <v>74</v>
      </c>
      <c r="H223" s="1" t="s">
        <v>74</v>
      </c>
      <c r="I223" s="1" t="s">
        <v>2146</v>
      </c>
      <c r="J223" s="1" t="s">
        <v>2147</v>
      </c>
      <c r="K223" s="1" t="s">
        <v>74</v>
      </c>
      <c r="L223" s="1" t="s">
        <v>74</v>
      </c>
      <c r="M223" s="1" t="s">
        <v>74</v>
      </c>
      <c r="N223" s="1" t="s">
        <v>74</v>
      </c>
      <c r="O223" s="1" t="s">
        <v>74</v>
      </c>
      <c r="P223" s="1" t="s">
        <v>74</v>
      </c>
      <c r="Q223" s="1" t="s">
        <v>74</v>
      </c>
      <c r="R223" s="1" t="s">
        <v>74</v>
      </c>
      <c r="S223" s="1" t="s">
        <v>74</v>
      </c>
      <c r="T223" s="1" t="s">
        <v>74</v>
      </c>
      <c r="U223" s="1" t="s">
        <v>74</v>
      </c>
      <c r="V223" s="1" t="s">
        <v>2148</v>
      </c>
      <c r="W223" s="1" t="s">
        <v>74</v>
      </c>
      <c r="X223" s="1" t="s">
        <v>74</v>
      </c>
      <c r="Y223" s="1" t="s">
        <v>74</v>
      </c>
      <c r="Z223" s="1" t="s">
        <v>74</v>
      </c>
      <c r="AA223" s="1" t="s">
        <v>74</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2149</v>
      </c>
      <c r="AP223" s="1" t="s">
        <v>74</v>
      </c>
      <c r="AQ223" s="1" t="s">
        <v>74</v>
      </c>
      <c r="AR223" s="1" t="s">
        <v>74</v>
      </c>
      <c r="AS223" s="1" t="s">
        <v>74</v>
      </c>
      <c r="AT223" s="1" t="s">
        <v>82</v>
      </c>
      <c r="AU223" s="1">
        <v>2014.0</v>
      </c>
      <c r="AV223" s="1">
        <v>55.0</v>
      </c>
      <c r="AW223" s="1">
        <v>2.0</v>
      </c>
      <c r="AX223" s="1" t="s">
        <v>74</v>
      </c>
      <c r="AY223" s="1" t="s">
        <v>74</v>
      </c>
      <c r="AZ223" s="1" t="s">
        <v>74</v>
      </c>
      <c r="BA223" s="1" t="s">
        <v>74</v>
      </c>
      <c r="BB223" s="1">
        <v>109.0</v>
      </c>
      <c r="BC223" s="1">
        <v>120.0</v>
      </c>
      <c r="BD223" s="1" t="s">
        <v>74</v>
      </c>
      <c r="BE223" s="1" t="s">
        <v>2150</v>
      </c>
      <c r="BF223" s="2" t="str">
        <f>HYPERLINK("http://dx.doi.org/10.15057/26971","http://dx.doi.org/10.15057/26971")</f>
        <v>http://dx.doi.org/10.15057/26971</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2151</v>
      </c>
      <c r="BT223" s="1" t="str">
        <f>HYPERLINK("https%3A%2F%2Fwww.webofscience.com%2Fwos%2Fwoscc%2Ffull-record%2FWOS:000347144200001","View Full Record in Web of Science")</f>
        <v>View Full Record in Web of Science</v>
      </c>
    </row>
    <row r="224" ht="12.75" customHeight="1">
      <c r="A224" s="1" t="s">
        <v>72</v>
      </c>
      <c r="B224" s="1" t="s">
        <v>2152</v>
      </c>
      <c r="C224" s="1" t="s">
        <v>74</v>
      </c>
      <c r="D224" s="1" t="s">
        <v>74</v>
      </c>
      <c r="E224" s="1" t="s">
        <v>74</v>
      </c>
      <c r="F224" s="1" t="s">
        <v>2153</v>
      </c>
      <c r="G224" s="1" t="s">
        <v>74</v>
      </c>
      <c r="H224" s="1" t="s">
        <v>74</v>
      </c>
      <c r="I224" s="1" t="s">
        <v>2154</v>
      </c>
      <c r="J224" s="1" t="s">
        <v>2155</v>
      </c>
      <c r="K224" s="1" t="s">
        <v>74</v>
      </c>
      <c r="L224" s="1" t="s">
        <v>74</v>
      </c>
      <c r="M224" s="1" t="s">
        <v>74</v>
      </c>
      <c r="N224" s="1" t="s">
        <v>74</v>
      </c>
      <c r="O224" s="1" t="s">
        <v>74</v>
      </c>
      <c r="P224" s="1" t="s">
        <v>74</v>
      </c>
      <c r="Q224" s="1" t="s">
        <v>74</v>
      </c>
      <c r="R224" s="1" t="s">
        <v>74</v>
      </c>
      <c r="S224" s="1" t="s">
        <v>74</v>
      </c>
      <c r="T224" s="1" t="s">
        <v>74</v>
      </c>
      <c r="U224" s="1" t="s">
        <v>74</v>
      </c>
      <c r="V224" s="1" t="s">
        <v>2156</v>
      </c>
      <c r="W224" s="1" t="s">
        <v>74</v>
      </c>
      <c r="X224" s="1" t="s">
        <v>74</v>
      </c>
      <c r="Y224" s="1" t="s">
        <v>74</v>
      </c>
      <c r="Z224" s="1" t="s">
        <v>74</v>
      </c>
      <c r="AA224" s="1" t="s">
        <v>2157</v>
      </c>
      <c r="AB224" s="1" t="s">
        <v>2158</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2159</v>
      </c>
      <c r="AP224" s="1" t="s">
        <v>2160</v>
      </c>
      <c r="AQ224" s="1" t="s">
        <v>74</v>
      </c>
      <c r="AR224" s="1" t="s">
        <v>74</v>
      </c>
      <c r="AS224" s="1" t="s">
        <v>74</v>
      </c>
      <c r="AT224" s="1" t="s">
        <v>974</v>
      </c>
      <c r="AU224" s="1">
        <v>2014.0</v>
      </c>
      <c r="AV224" s="1">
        <v>25.0</v>
      </c>
      <c r="AW224" s="1">
        <v>4.0</v>
      </c>
      <c r="AX224" s="1" t="s">
        <v>74</v>
      </c>
      <c r="AY224" s="1" t="s">
        <v>74</v>
      </c>
      <c r="AZ224" s="1" t="s">
        <v>74</v>
      </c>
      <c r="BA224" s="1" t="s">
        <v>74</v>
      </c>
      <c r="BB224" s="1">
        <v>1045.0</v>
      </c>
      <c r="BC224" s="1">
        <v>1056.0</v>
      </c>
      <c r="BD224" s="1" t="s">
        <v>74</v>
      </c>
      <c r="BE224" s="1" t="s">
        <v>2161</v>
      </c>
      <c r="BF224" s="2" t="str">
        <f>HYPERLINK("http://dx.doi.org/10.1007/s11224-013-0377-z","http://dx.doi.org/10.1007/s11224-013-0377-z")</f>
        <v>http://dx.doi.org/10.1007/s11224-013-0377-z</v>
      </c>
      <c r="BG224" s="1" t="s">
        <v>74</v>
      </c>
      <c r="BH224" s="1" t="s">
        <v>74</v>
      </c>
      <c r="BI224" s="1" t="s">
        <v>74</v>
      </c>
      <c r="BJ224" s="1" t="s">
        <v>74</v>
      </c>
      <c r="BK224" s="1" t="s">
        <v>74</v>
      </c>
      <c r="BL224" s="1" t="s">
        <v>74</v>
      </c>
      <c r="BM224" s="1" t="s">
        <v>74</v>
      </c>
      <c r="BN224" s="1" t="s">
        <v>74</v>
      </c>
      <c r="BO224" s="1" t="s">
        <v>74</v>
      </c>
      <c r="BP224" s="1" t="s">
        <v>74</v>
      </c>
      <c r="BQ224" s="1" t="s">
        <v>74</v>
      </c>
      <c r="BR224" s="1" t="s">
        <v>74</v>
      </c>
      <c r="BS224" s="1" t="s">
        <v>2162</v>
      </c>
      <c r="BT224" s="1" t="str">
        <f>HYPERLINK("https%3A%2F%2Fwww.webofscience.com%2Fwos%2Fwoscc%2Ffull-record%2FWOS:000339391300005","View Full Record in Web of Science")</f>
        <v>View Full Record in Web of Science</v>
      </c>
    </row>
    <row r="225" ht="12.75" customHeight="1">
      <c r="A225" s="1" t="s">
        <v>72</v>
      </c>
      <c r="B225" s="1" t="s">
        <v>2163</v>
      </c>
      <c r="C225" s="1" t="s">
        <v>74</v>
      </c>
      <c r="D225" s="1" t="s">
        <v>74</v>
      </c>
      <c r="E225" s="1" t="s">
        <v>74</v>
      </c>
      <c r="F225" s="1" t="s">
        <v>2164</v>
      </c>
      <c r="G225" s="1" t="s">
        <v>74</v>
      </c>
      <c r="H225" s="1" t="s">
        <v>74</v>
      </c>
      <c r="I225" s="1" t="s">
        <v>2165</v>
      </c>
      <c r="J225" s="1" t="s">
        <v>698</v>
      </c>
      <c r="K225" s="1" t="s">
        <v>74</v>
      </c>
      <c r="L225" s="1" t="s">
        <v>74</v>
      </c>
      <c r="M225" s="1" t="s">
        <v>74</v>
      </c>
      <c r="N225" s="1" t="s">
        <v>74</v>
      </c>
      <c r="O225" s="1" t="s">
        <v>74</v>
      </c>
      <c r="P225" s="1" t="s">
        <v>74</v>
      </c>
      <c r="Q225" s="1" t="s">
        <v>74</v>
      </c>
      <c r="R225" s="1" t="s">
        <v>74</v>
      </c>
      <c r="S225" s="1" t="s">
        <v>74</v>
      </c>
      <c r="T225" s="1" t="s">
        <v>74</v>
      </c>
      <c r="U225" s="1" t="s">
        <v>74</v>
      </c>
      <c r="V225" s="1" t="s">
        <v>2166</v>
      </c>
      <c r="W225" s="1" t="s">
        <v>74</v>
      </c>
      <c r="X225" s="1" t="s">
        <v>74</v>
      </c>
      <c r="Y225" s="1" t="s">
        <v>74</v>
      </c>
      <c r="Z225" s="1" t="s">
        <v>74</v>
      </c>
      <c r="AA225" s="1" t="s">
        <v>2167</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702</v>
      </c>
      <c r="AP225" s="1" t="s">
        <v>74</v>
      </c>
      <c r="AQ225" s="1" t="s">
        <v>74</v>
      </c>
      <c r="AR225" s="1" t="s">
        <v>74</v>
      </c>
      <c r="AS225" s="1" t="s">
        <v>74</v>
      </c>
      <c r="AT225" s="1" t="s">
        <v>82</v>
      </c>
      <c r="AU225" s="1">
        <v>2013.0</v>
      </c>
      <c r="AV225" s="1">
        <v>58.0</v>
      </c>
      <c r="AW225" s="1">
        <v>4.0</v>
      </c>
      <c r="AX225" s="1" t="s">
        <v>74</v>
      </c>
      <c r="AY225" s="1" t="s">
        <v>74</v>
      </c>
      <c r="AZ225" s="1" t="s">
        <v>74</v>
      </c>
      <c r="BA225" s="1" t="s">
        <v>74</v>
      </c>
      <c r="BB225" s="1">
        <v>2053.0</v>
      </c>
      <c r="BC225" s="1">
        <v>2056.0</v>
      </c>
      <c r="BD225" s="1" t="s">
        <v>74</v>
      </c>
      <c r="BE225" s="1" t="s">
        <v>2168</v>
      </c>
      <c r="BF225" s="2" t="str">
        <f>HYPERLINK("http://dx.doi.org/10.4067/S0717-97072013000400033","http://dx.doi.org/10.4067/S0717-97072013000400033")</f>
        <v>http://dx.doi.org/10.4067/S0717-97072013000400033</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2169</v>
      </c>
      <c r="BT225" s="1" t="str">
        <f>HYPERLINK("https%3A%2F%2Fwww.webofscience.com%2Fwos%2Fwoscc%2Ffull-record%2FWOS:000331238800029","View Full Record in Web of Science")</f>
        <v>View Full Record in Web of Science</v>
      </c>
    </row>
    <row r="226" ht="12.75" customHeight="1">
      <c r="A226" s="1" t="s">
        <v>72</v>
      </c>
      <c r="B226" s="1" t="s">
        <v>2170</v>
      </c>
      <c r="C226" s="1" t="s">
        <v>74</v>
      </c>
      <c r="D226" s="1" t="s">
        <v>74</v>
      </c>
      <c r="E226" s="1" t="s">
        <v>74</v>
      </c>
      <c r="F226" s="1" t="s">
        <v>2171</v>
      </c>
      <c r="G226" s="1" t="s">
        <v>74</v>
      </c>
      <c r="H226" s="1" t="s">
        <v>74</v>
      </c>
      <c r="I226" s="1" t="s">
        <v>2172</v>
      </c>
      <c r="J226" s="1" t="s">
        <v>2173</v>
      </c>
      <c r="K226" s="1" t="s">
        <v>74</v>
      </c>
      <c r="L226" s="1" t="s">
        <v>74</v>
      </c>
      <c r="M226" s="1" t="s">
        <v>74</v>
      </c>
      <c r="N226" s="1" t="s">
        <v>74</v>
      </c>
      <c r="O226" s="1" t="s">
        <v>74</v>
      </c>
      <c r="P226" s="1" t="s">
        <v>74</v>
      </c>
      <c r="Q226" s="1" t="s">
        <v>74</v>
      </c>
      <c r="R226" s="1" t="s">
        <v>74</v>
      </c>
      <c r="S226" s="1" t="s">
        <v>74</v>
      </c>
      <c r="T226" s="1" t="s">
        <v>74</v>
      </c>
      <c r="U226" s="1" t="s">
        <v>74</v>
      </c>
      <c r="V226" s="1" t="s">
        <v>74</v>
      </c>
      <c r="W226" s="1" t="s">
        <v>74</v>
      </c>
      <c r="X226" s="1" t="s">
        <v>74</v>
      </c>
      <c r="Y226" s="1" t="s">
        <v>74</v>
      </c>
      <c r="Z226" s="1" t="s">
        <v>74</v>
      </c>
      <c r="AA226" s="1" t="s">
        <v>74</v>
      </c>
      <c r="AB226" s="1" t="s">
        <v>74</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2174</v>
      </c>
      <c r="AP226" s="1" t="s">
        <v>2175</v>
      </c>
      <c r="AQ226" s="1" t="s">
        <v>74</v>
      </c>
      <c r="AR226" s="1" t="s">
        <v>74</v>
      </c>
      <c r="AS226" s="1" t="s">
        <v>74</v>
      </c>
      <c r="AT226" s="1" t="s">
        <v>276</v>
      </c>
      <c r="AU226" s="1">
        <v>2013.0</v>
      </c>
      <c r="AV226" s="1">
        <v>25.0</v>
      </c>
      <c r="AW226" s="1">
        <v>10.0</v>
      </c>
      <c r="AX226" s="1" t="s">
        <v>74</v>
      </c>
      <c r="AY226" s="1" t="s">
        <v>74</v>
      </c>
      <c r="AZ226" s="1" t="s">
        <v>74</v>
      </c>
      <c r="BA226" s="1" t="s">
        <v>74</v>
      </c>
      <c r="BB226" s="1" t="s">
        <v>74</v>
      </c>
      <c r="BC226" s="1" t="s">
        <v>74</v>
      </c>
      <c r="BD226" s="1">
        <v>109901.0</v>
      </c>
      <c r="BE226" s="1" t="s">
        <v>2176</v>
      </c>
      <c r="BF226" s="2" t="str">
        <f>HYPERLINK("http://dx.doi.org/10.1063/1.4824776","http://dx.doi.org/10.1063/1.4824776")</f>
        <v>http://dx.doi.org/10.1063/1.4824776</v>
      </c>
      <c r="BG226" s="1" t="s">
        <v>74</v>
      </c>
      <c r="BH226" s="1" t="s">
        <v>74</v>
      </c>
      <c r="BI226" s="1" t="s">
        <v>74</v>
      </c>
      <c r="BJ226" s="1" t="s">
        <v>74</v>
      </c>
      <c r="BK226" s="1" t="s">
        <v>74</v>
      </c>
      <c r="BL226" s="1" t="s">
        <v>74</v>
      </c>
      <c r="BM226" s="1" t="s">
        <v>74</v>
      </c>
      <c r="BN226" s="1" t="s">
        <v>74</v>
      </c>
      <c r="BO226" s="1" t="s">
        <v>74</v>
      </c>
      <c r="BP226" s="1" t="s">
        <v>74</v>
      </c>
      <c r="BQ226" s="1" t="s">
        <v>74</v>
      </c>
      <c r="BR226" s="1" t="s">
        <v>74</v>
      </c>
      <c r="BS226" s="1" t="s">
        <v>2177</v>
      </c>
      <c r="BT226" s="1" t="str">
        <f>HYPERLINK("https%3A%2F%2Fwww.webofscience.com%2Fwos%2Fwoscc%2Ffull-record%2FWOS:000326642800063","View Full Record in Web of Science")</f>
        <v>View Full Record in Web of Science</v>
      </c>
    </row>
    <row r="227" ht="12.75" customHeight="1">
      <c r="A227" s="1" t="s">
        <v>72</v>
      </c>
      <c r="B227" s="1" t="s">
        <v>2178</v>
      </c>
      <c r="C227" s="1" t="s">
        <v>74</v>
      </c>
      <c r="D227" s="1" t="s">
        <v>74</v>
      </c>
      <c r="E227" s="1" t="s">
        <v>74</v>
      </c>
      <c r="F227" s="1" t="s">
        <v>2179</v>
      </c>
      <c r="G227" s="1" t="s">
        <v>74</v>
      </c>
      <c r="H227" s="1" t="s">
        <v>74</v>
      </c>
      <c r="I227" s="1" t="s">
        <v>2180</v>
      </c>
      <c r="J227" s="1" t="s">
        <v>2181</v>
      </c>
      <c r="K227" s="1" t="s">
        <v>74</v>
      </c>
      <c r="L227" s="1" t="s">
        <v>74</v>
      </c>
      <c r="M227" s="1" t="s">
        <v>74</v>
      </c>
      <c r="N227" s="1" t="s">
        <v>74</v>
      </c>
      <c r="O227" s="1" t="s">
        <v>74</v>
      </c>
      <c r="P227" s="1" t="s">
        <v>74</v>
      </c>
      <c r="Q227" s="1" t="s">
        <v>74</v>
      </c>
      <c r="R227" s="1" t="s">
        <v>74</v>
      </c>
      <c r="S227" s="1" t="s">
        <v>74</v>
      </c>
      <c r="T227" s="1" t="s">
        <v>74</v>
      </c>
      <c r="U227" s="1" t="s">
        <v>74</v>
      </c>
      <c r="V227" s="1" t="s">
        <v>74</v>
      </c>
      <c r="W227" s="1" t="s">
        <v>74</v>
      </c>
      <c r="X227" s="1" t="s">
        <v>74</v>
      </c>
      <c r="Y227" s="1" t="s">
        <v>74</v>
      </c>
      <c r="Z227" s="1" t="s">
        <v>74</v>
      </c>
      <c r="AA227" s="1" t="s">
        <v>74</v>
      </c>
      <c r="AB227" s="1" t="s">
        <v>74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2182</v>
      </c>
      <c r="AP227" s="1" t="s">
        <v>74</v>
      </c>
      <c r="AQ227" s="1" t="s">
        <v>74</v>
      </c>
      <c r="AR227" s="1" t="s">
        <v>74</v>
      </c>
      <c r="AS227" s="1" t="s">
        <v>74</v>
      </c>
      <c r="AT227" s="1" t="s">
        <v>1201</v>
      </c>
      <c r="AU227" s="1">
        <v>2013.0</v>
      </c>
      <c r="AV227" s="1">
        <v>13.0</v>
      </c>
      <c r="AW227" s="1">
        <v>1.0</v>
      </c>
      <c r="AX227" s="1" t="s">
        <v>74</v>
      </c>
      <c r="AY227" s="1" t="s">
        <v>74</v>
      </c>
      <c r="AZ227" s="1" t="s">
        <v>74</v>
      </c>
      <c r="BA227" s="1" t="s">
        <v>74</v>
      </c>
      <c r="BB227" s="1">
        <v>189.0</v>
      </c>
      <c r="BC227" s="1">
        <v>208.0</v>
      </c>
      <c r="BD227" s="1" t="s">
        <v>74</v>
      </c>
      <c r="BE227" s="1" t="s">
        <v>2183</v>
      </c>
      <c r="BF227" s="2" t="str">
        <f>HYPERLINK("http://dx.doi.org/10.1353/ncr.2013.0004","http://dx.doi.org/10.1353/ncr.2013.0004")</f>
        <v>http://dx.doi.org/10.1353/ncr.2013.0004</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2184</v>
      </c>
      <c r="BT227" s="1" t="str">
        <f>HYPERLINK("https%3A%2F%2Fwww.webofscience.com%2Fwos%2Fwoscc%2Ffull-record%2FWOS:000321681000010","View Full Record in Web of Science")</f>
        <v>View Full Record in Web of Science</v>
      </c>
    </row>
    <row r="228" ht="12.75" customHeight="1">
      <c r="A228" s="1" t="s">
        <v>126</v>
      </c>
      <c r="B228" s="1" t="s">
        <v>2185</v>
      </c>
      <c r="C228" s="1" t="s">
        <v>74</v>
      </c>
      <c r="D228" s="1" t="s">
        <v>74</v>
      </c>
      <c r="E228" s="1" t="s">
        <v>458</v>
      </c>
      <c r="F228" s="1" t="s">
        <v>2186</v>
      </c>
      <c r="G228" s="1" t="s">
        <v>74</v>
      </c>
      <c r="H228" s="1" t="s">
        <v>74</v>
      </c>
      <c r="I228" s="1" t="s">
        <v>2187</v>
      </c>
      <c r="J228" s="1" t="s">
        <v>1443</v>
      </c>
      <c r="K228" s="1" t="s">
        <v>74</v>
      </c>
      <c r="L228" s="1" t="s">
        <v>74</v>
      </c>
      <c r="M228" s="1" t="s">
        <v>74</v>
      </c>
      <c r="N228" s="1" t="s">
        <v>74</v>
      </c>
      <c r="O228" s="1" t="s">
        <v>1444</v>
      </c>
      <c r="P228" s="1" t="s">
        <v>1445</v>
      </c>
      <c r="Q228" s="1" t="s">
        <v>1446</v>
      </c>
      <c r="R228" s="1" t="s">
        <v>458</v>
      </c>
      <c r="S228" s="1" t="s">
        <v>74</v>
      </c>
      <c r="T228" s="1" t="s">
        <v>74</v>
      </c>
      <c r="U228" s="1" t="s">
        <v>74</v>
      </c>
      <c r="V228" s="1" t="s">
        <v>2188</v>
      </c>
      <c r="W228" s="1" t="s">
        <v>74</v>
      </c>
      <c r="X228" s="1" t="s">
        <v>74</v>
      </c>
      <c r="Y228" s="1" t="s">
        <v>74</v>
      </c>
      <c r="Z228" s="1" t="s">
        <v>74</v>
      </c>
      <c r="AA228" s="1" t="s">
        <v>74</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74</v>
      </c>
      <c r="AP228" s="1" t="s">
        <v>74</v>
      </c>
      <c r="AQ228" s="1" t="s">
        <v>1448</v>
      </c>
      <c r="AR228" s="1" t="s">
        <v>74</v>
      </c>
      <c r="AS228" s="1" t="s">
        <v>74</v>
      </c>
      <c r="AT228" s="1" t="s">
        <v>74</v>
      </c>
      <c r="AU228" s="1">
        <v>2013.0</v>
      </c>
      <c r="AV228" s="1" t="s">
        <v>74</v>
      </c>
      <c r="AW228" s="1" t="s">
        <v>74</v>
      </c>
      <c r="AX228" s="1" t="s">
        <v>74</v>
      </c>
      <c r="AY228" s="1" t="s">
        <v>74</v>
      </c>
      <c r="AZ228" s="1" t="s">
        <v>74</v>
      </c>
      <c r="BA228" s="1" t="s">
        <v>74</v>
      </c>
      <c r="BB228" s="1">
        <v>1029.0</v>
      </c>
      <c r="BC228" s="1">
        <v>1033.0</v>
      </c>
      <c r="BD228" s="1" t="s">
        <v>74</v>
      </c>
      <c r="BE228" s="1" t="s">
        <v>74</v>
      </c>
      <c r="BF228" s="1" t="s">
        <v>74</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2189</v>
      </c>
      <c r="BT228" s="1" t="str">
        <f>HYPERLINK("https%3A%2F%2Fwww.webofscience.com%2Fwos%2Fwoscc%2Ffull-record%2FWOS:000350071100118","View Full Record in Web of Science")</f>
        <v>View Full Record in Web of Science</v>
      </c>
    </row>
    <row r="229" ht="12.75" customHeight="1">
      <c r="A229" s="1" t="s">
        <v>72</v>
      </c>
      <c r="B229" s="1" t="s">
        <v>2190</v>
      </c>
      <c r="C229" s="1" t="s">
        <v>74</v>
      </c>
      <c r="D229" s="1" t="s">
        <v>74</v>
      </c>
      <c r="E229" s="1" t="s">
        <v>74</v>
      </c>
      <c r="F229" s="1" t="s">
        <v>2191</v>
      </c>
      <c r="G229" s="1" t="s">
        <v>74</v>
      </c>
      <c r="H229" s="1" t="s">
        <v>74</v>
      </c>
      <c r="I229" s="1" t="s">
        <v>2192</v>
      </c>
      <c r="J229" s="1" t="s">
        <v>2048</v>
      </c>
      <c r="K229" s="1" t="s">
        <v>74</v>
      </c>
      <c r="L229" s="1" t="s">
        <v>74</v>
      </c>
      <c r="M229" s="1" t="s">
        <v>74</v>
      </c>
      <c r="N229" s="1" t="s">
        <v>74</v>
      </c>
      <c r="O229" s="1" t="s">
        <v>74</v>
      </c>
      <c r="P229" s="1" t="s">
        <v>74</v>
      </c>
      <c r="Q229" s="1" t="s">
        <v>74</v>
      </c>
      <c r="R229" s="1" t="s">
        <v>74</v>
      </c>
      <c r="S229" s="1" t="s">
        <v>74</v>
      </c>
      <c r="T229" s="1" t="s">
        <v>74</v>
      </c>
      <c r="U229" s="1" t="s">
        <v>74</v>
      </c>
      <c r="V229" s="1" t="s">
        <v>2193</v>
      </c>
      <c r="W229" s="1" t="s">
        <v>74</v>
      </c>
      <c r="X229" s="1" t="s">
        <v>74</v>
      </c>
      <c r="Y229" s="1" t="s">
        <v>74</v>
      </c>
      <c r="Z229" s="1" t="s">
        <v>74</v>
      </c>
      <c r="AA229" s="1" t="s">
        <v>74</v>
      </c>
      <c r="AB229" s="1" t="s">
        <v>74</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2050</v>
      </c>
      <c r="AP229" s="1" t="s">
        <v>74</v>
      </c>
      <c r="AQ229" s="1" t="s">
        <v>74</v>
      </c>
      <c r="AR229" s="1" t="s">
        <v>74</v>
      </c>
      <c r="AS229" s="1" t="s">
        <v>74</v>
      </c>
      <c r="AT229" s="1" t="s">
        <v>224</v>
      </c>
      <c r="AU229" s="1">
        <v>2012.0</v>
      </c>
      <c r="AV229" s="1">
        <v>11.0</v>
      </c>
      <c r="AW229" s="1">
        <v>3.0</v>
      </c>
      <c r="AX229" s="1" t="s">
        <v>74</v>
      </c>
      <c r="AY229" s="1" t="s">
        <v>74</v>
      </c>
      <c r="AZ229" s="1" t="s">
        <v>74</v>
      </c>
      <c r="BA229" s="1" t="s">
        <v>74</v>
      </c>
      <c r="BB229" s="1">
        <v>285.0</v>
      </c>
      <c r="BC229" s="1">
        <v>290.0</v>
      </c>
      <c r="BD229" s="1" t="s">
        <v>74</v>
      </c>
      <c r="BE229" s="1" t="s">
        <v>74</v>
      </c>
      <c r="BF229" s="1" t="s">
        <v>74</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2194</v>
      </c>
      <c r="BT229" s="1" t="str">
        <f>HYPERLINK("https%3A%2F%2Fwww.webofscience.com%2Fwos%2Fwoscc%2Ffull-record%2FWOS:000304713000010","View Full Record in Web of Science")</f>
        <v>View Full Record in Web of Science</v>
      </c>
    </row>
    <row r="230" ht="12.75" customHeight="1">
      <c r="A230" s="1" t="s">
        <v>72</v>
      </c>
      <c r="B230" s="1" t="s">
        <v>1299</v>
      </c>
      <c r="C230" s="1" t="s">
        <v>74</v>
      </c>
      <c r="D230" s="1" t="s">
        <v>74</v>
      </c>
      <c r="E230" s="1" t="s">
        <v>74</v>
      </c>
      <c r="F230" s="1" t="s">
        <v>1300</v>
      </c>
      <c r="G230" s="1" t="s">
        <v>74</v>
      </c>
      <c r="H230" s="1" t="s">
        <v>74</v>
      </c>
      <c r="I230" s="1" t="s">
        <v>2195</v>
      </c>
      <c r="J230" s="1" t="s">
        <v>2196</v>
      </c>
      <c r="K230" s="1" t="s">
        <v>74</v>
      </c>
      <c r="L230" s="1" t="s">
        <v>74</v>
      </c>
      <c r="M230" s="1" t="s">
        <v>74</v>
      </c>
      <c r="N230" s="1" t="s">
        <v>74</v>
      </c>
      <c r="O230" s="1" t="s">
        <v>74</v>
      </c>
      <c r="P230" s="1" t="s">
        <v>74</v>
      </c>
      <c r="Q230" s="1" t="s">
        <v>74</v>
      </c>
      <c r="R230" s="1" t="s">
        <v>74</v>
      </c>
      <c r="S230" s="1" t="s">
        <v>74</v>
      </c>
      <c r="T230" s="1" t="s">
        <v>74</v>
      </c>
      <c r="U230" s="1" t="s">
        <v>74</v>
      </c>
      <c r="V230" s="1" t="s">
        <v>74</v>
      </c>
      <c r="W230" s="1" t="s">
        <v>74</v>
      </c>
      <c r="X230" s="1" t="s">
        <v>74</v>
      </c>
      <c r="Y230" s="1" t="s">
        <v>74</v>
      </c>
      <c r="Z230" s="1" t="s">
        <v>74</v>
      </c>
      <c r="AA230" s="1" t="s">
        <v>74</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2197</v>
      </c>
      <c r="AP230" s="1" t="s">
        <v>74</v>
      </c>
      <c r="AQ230" s="1" t="s">
        <v>74</v>
      </c>
      <c r="AR230" s="1" t="s">
        <v>74</v>
      </c>
      <c r="AS230" s="1" t="s">
        <v>74</v>
      </c>
      <c r="AT230" s="1" t="s">
        <v>193</v>
      </c>
      <c r="AU230" s="1">
        <v>2012.0</v>
      </c>
      <c r="AV230" s="1" t="s">
        <v>74</v>
      </c>
      <c r="AW230" s="1">
        <v>81.0</v>
      </c>
      <c r="AX230" s="1" t="s">
        <v>74</v>
      </c>
      <c r="AY230" s="1" t="s">
        <v>74</v>
      </c>
      <c r="AZ230" s="1" t="s">
        <v>74</v>
      </c>
      <c r="BA230" s="1" t="s">
        <v>74</v>
      </c>
      <c r="BB230" s="1">
        <v>5.0</v>
      </c>
      <c r="BC230" s="1">
        <v>24.0</v>
      </c>
      <c r="BD230" s="1" t="s">
        <v>74</v>
      </c>
      <c r="BE230" s="1" t="s">
        <v>2198</v>
      </c>
      <c r="BF230" s="2" t="str">
        <f>HYPERLINK("http://dx.doi.org/10.4067/S0718-22952012000100001","http://dx.doi.org/10.4067/S0718-22952012000100001")</f>
        <v>http://dx.doi.org/10.4067/S0718-22952012000100001</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2199</v>
      </c>
      <c r="BT230" s="1" t="str">
        <f>HYPERLINK("https%3A%2F%2Fwww.webofscience.com%2Fwos%2Fwoscc%2Ffull-record%2FWOS:000310816900001","View Full Record in Web of Science")</f>
        <v>View Full Record in Web of Science</v>
      </c>
    </row>
    <row r="231" ht="12.75" customHeight="1">
      <c r="A231" s="1" t="s">
        <v>72</v>
      </c>
      <c r="B231" s="1" t="s">
        <v>2200</v>
      </c>
      <c r="C231" s="1" t="s">
        <v>74</v>
      </c>
      <c r="D231" s="1" t="s">
        <v>74</v>
      </c>
      <c r="E231" s="1" t="s">
        <v>74</v>
      </c>
      <c r="F231" s="1" t="s">
        <v>2201</v>
      </c>
      <c r="G231" s="1" t="s">
        <v>74</v>
      </c>
      <c r="H231" s="1" t="s">
        <v>74</v>
      </c>
      <c r="I231" s="1" t="s">
        <v>2202</v>
      </c>
      <c r="J231" s="1" t="s">
        <v>2203</v>
      </c>
      <c r="K231" s="1" t="s">
        <v>74</v>
      </c>
      <c r="L231" s="1" t="s">
        <v>74</v>
      </c>
      <c r="M231" s="1" t="s">
        <v>74</v>
      </c>
      <c r="N231" s="1" t="s">
        <v>74</v>
      </c>
      <c r="O231" s="1" t="s">
        <v>74</v>
      </c>
      <c r="P231" s="1" t="s">
        <v>74</v>
      </c>
      <c r="Q231" s="1" t="s">
        <v>74</v>
      </c>
      <c r="R231" s="1" t="s">
        <v>74</v>
      </c>
      <c r="S231" s="1" t="s">
        <v>74</v>
      </c>
      <c r="T231" s="1" t="s">
        <v>74</v>
      </c>
      <c r="U231" s="1" t="s">
        <v>74</v>
      </c>
      <c r="V231" s="1" t="s">
        <v>2204</v>
      </c>
      <c r="W231" s="1" t="s">
        <v>74</v>
      </c>
      <c r="X231" s="1" t="s">
        <v>74</v>
      </c>
      <c r="Y231" s="1" t="s">
        <v>74</v>
      </c>
      <c r="Z231" s="1" t="s">
        <v>74</v>
      </c>
      <c r="AA231" s="1" t="s">
        <v>2205</v>
      </c>
      <c r="AB231" s="1" t="s">
        <v>2206</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2207</v>
      </c>
      <c r="AP231" s="1" t="s">
        <v>74</v>
      </c>
      <c r="AQ231" s="1" t="s">
        <v>74</v>
      </c>
      <c r="AR231" s="1" t="s">
        <v>74</v>
      </c>
      <c r="AS231" s="1" t="s">
        <v>74</v>
      </c>
      <c r="AT231" s="1" t="s">
        <v>2208</v>
      </c>
      <c r="AU231" s="1">
        <v>2012.0</v>
      </c>
      <c r="AV231" s="1">
        <v>11.0</v>
      </c>
      <c r="AW231" s="1">
        <v>1.0</v>
      </c>
      <c r="AX231" s="1" t="s">
        <v>74</v>
      </c>
      <c r="AY231" s="1" t="s">
        <v>74</v>
      </c>
      <c r="AZ231" s="1" t="s">
        <v>74</v>
      </c>
      <c r="BA231" s="1" t="s">
        <v>74</v>
      </c>
      <c r="BB231" s="1">
        <v>67.0</v>
      </c>
      <c r="BC231" s="1">
        <v>78.0</v>
      </c>
      <c r="BD231" s="1" t="s">
        <v>74</v>
      </c>
      <c r="BE231" s="1" t="s">
        <v>74</v>
      </c>
      <c r="BF231" s="1" t="s">
        <v>74</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2209</v>
      </c>
      <c r="BT231" s="1" t="str">
        <f>HYPERLINK("https%3A%2F%2Fwww.webofscience.com%2Fwos%2Fwoscc%2Ffull-record%2FWOS:000306548200006","View Full Record in Web of Science")</f>
        <v>View Full Record in Web of Science</v>
      </c>
    </row>
    <row r="232" ht="12.75" customHeight="1">
      <c r="A232" s="1" t="s">
        <v>72</v>
      </c>
      <c r="B232" s="1" t="s">
        <v>2210</v>
      </c>
      <c r="C232" s="1" t="s">
        <v>74</v>
      </c>
      <c r="D232" s="1" t="s">
        <v>74</v>
      </c>
      <c r="E232" s="1" t="s">
        <v>74</v>
      </c>
      <c r="F232" s="1" t="s">
        <v>2211</v>
      </c>
      <c r="G232" s="1" t="s">
        <v>74</v>
      </c>
      <c r="H232" s="1" t="s">
        <v>74</v>
      </c>
      <c r="I232" s="1" t="s">
        <v>2212</v>
      </c>
      <c r="J232" s="1" t="s">
        <v>2213</v>
      </c>
      <c r="K232" s="1" t="s">
        <v>74</v>
      </c>
      <c r="L232" s="1" t="s">
        <v>74</v>
      </c>
      <c r="M232" s="1" t="s">
        <v>74</v>
      </c>
      <c r="N232" s="1" t="s">
        <v>74</v>
      </c>
      <c r="O232" s="1" t="s">
        <v>74</v>
      </c>
      <c r="P232" s="1" t="s">
        <v>74</v>
      </c>
      <c r="Q232" s="1" t="s">
        <v>74</v>
      </c>
      <c r="R232" s="1" t="s">
        <v>74</v>
      </c>
      <c r="S232" s="1" t="s">
        <v>74</v>
      </c>
      <c r="T232" s="1" t="s">
        <v>74</v>
      </c>
      <c r="U232" s="1" t="s">
        <v>74</v>
      </c>
      <c r="V232" s="1" t="s">
        <v>2214</v>
      </c>
      <c r="W232" s="1" t="s">
        <v>74</v>
      </c>
      <c r="X232" s="1" t="s">
        <v>74</v>
      </c>
      <c r="Y232" s="1" t="s">
        <v>74</v>
      </c>
      <c r="Z232" s="1" t="s">
        <v>74</v>
      </c>
      <c r="AA232" s="1" t="s">
        <v>2215</v>
      </c>
      <c r="AB232" s="1" t="s">
        <v>2216</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2217</v>
      </c>
      <c r="AP232" s="1" t="s">
        <v>2218</v>
      </c>
      <c r="AQ232" s="1" t="s">
        <v>74</v>
      </c>
      <c r="AR232" s="1" t="s">
        <v>74</v>
      </c>
      <c r="AS232" s="1" t="s">
        <v>74</v>
      </c>
      <c r="AT232" s="1" t="s">
        <v>1482</v>
      </c>
      <c r="AU232" s="1">
        <v>2011.0</v>
      </c>
      <c r="AV232" s="1">
        <v>14.0</v>
      </c>
      <c r="AW232" s="1">
        <v>5.0</v>
      </c>
      <c r="AX232" s="1" t="s">
        <v>74</v>
      </c>
      <c r="AY232" s="1" t="s">
        <v>74</v>
      </c>
      <c r="AZ232" s="1" t="s">
        <v>74</v>
      </c>
      <c r="BA232" s="1" t="s">
        <v>74</v>
      </c>
      <c r="BB232" s="1">
        <v>600.0</v>
      </c>
      <c r="BC232" s="1">
        <v>604.0</v>
      </c>
      <c r="BD232" s="1" t="s">
        <v>74</v>
      </c>
      <c r="BE232" s="1" t="s">
        <v>2219</v>
      </c>
      <c r="BF232" s="2" t="str">
        <f>HYPERLINK("http://dx.doi.org/10.1080/0972060X.2011.10643977","http://dx.doi.org/10.1080/0972060X.2011.10643977")</f>
        <v>http://dx.doi.org/10.1080/0972060X.2011.10643977</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2220</v>
      </c>
      <c r="BT232" s="1" t="str">
        <f>HYPERLINK("https%3A%2F%2Fwww.webofscience.com%2Fwos%2Fwoscc%2Ffull-record%2FWOS:000298866200009","View Full Record in Web of Science")</f>
        <v>View Full Record in Web of Science</v>
      </c>
    </row>
    <row r="233" ht="12.75" customHeight="1">
      <c r="A233" s="1" t="s">
        <v>72</v>
      </c>
      <c r="B233" s="1" t="s">
        <v>2221</v>
      </c>
      <c r="C233" s="1" t="s">
        <v>74</v>
      </c>
      <c r="D233" s="1" t="s">
        <v>74</v>
      </c>
      <c r="E233" s="1" t="s">
        <v>74</v>
      </c>
      <c r="F233" s="1" t="s">
        <v>2222</v>
      </c>
      <c r="G233" s="1" t="s">
        <v>74</v>
      </c>
      <c r="H233" s="1" t="s">
        <v>74</v>
      </c>
      <c r="I233" s="1" t="s">
        <v>2223</v>
      </c>
      <c r="J233" s="1" t="s">
        <v>2224</v>
      </c>
      <c r="K233" s="1" t="s">
        <v>74</v>
      </c>
      <c r="L233" s="1" t="s">
        <v>74</v>
      </c>
      <c r="M233" s="1" t="s">
        <v>74</v>
      </c>
      <c r="N233" s="1" t="s">
        <v>74</v>
      </c>
      <c r="O233" s="1" t="s">
        <v>74</v>
      </c>
      <c r="P233" s="1" t="s">
        <v>74</v>
      </c>
      <c r="Q233" s="1" t="s">
        <v>74</v>
      </c>
      <c r="R233" s="1" t="s">
        <v>74</v>
      </c>
      <c r="S233" s="1" t="s">
        <v>74</v>
      </c>
      <c r="T233" s="1" t="s">
        <v>74</v>
      </c>
      <c r="U233" s="1" t="s">
        <v>74</v>
      </c>
      <c r="V233" s="1" t="s">
        <v>2225</v>
      </c>
      <c r="W233" s="1" t="s">
        <v>74</v>
      </c>
      <c r="X233" s="1" t="s">
        <v>74</v>
      </c>
      <c r="Y233" s="1" t="s">
        <v>74</v>
      </c>
      <c r="Z233" s="1" t="s">
        <v>74</v>
      </c>
      <c r="AA233" s="1" t="s">
        <v>2226</v>
      </c>
      <c r="AB233" s="1" t="s">
        <v>2227</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2228</v>
      </c>
      <c r="AP233" s="1" t="s">
        <v>2229</v>
      </c>
      <c r="AQ233" s="1" t="s">
        <v>74</v>
      </c>
      <c r="AR233" s="1" t="s">
        <v>74</v>
      </c>
      <c r="AS233" s="1" t="s">
        <v>74</v>
      </c>
      <c r="AT233" s="1" t="s">
        <v>158</v>
      </c>
      <c r="AU233" s="1">
        <v>2011.0</v>
      </c>
      <c r="AV233" s="1">
        <v>6.0</v>
      </c>
      <c r="AW233" s="1">
        <v>3.0</v>
      </c>
      <c r="AX233" s="1" t="s">
        <v>74</v>
      </c>
      <c r="AY233" s="1" t="s">
        <v>74</v>
      </c>
      <c r="AZ233" s="1" t="s">
        <v>74</v>
      </c>
      <c r="BA233" s="1" t="s">
        <v>74</v>
      </c>
      <c r="BB233" s="1">
        <v>349.0</v>
      </c>
      <c r="BC233" s="1">
        <v>358.0</v>
      </c>
      <c r="BD233" s="1" t="s">
        <v>74</v>
      </c>
      <c r="BE233" s="1" t="s">
        <v>2230</v>
      </c>
      <c r="BF233" s="2" t="str">
        <f>HYPERLINK("http://dx.doi.org/10.1007/s11483-011-9209-0","http://dx.doi.org/10.1007/s11483-011-9209-0")</f>
        <v>http://dx.doi.org/10.1007/s11483-011-9209-0</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2231</v>
      </c>
      <c r="BT233" s="1" t="str">
        <f>HYPERLINK("https%3A%2F%2Fwww.webofscience.com%2Fwos%2Fwoscc%2Ffull-record%2FWOS:000292979300002","View Full Record in Web of Science")</f>
        <v>View Full Record in Web of Science</v>
      </c>
    </row>
    <row r="234" ht="12.75" customHeight="1">
      <c r="A234" s="1" t="s">
        <v>72</v>
      </c>
      <c r="B234" s="1" t="s">
        <v>2232</v>
      </c>
      <c r="C234" s="1" t="s">
        <v>74</v>
      </c>
      <c r="D234" s="1" t="s">
        <v>74</v>
      </c>
      <c r="E234" s="1" t="s">
        <v>74</v>
      </c>
      <c r="F234" s="1" t="s">
        <v>2233</v>
      </c>
      <c r="G234" s="1" t="s">
        <v>74</v>
      </c>
      <c r="H234" s="1" t="s">
        <v>74</v>
      </c>
      <c r="I234" s="1" t="s">
        <v>2234</v>
      </c>
      <c r="J234" s="1" t="s">
        <v>2235</v>
      </c>
      <c r="K234" s="1" t="s">
        <v>74</v>
      </c>
      <c r="L234" s="1" t="s">
        <v>74</v>
      </c>
      <c r="M234" s="1" t="s">
        <v>74</v>
      </c>
      <c r="N234" s="1" t="s">
        <v>74</v>
      </c>
      <c r="O234" s="1" t="s">
        <v>74</v>
      </c>
      <c r="P234" s="1" t="s">
        <v>74</v>
      </c>
      <c r="Q234" s="1" t="s">
        <v>74</v>
      </c>
      <c r="R234" s="1" t="s">
        <v>74</v>
      </c>
      <c r="S234" s="1" t="s">
        <v>74</v>
      </c>
      <c r="T234" s="1" t="s">
        <v>74</v>
      </c>
      <c r="U234" s="1" t="s">
        <v>74</v>
      </c>
      <c r="V234" s="1" t="s">
        <v>2236</v>
      </c>
      <c r="W234" s="1" t="s">
        <v>74</v>
      </c>
      <c r="X234" s="1" t="s">
        <v>74</v>
      </c>
      <c r="Y234" s="1" t="s">
        <v>74</v>
      </c>
      <c r="Z234" s="1" t="s">
        <v>74</v>
      </c>
      <c r="AA234" s="1" t="s">
        <v>970</v>
      </c>
      <c r="AB234" s="1" t="s">
        <v>2237</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2238</v>
      </c>
      <c r="AP234" s="1" t="s">
        <v>74</v>
      </c>
      <c r="AQ234" s="1" t="s">
        <v>74</v>
      </c>
      <c r="AR234" s="1" t="s">
        <v>74</v>
      </c>
      <c r="AS234" s="1" t="s">
        <v>74</v>
      </c>
      <c r="AT234" s="1" t="s">
        <v>2239</v>
      </c>
      <c r="AU234" s="1">
        <v>2011.0</v>
      </c>
      <c r="AV234" s="1">
        <v>8.0</v>
      </c>
      <c r="AW234" s="1" t="s">
        <v>74</v>
      </c>
      <c r="AX234" s="1" t="s">
        <v>74</v>
      </c>
      <c r="AY234" s="1" t="s">
        <v>74</v>
      </c>
      <c r="AZ234" s="1" t="s">
        <v>74</v>
      </c>
      <c r="BA234" s="1" t="s">
        <v>74</v>
      </c>
      <c r="BB234" s="1" t="s">
        <v>74</v>
      </c>
      <c r="BC234" s="1" t="s">
        <v>74</v>
      </c>
      <c r="BD234" s="1">
        <v>38.0</v>
      </c>
      <c r="BE234" s="1" t="s">
        <v>2240</v>
      </c>
      <c r="BF234" s="2" t="str">
        <f>HYPERLINK("http://dx.doi.org/10.1186/1743-422X-8-38","http://dx.doi.org/10.1186/1743-422X-8-38")</f>
        <v>http://dx.doi.org/10.1186/1743-422X-8-38</v>
      </c>
      <c r="BG234" s="1" t="s">
        <v>74</v>
      </c>
      <c r="BH234" s="1" t="s">
        <v>74</v>
      </c>
      <c r="BI234" s="1" t="s">
        <v>74</v>
      </c>
      <c r="BJ234" s="1" t="s">
        <v>74</v>
      </c>
      <c r="BK234" s="1" t="s">
        <v>74</v>
      </c>
      <c r="BL234" s="1" t="s">
        <v>74</v>
      </c>
      <c r="BM234" s="1" t="s">
        <v>74</v>
      </c>
      <c r="BN234" s="1">
        <v>2.1262001E7</v>
      </c>
      <c r="BO234" s="1" t="s">
        <v>74</v>
      </c>
      <c r="BP234" s="1" t="s">
        <v>74</v>
      </c>
      <c r="BQ234" s="1" t="s">
        <v>74</v>
      </c>
      <c r="BR234" s="1" t="s">
        <v>74</v>
      </c>
      <c r="BS234" s="1" t="s">
        <v>2241</v>
      </c>
      <c r="BT234" s="1" t="str">
        <f>HYPERLINK("https%3A%2F%2Fwww.webofscience.com%2Fwos%2Fwoscc%2Ffull-record%2FWOS:000287308100001","View Full Record in Web of Science")</f>
        <v>View Full Record in Web of Science</v>
      </c>
    </row>
    <row r="235" ht="12.75" customHeight="1">
      <c r="A235" s="1" t="s">
        <v>72</v>
      </c>
      <c r="B235" s="1" t="s">
        <v>2242</v>
      </c>
      <c r="C235" s="1" t="s">
        <v>74</v>
      </c>
      <c r="D235" s="1" t="s">
        <v>74</v>
      </c>
      <c r="E235" s="1" t="s">
        <v>74</v>
      </c>
      <c r="F235" s="1" t="s">
        <v>2243</v>
      </c>
      <c r="G235" s="1" t="s">
        <v>74</v>
      </c>
      <c r="H235" s="1" t="s">
        <v>74</v>
      </c>
      <c r="I235" s="1" t="s">
        <v>2244</v>
      </c>
      <c r="J235" s="1" t="s">
        <v>2245</v>
      </c>
      <c r="K235" s="1" t="s">
        <v>74</v>
      </c>
      <c r="L235" s="1" t="s">
        <v>74</v>
      </c>
      <c r="M235" s="1" t="s">
        <v>74</v>
      </c>
      <c r="N235" s="1" t="s">
        <v>74</v>
      </c>
      <c r="O235" s="1" t="s">
        <v>74</v>
      </c>
      <c r="P235" s="1" t="s">
        <v>74</v>
      </c>
      <c r="Q235" s="1" t="s">
        <v>74</v>
      </c>
      <c r="R235" s="1" t="s">
        <v>74</v>
      </c>
      <c r="S235" s="1" t="s">
        <v>74</v>
      </c>
      <c r="T235" s="1" t="s">
        <v>74</v>
      </c>
      <c r="U235" s="1" t="s">
        <v>74</v>
      </c>
      <c r="V235" s="1" t="s">
        <v>2246</v>
      </c>
      <c r="W235" s="1" t="s">
        <v>74</v>
      </c>
      <c r="X235" s="1" t="s">
        <v>74</v>
      </c>
      <c r="Y235" s="1" t="s">
        <v>74</v>
      </c>
      <c r="Z235" s="1" t="s">
        <v>74</v>
      </c>
      <c r="AA235" s="1" t="s">
        <v>74</v>
      </c>
      <c r="AB235" s="1" t="s">
        <v>2247</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2248</v>
      </c>
      <c r="AP235" s="1" t="s">
        <v>74</v>
      </c>
      <c r="AQ235" s="1" t="s">
        <v>74</v>
      </c>
      <c r="AR235" s="1" t="s">
        <v>74</v>
      </c>
      <c r="AS235" s="1" t="s">
        <v>74</v>
      </c>
      <c r="AT235" s="1" t="s">
        <v>2249</v>
      </c>
      <c r="AU235" s="1">
        <v>2010.0</v>
      </c>
      <c r="AV235" s="1">
        <v>195.0</v>
      </c>
      <c r="AW235" s="1">
        <v>24.0</v>
      </c>
      <c r="AX235" s="1" t="s">
        <v>74</v>
      </c>
      <c r="AY235" s="1" t="s">
        <v>74</v>
      </c>
      <c r="AZ235" s="1" t="s">
        <v>159</v>
      </c>
      <c r="BA235" s="1" t="s">
        <v>74</v>
      </c>
      <c r="BB235" s="1">
        <v>8236.0</v>
      </c>
      <c r="BC235" s="1">
        <v>8243.0</v>
      </c>
      <c r="BD235" s="1" t="s">
        <v>74</v>
      </c>
      <c r="BE235" s="1" t="s">
        <v>2250</v>
      </c>
      <c r="BF235" s="2" t="str">
        <f>HYPERLINK("http://dx.doi.org/10.1016/j.jpowsour.2009.12.060","http://dx.doi.org/10.1016/j.jpowsour.2009.12.060")</f>
        <v>http://dx.doi.org/10.1016/j.jpowsour.2009.12.060</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2251</v>
      </c>
      <c r="BT235" s="1" t="str">
        <f>HYPERLINK("https%3A%2F%2Fwww.webofscience.com%2Fwos%2Fwoscc%2Ffull-record%2FWOS:000282251900047","View Full Record in Web of Science")</f>
        <v>View Full Record in Web of Science</v>
      </c>
    </row>
    <row r="236" ht="12.75" customHeight="1">
      <c r="A236" s="1" t="s">
        <v>72</v>
      </c>
      <c r="B236" s="1" t="s">
        <v>2252</v>
      </c>
      <c r="C236" s="1" t="s">
        <v>74</v>
      </c>
      <c r="D236" s="1" t="s">
        <v>74</v>
      </c>
      <c r="E236" s="1" t="s">
        <v>74</v>
      </c>
      <c r="F236" s="1" t="s">
        <v>2253</v>
      </c>
      <c r="G236" s="1" t="s">
        <v>74</v>
      </c>
      <c r="H236" s="1" t="s">
        <v>74</v>
      </c>
      <c r="I236" s="1" t="s">
        <v>2254</v>
      </c>
      <c r="J236" s="1" t="s">
        <v>698</v>
      </c>
      <c r="K236" s="1" t="s">
        <v>74</v>
      </c>
      <c r="L236" s="1" t="s">
        <v>74</v>
      </c>
      <c r="M236" s="1" t="s">
        <v>74</v>
      </c>
      <c r="N236" s="1" t="s">
        <v>74</v>
      </c>
      <c r="O236" s="1" t="s">
        <v>74</v>
      </c>
      <c r="P236" s="1" t="s">
        <v>74</v>
      </c>
      <c r="Q236" s="1" t="s">
        <v>74</v>
      </c>
      <c r="R236" s="1" t="s">
        <v>74</v>
      </c>
      <c r="S236" s="1" t="s">
        <v>74</v>
      </c>
      <c r="T236" s="1" t="s">
        <v>74</v>
      </c>
      <c r="U236" s="1" t="s">
        <v>74</v>
      </c>
      <c r="V236" s="1" t="s">
        <v>2255</v>
      </c>
      <c r="W236" s="1" t="s">
        <v>74</v>
      </c>
      <c r="X236" s="1" t="s">
        <v>74</v>
      </c>
      <c r="Y236" s="1" t="s">
        <v>74</v>
      </c>
      <c r="Z236" s="1" t="s">
        <v>74</v>
      </c>
      <c r="AA236" s="1" t="s">
        <v>74</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2256</v>
      </c>
      <c r="AP236" s="1" t="s">
        <v>74</v>
      </c>
      <c r="AQ236" s="1" t="s">
        <v>74</v>
      </c>
      <c r="AR236" s="1" t="s">
        <v>74</v>
      </c>
      <c r="AS236" s="1" t="s">
        <v>74</v>
      </c>
      <c r="AT236" s="1" t="s">
        <v>82</v>
      </c>
      <c r="AU236" s="1">
        <v>2010.0</v>
      </c>
      <c r="AV236" s="1">
        <v>55.0</v>
      </c>
      <c r="AW236" s="1">
        <v>4.0</v>
      </c>
      <c r="AX236" s="1" t="s">
        <v>74</v>
      </c>
      <c r="AY236" s="1" t="s">
        <v>74</v>
      </c>
      <c r="AZ236" s="1" t="s">
        <v>74</v>
      </c>
      <c r="BA236" s="1" t="s">
        <v>74</v>
      </c>
      <c r="BB236" s="1">
        <v>458.0</v>
      </c>
      <c r="BC236" s="1">
        <v>460.0</v>
      </c>
      <c r="BD236" s="1" t="s">
        <v>74</v>
      </c>
      <c r="BE236" s="1" t="s">
        <v>2257</v>
      </c>
      <c r="BF236" s="2" t="str">
        <f>HYPERLINK("http://dx.doi.org/10.4067/S0717-97072010000400010","http://dx.doi.org/10.4067/S0717-97072010000400010")</f>
        <v>http://dx.doi.org/10.4067/S0717-97072010000400010</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2258</v>
      </c>
      <c r="BT236" s="1" t="str">
        <f>HYPERLINK("https%3A%2F%2Fwww.webofscience.com%2Fwos%2Fwoscc%2Ffull-record%2FWOS:000288584300013","View Full Record in Web of Science")</f>
        <v>View Full Record in Web of Science</v>
      </c>
    </row>
    <row r="237" ht="12.75" customHeight="1">
      <c r="A237" s="1" t="s">
        <v>126</v>
      </c>
      <c r="B237" s="1" t="s">
        <v>2259</v>
      </c>
      <c r="C237" s="1" t="s">
        <v>74</v>
      </c>
      <c r="D237" s="1" t="s">
        <v>74</v>
      </c>
      <c r="E237" s="1" t="s">
        <v>458</v>
      </c>
      <c r="F237" s="1" t="s">
        <v>2260</v>
      </c>
      <c r="G237" s="1" t="s">
        <v>74</v>
      </c>
      <c r="H237" s="1" t="s">
        <v>74</v>
      </c>
      <c r="I237" s="1" t="s">
        <v>2261</v>
      </c>
      <c r="J237" s="1" t="s">
        <v>2262</v>
      </c>
      <c r="K237" s="1" t="s">
        <v>74</v>
      </c>
      <c r="L237" s="1" t="s">
        <v>74</v>
      </c>
      <c r="M237" s="1" t="s">
        <v>74</v>
      </c>
      <c r="N237" s="1" t="s">
        <v>74</v>
      </c>
      <c r="O237" s="1" t="s">
        <v>1444</v>
      </c>
      <c r="P237" s="1" t="s">
        <v>2263</v>
      </c>
      <c r="Q237" s="1" t="s">
        <v>2264</v>
      </c>
      <c r="R237" s="1" t="s">
        <v>458</v>
      </c>
      <c r="S237" s="1" t="s">
        <v>74</v>
      </c>
      <c r="T237" s="1" t="s">
        <v>74</v>
      </c>
      <c r="U237" s="1" t="s">
        <v>74</v>
      </c>
      <c r="V237" s="1" t="s">
        <v>2265</v>
      </c>
      <c r="W237" s="1" t="s">
        <v>74</v>
      </c>
      <c r="X237" s="1" t="s">
        <v>74</v>
      </c>
      <c r="Y237" s="1" t="s">
        <v>74</v>
      </c>
      <c r="Z237" s="1" t="s">
        <v>74</v>
      </c>
      <c r="AA237" s="1" t="s">
        <v>74</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74</v>
      </c>
      <c r="AP237" s="1" t="s">
        <v>74</v>
      </c>
      <c r="AQ237" s="1" t="s">
        <v>2266</v>
      </c>
      <c r="AR237" s="1" t="s">
        <v>74</v>
      </c>
      <c r="AS237" s="1" t="s">
        <v>74</v>
      </c>
      <c r="AT237" s="1" t="s">
        <v>74</v>
      </c>
      <c r="AU237" s="1">
        <v>2010.0</v>
      </c>
      <c r="AV237" s="1" t="s">
        <v>74</v>
      </c>
      <c r="AW237" s="1" t="s">
        <v>74</v>
      </c>
      <c r="AX237" s="1" t="s">
        <v>74</v>
      </c>
      <c r="AY237" s="1" t="s">
        <v>74</v>
      </c>
      <c r="AZ237" s="1" t="s">
        <v>74</v>
      </c>
      <c r="BA237" s="1" t="s">
        <v>74</v>
      </c>
      <c r="BB237" s="1">
        <v>81.0</v>
      </c>
      <c r="BC237" s="1">
        <v>90.0</v>
      </c>
      <c r="BD237" s="1" t="s">
        <v>74</v>
      </c>
      <c r="BE237" s="1" t="s">
        <v>74</v>
      </c>
      <c r="BF237" s="1" t="s">
        <v>74</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2267</v>
      </c>
      <c r="BT237" s="1" t="str">
        <f>HYPERLINK("https%3A%2F%2Fwww.webofscience.com%2Fwos%2Fwoscc%2Ffull-record%2FWOS:000280196300011","View Full Record in Web of Science")</f>
        <v>View Full Record in Web of Science</v>
      </c>
    </row>
    <row r="238" ht="12.75" customHeight="1">
      <c r="A238" s="1" t="s">
        <v>72</v>
      </c>
      <c r="B238" s="1" t="s">
        <v>2268</v>
      </c>
      <c r="C238" s="1" t="s">
        <v>74</v>
      </c>
      <c r="D238" s="1" t="s">
        <v>74</v>
      </c>
      <c r="E238" s="1" t="s">
        <v>74</v>
      </c>
      <c r="F238" s="1" t="s">
        <v>2269</v>
      </c>
      <c r="G238" s="1" t="s">
        <v>74</v>
      </c>
      <c r="H238" s="1" t="s">
        <v>74</v>
      </c>
      <c r="I238" s="1" t="s">
        <v>2270</v>
      </c>
      <c r="J238" s="1" t="s">
        <v>698</v>
      </c>
      <c r="K238" s="1" t="s">
        <v>74</v>
      </c>
      <c r="L238" s="1" t="s">
        <v>74</v>
      </c>
      <c r="M238" s="1" t="s">
        <v>74</v>
      </c>
      <c r="N238" s="1" t="s">
        <v>74</v>
      </c>
      <c r="O238" s="1" t="s">
        <v>74</v>
      </c>
      <c r="P238" s="1" t="s">
        <v>74</v>
      </c>
      <c r="Q238" s="1" t="s">
        <v>74</v>
      </c>
      <c r="R238" s="1" t="s">
        <v>74</v>
      </c>
      <c r="S238" s="1" t="s">
        <v>74</v>
      </c>
      <c r="T238" s="1" t="s">
        <v>74</v>
      </c>
      <c r="U238" s="1" t="s">
        <v>74</v>
      </c>
      <c r="V238" s="1" t="s">
        <v>2271</v>
      </c>
      <c r="W238" s="1" t="s">
        <v>74</v>
      </c>
      <c r="X238" s="1" t="s">
        <v>74</v>
      </c>
      <c r="Y238" s="1" t="s">
        <v>74</v>
      </c>
      <c r="Z238" s="1" t="s">
        <v>74</v>
      </c>
      <c r="AA238" s="1" t="s">
        <v>2272</v>
      </c>
      <c r="AB238" s="1" t="s">
        <v>2273</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702</v>
      </c>
      <c r="AP238" s="1" t="s">
        <v>74</v>
      </c>
      <c r="AQ238" s="1" t="s">
        <v>74</v>
      </c>
      <c r="AR238" s="1" t="s">
        <v>74</v>
      </c>
      <c r="AS238" s="1" t="s">
        <v>74</v>
      </c>
      <c r="AT238" s="1" t="s">
        <v>171</v>
      </c>
      <c r="AU238" s="1">
        <v>2008.0</v>
      </c>
      <c r="AV238" s="1">
        <v>53.0</v>
      </c>
      <c r="AW238" s="1">
        <v>2.0</v>
      </c>
      <c r="AX238" s="1" t="s">
        <v>74</v>
      </c>
      <c r="AY238" s="1" t="s">
        <v>74</v>
      </c>
      <c r="AZ238" s="1" t="s">
        <v>74</v>
      </c>
      <c r="BA238" s="1" t="s">
        <v>74</v>
      </c>
      <c r="BB238" s="1">
        <v>1494.0</v>
      </c>
      <c r="BC238" s="1">
        <v>1497.0</v>
      </c>
      <c r="BD238" s="1" t="s">
        <v>74</v>
      </c>
      <c r="BE238" s="1" t="s">
        <v>74</v>
      </c>
      <c r="BF238" s="1" t="s">
        <v>74</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2274</v>
      </c>
      <c r="BT238" s="1" t="str">
        <f>HYPERLINK("https%3A%2F%2Fwww.webofscience.com%2Fwos%2Fwoscc%2Ffull-record%2FWOS:000256268500010","View Full Record in Web of Science")</f>
        <v>View Full Record in Web of Science</v>
      </c>
    </row>
    <row r="239" ht="12.75" customHeight="1">
      <c r="A239" s="1" t="s">
        <v>105</v>
      </c>
      <c r="B239" s="1" t="s">
        <v>2275</v>
      </c>
      <c r="C239" s="1" t="s">
        <v>2276</v>
      </c>
      <c r="D239" s="1" t="s">
        <v>74</v>
      </c>
      <c r="E239" s="1" t="s">
        <v>74</v>
      </c>
      <c r="F239" s="1" t="s">
        <v>2277</v>
      </c>
      <c r="G239" s="1" t="s">
        <v>2276</v>
      </c>
      <c r="H239" s="1" t="s">
        <v>74</v>
      </c>
      <c r="I239" s="1" t="s">
        <v>2278</v>
      </c>
      <c r="J239" s="1" t="s">
        <v>2279</v>
      </c>
      <c r="K239" s="1" t="s">
        <v>2280</v>
      </c>
      <c r="L239" s="1" t="s">
        <v>74</v>
      </c>
      <c r="M239" s="1" t="s">
        <v>74</v>
      </c>
      <c r="N239" s="1" t="s">
        <v>74</v>
      </c>
      <c r="O239" s="1" t="s">
        <v>74</v>
      </c>
      <c r="P239" s="1" t="s">
        <v>74</v>
      </c>
      <c r="Q239" s="1" t="s">
        <v>74</v>
      </c>
      <c r="R239" s="1" t="s">
        <v>74</v>
      </c>
      <c r="S239" s="1" t="s">
        <v>74</v>
      </c>
      <c r="T239" s="1" t="s">
        <v>74</v>
      </c>
      <c r="U239" s="1" t="s">
        <v>74</v>
      </c>
      <c r="V239" s="1" t="s">
        <v>74</v>
      </c>
      <c r="W239" s="1" t="s">
        <v>74</v>
      </c>
      <c r="X239" s="1" t="s">
        <v>74</v>
      </c>
      <c r="Y239" s="1" t="s">
        <v>74</v>
      </c>
      <c r="Z239" s="1" t="s">
        <v>74</v>
      </c>
      <c r="AA239" s="1" t="s">
        <v>2281</v>
      </c>
      <c r="AB239" s="1" t="s">
        <v>74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74</v>
      </c>
      <c r="AP239" s="1" t="s">
        <v>74</v>
      </c>
      <c r="AQ239" s="1" t="s">
        <v>2282</v>
      </c>
      <c r="AR239" s="1" t="s">
        <v>74</v>
      </c>
      <c r="AS239" s="1" t="s">
        <v>74</v>
      </c>
      <c r="AT239" s="1" t="s">
        <v>74</v>
      </c>
      <c r="AU239" s="1">
        <v>2008.0</v>
      </c>
      <c r="AV239" s="1" t="s">
        <v>74</v>
      </c>
      <c r="AW239" s="1" t="s">
        <v>74</v>
      </c>
      <c r="AX239" s="1" t="s">
        <v>74</v>
      </c>
      <c r="AY239" s="1" t="s">
        <v>74</v>
      </c>
      <c r="AZ239" s="1" t="s">
        <v>74</v>
      </c>
      <c r="BA239" s="1" t="s">
        <v>74</v>
      </c>
      <c r="BB239" s="1">
        <v>84.0</v>
      </c>
      <c r="BC239" s="1">
        <v>102.0</v>
      </c>
      <c r="BD239" s="1" t="s">
        <v>74</v>
      </c>
      <c r="BE239" s="1" t="s">
        <v>74</v>
      </c>
      <c r="BF239" s="1" t="s">
        <v>74</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2283</v>
      </c>
      <c r="BT239" s="1" t="str">
        <f>HYPERLINK("https%3A%2F%2Fwww.webofscience.com%2Fwos%2Fwoscc%2Ffull-record%2FWOS:000272735900006","View Full Record in Web of Science")</f>
        <v>View Full Record in Web of Science</v>
      </c>
    </row>
    <row r="240" ht="12.75" customHeight="1">
      <c r="A240" s="1" t="s">
        <v>72</v>
      </c>
      <c r="B240" s="1" t="s">
        <v>2284</v>
      </c>
      <c r="C240" s="1" t="s">
        <v>74</v>
      </c>
      <c r="D240" s="1" t="s">
        <v>74</v>
      </c>
      <c r="E240" s="1" t="s">
        <v>74</v>
      </c>
      <c r="F240" s="1" t="s">
        <v>2285</v>
      </c>
      <c r="G240" s="1" t="s">
        <v>74</v>
      </c>
      <c r="H240" s="1" t="s">
        <v>74</v>
      </c>
      <c r="I240" s="1" t="s">
        <v>2286</v>
      </c>
      <c r="J240" s="1" t="s">
        <v>2287</v>
      </c>
      <c r="K240" s="1" t="s">
        <v>74</v>
      </c>
      <c r="L240" s="1" t="s">
        <v>74</v>
      </c>
      <c r="M240" s="1" t="s">
        <v>74</v>
      </c>
      <c r="N240" s="1" t="s">
        <v>74</v>
      </c>
      <c r="O240" s="1" t="s">
        <v>74</v>
      </c>
      <c r="P240" s="1" t="s">
        <v>74</v>
      </c>
      <c r="Q240" s="1" t="s">
        <v>74</v>
      </c>
      <c r="R240" s="1" t="s">
        <v>74</v>
      </c>
      <c r="S240" s="1" t="s">
        <v>74</v>
      </c>
      <c r="T240" s="1" t="s">
        <v>74</v>
      </c>
      <c r="U240" s="1" t="s">
        <v>74</v>
      </c>
      <c r="V240" s="1" t="s">
        <v>2288</v>
      </c>
      <c r="W240" s="1" t="s">
        <v>74</v>
      </c>
      <c r="X240" s="1" t="s">
        <v>74</v>
      </c>
      <c r="Y240" s="1" t="s">
        <v>74</v>
      </c>
      <c r="Z240" s="1" t="s">
        <v>74</v>
      </c>
      <c r="AA240" s="1" t="s">
        <v>2289</v>
      </c>
      <c r="AB240" s="1" t="s">
        <v>2290</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2291</v>
      </c>
      <c r="AP240" s="1" t="s">
        <v>2292</v>
      </c>
      <c r="AQ240" s="1" t="s">
        <v>74</v>
      </c>
      <c r="AR240" s="1" t="s">
        <v>74</v>
      </c>
      <c r="AS240" s="1" t="s">
        <v>74</v>
      </c>
      <c r="AT240" s="1" t="s">
        <v>920</v>
      </c>
      <c r="AU240" s="1">
        <v>2007.0</v>
      </c>
      <c r="AV240" s="1">
        <v>30.0</v>
      </c>
      <c r="AW240" s="1">
        <v>1.0</v>
      </c>
      <c r="AX240" s="1" t="s">
        <v>74</v>
      </c>
      <c r="AY240" s="1" t="s">
        <v>74</v>
      </c>
      <c r="AZ240" s="1" t="s">
        <v>74</v>
      </c>
      <c r="BA240" s="1" t="s">
        <v>74</v>
      </c>
      <c r="BB240" s="1">
        <v>229.0</v>
      </c>
      <c r="BC240" s="1">
        <v>231.0</v>
      </c>
      <c r="BD240" s="1" t="s">
        <v>74</v>
      </c>
      <c r="BE240" s="1" t="s">
        <v>2293</v>
      </c>
      <c r="BF240" s="2" t="str">
        <f>HYPERLINK("http://dx.doi.org/10.1590/S0100-40422007000100037","http://dx.doi.org/10.1590/S0100-40422007000100037")</f>
        <v>http://dx.doi.org/10.1590/S0100-40422007000100037</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2294</v>
      </c>
      <c r="BT240" s="1" t="str">
        <f>HYPERLINK("https%3A%2F%2Fwww.webofscience.com%2Fwos%2Fwoscc%2Ffull-record%2FWOS:000243879900037","View Full Record in Web of Science")</f>
        <v>View Full Record in Web of Science</v>
      </c>
    </row>
    <row r="241" ht="12.75" customHeight="1">
      <c r="A241" s="1" t="s">
        <v>638</v>
      </c>
      <c r="B241" s="1" t="s">
        <v>2295</v>
      </c>
      <c r="C241" s="1" t="s">
        <v>74</v>
      </c>
      <c r="D241" s="1" t="s">
        <v>2296</v>
      </c>
      <c r="E241" s="1" t="s">
        <v>74</v>
      </c>
      <c r="F241" s="1" t="s">
        <v>2297</v>
      </c>
      <c r="G241" s="1" t="s">
        <v>74</v>
      </c>
      <c r="H241" s="1" t="s">
        <v>74</v>
      </c>
      <c r="I241" s="1" t="s">
        <v>2298</v>
      </c>
      <c r="J241" s="1" t="s">
        <v>2299</v>
      </c>
      <c r="K241" s="1" t="s">
        <v>2300</v>
      </c>
      <c r="L241" s="1" t="s">
        <v>74</v>
      </c>
      <c r="M241" s="1" t="s">
        <v>74</v>
      </c>
      <c r="N241" s="1" t="s">
        <v>74</v>
      </c>
      <c r="O241" s="1" t="s">
        <v>2301</v>
      </c>
      <c r="P241" s="1" t="s">
        <v>2302</v>
      </c>
      <c r="Q241" s="1" t="s">
        <v>2303</v>
      </c>
      <c r="R241" s="1" t="s">
        <v>2304</v>
      </c>
      <c r="S241" s="1" t="s">
        <v>74</v>
      </c>
      <c r="T241" s="1" t="s">
        <v>74</v>
      </c>
      <c r="U241" s="1" t="s">
        <v>74</v>
      </c>
      <c r="V241" s="1" t="s">
        <v>2305</v>
      </c>
      <c r="W241" s="1" t="s">
        <v>74</v>
      </c>
      <c r="X241" s="1" t="s">
        <v>74</v>
      </c>
      <c r="Y241" s="1" t="s">
        <v>74</v>
      </c>
      <c r="Z241" s="1" t="s">
        <v>74</v>
      </c>
      <c r="AA241" s="1" t="s">
        <v>74</v>
      </c>
      <c r="AB241" s="1" t="s">
        <v>2306</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506</v>
      </c>
      <c r="AP241" s="1" t="s">
        <v>74</v>
      </c>
      <c r="AQ241" s="1" t="s">
        <v>2307</v>
      </c>
      <c r="AR241" s="1" t="s">
        <v>74</v>
      </c>
      <c r="AS241" s="1" t="s">
        <v>74</v>
      </c>
      <c r="AT241" s="1" t="s">
        <v>74</v>
      </c>
      <c r="AU241" s="1">
        <v>2006.0</v>
      </c>
      <c r="AV241" s="1">
        <v>3972.0</v>
      </c>
      <c r="AW241" s="1" t="s">
        <v>74</v>
      </c>
      <c r="AX241" s="1" t="s">
        <v>74</v>
      </c>
      <c r="AY241" s="1" t="s">
        <v>74</v>
      </c>
      <c r="AZ241" s="1" t="s">
        <v>74</v>
      </c>
      <c r="BA241" s="1" t="s">
        <v>74</v>
      </c>
      <c r="BB241" s="1">
        <v>808.0</v>
      </c>
      <c r="BC241" s="1">
        <v>814.0</v>
      </c>
      <c r="BD241" s="1" t="s">
        <v>74</v>
      </c>
      <c r="BE241" s="1" t="s">
        <v>74</v>
      </c>
      <c r="BF241" s="1" t="s">
        <v>74</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2308</v>
      </c>
      <c r="BT241" s="1" t="str">
        <f>HYPERLINK("https%3A%2F%2Fwww.webofscience.com%2Fwos%2Fwoscc%2Ffull-record%2FWOS:000239483000120","View Full Record in Web of Science")</f>
        <v>View Full Record in Web of Science</v>
      </c>
    </row>
    <row r="242" ht="12.75" customHeight="1">
      <c r="A242" s="1" t="s">
        <v>72</v>
      </c>
      <c r="B242" s="1" t="s">
        <v>2309</v>
      </c>
      <c r="C242" s="1" t="s">
        <v>74</v>
      </c>
      <c r="D242" s="1" t="s">
        <v>74</v>
      </c>
      <c r="E242" s="1" t="s">
        <v>74</v>
      </c>
      <c r="F242" s="1" t="s">
        <v>2309</v>
      </c>
      <c r="G242" s="1" t="s">
        <v>74</v>
      </c>
      <c r="H242" s="1" t="s">
        <v>74</v>
      </c>
      <c r="I242" s="1" t="s">
        <v>2310</v>
      </c>
      <c r="J242" s="1" t="s">
        <v>2311</v>
      </c>
      <c r="K242" s="1" t="s">
        <v>74</v>
      </c>
      <c r="L242" s="1" t="s">
        <v>74</v>
      </c>
      <c r="M242" s="1" t="s">
        <v>74</v>
      </c>
      <c r="N242" s="1" t="s">
        <v>74</v>
      </c>
      <c r="O242" s="1" t="s">
        <v>2312</v>
      </c>
      <c r="P242" s="1" t="s">
        <v>2313</v>
      </c>
      <c r="Q242" s="1" t="s">
        <v>2123</v>
      </c>
      <c r="R242" s="1" t="s">
        <v>2314</v>
      </c>
      <c r="S242" s="1" t="s">
        <v>74</v>
      </c>
      <c r="T242" s="1" t="s">
        <v>74</v>
      </c>
      <c r="U242" s="1" t="s">
        <v>74</v>
      </c>
      <c r="V242" s="1" t="s">
        <v>74</v>
      </c>
      <c r="W242" s="1" t="s">
        <v>74</v>
      </c>
      <c r="X242" s="1" t="s">
        <v>74</v>
      </c>
      <c r="Y242" s="1" t="s">
        <v>74</v>
      </c>
      <c r="Z242" s="1" t="s">
        <v>74</v>
      </c>
      <c r="AA242" s="1" t="s">
        <v>74</v>
      </c>
      <c r="AB242" s="1" t="s">
        <v>74</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2315</v>
      </c>
      <c r="AP242" s="1" t="s">
        <v>74</v>
      </c>
      <c r="AQ242" s="1" t="s">
        <v>74</v>
      </c>
      <c r="AR242" s="1" t="s">
        <v>74</v>
      </c>
      <c r="AS242" s="1" t="s">
        <v>74</v>
      </c>
      <c r="AT242" s="1" t="s">
        <v>123</v>
      </c>
      <c r="AU242" s="1">
        <v>2006.0</v>
      </c>
      <c r="AV242" s="1">
        <v>27.0</v>
      </c>
      <c r="AW242" s="1">
        <v>1.0</v>
      </c>
      <c r="AX242" s="1" t="s">
        <v>74</v>
      </c>
      <c r="AY242" s="1" t="s">
        <v>74</v>
      </c>
      <c r="AZ242" s="1" t="s">
        <v>74</v>
      </c>
      <c r="BA242" s="1" t="s">
        <v>74</v>
      </c>
      <c r="BB242" s="1" t="s">
        <v>2316</v>
      </c>
      <c r="BC242" s="1" t="s">
        <v>2316</v>
      </c>
      <c r="BD242" s="1" t="s">
        <v>74</v>
      </c>
      <c r="BE242" s="1" t="s">
        <v>74</v>
      </c>
      <c r="BF242" s="1" t="s">
        <v>74</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2317</v>
      </c>
      <c r="BT242" s="1" t="str">
        <f>HYPERLINK("https%3A%2F%2Fwww.webofscience.com%2Fwos%2Fwoscc%2Ffull-record%2FWOS:000233996200131","View Full Record in Web of Science")</f>
        <v>View Full Record in Web of Science</v>
      </c>
    </row>
    <row r="243" ht="12.75" customHeight="1">
      <c r="A243" s="1" t="s">
        <v>72</v>
      </c>
      <c r="B243" s="1" t="s">
        <v>2318</v>
      </c>
      <c r="C243" s="1" t="s">
        <v>74</v>
      </c>
      <c r="D243" s="1" t="s">
        <v>74</v>
      </c>
      <c r="E243" s="1" t="s">
        <v>74</v>
      </c>
      <c r="F243" s="1" t="s">
        <v>2318</v>
      </c>
      <c r="G243" s="1" t="s">
        <v>74</v>
      </c>
      <c r="H243" s="1" t="s">
        <v>74</v>
      </c>
      <c r="I243" s="1" t="s">
        <v>2319</v>
      </c>
      <c r="J243" s="1" t="s">
        <v>574</v>
      </c>
      <c r="K243" s="1" t="s">
        <v>74</v>
      </c>
      <c r="L243" s="1" t="s">
        <v>74</v>
      </c>
      <c r="M243" s="1" t="s">
        <v>74</v>
      </c>
      <c r="N243" s="1" t="s">
        <v>74</v>
      </c>
      <c r="O243" s="1" t="s">
        <v>74</v>
      </c>
      <c r="P243" s="1" t="s">
        <v>74</v>
      </c>
      <c r="Q243" s="1" t="s">
        <v>74</v>
      </c>
      <c r="R243" s="1" t="s">
        <v>74</v>
      </c>
      <c r="S243" s="1" t="s">
        <v>74</v>
      </c>
      <c r="T243" s="1" t="s">
        <v>74</v>
      </c>
      <c r="U243" s="1" t="s">
        <v>74</v>
      </c>
      <c r="V243" s="1" t="s">
        <v>2320</v>
      </c>
      <c r="W243" s="1" t="s">
        <v>74</v>
      </c>
      <c r="X243" s="1" t="s">
        <v>74</v>
      </c>
      <c r="Y243" s="1" t="s">
        <v>74</v>
      </c>
      <c r="Z243" s="1" t="s">
        <v>74</v>
      </c>
      <c r="AA243" s="1" t="s">
        <v>2321</v>
      </c>
      <c r="AB243" s="1" t="s">
        <v>2322</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578</v>
      </c>
      <c r="AP243" s="1" t="s">
        <v>579</v>
      </c>
      <c r="AQ243" s="1" t="s">
        <v>74</v>
      </c>
      <c r="AR243" s="1" t="s">
        <v>74</v>
      </c>
      <c r="AS243" s="1" t="s">
        <v>74</v>
      </c>
      <c r="AT243" s="1" t="s">
        <v>256</v>
      </c>
      <c r="AU243" s="1">
        <v>2005.0</v>
      </c>
      <c r="AV243" s="1">
        <v>71.0</v>
      </c>
      <c r="AW243" s="1">
        <v>6.0</v>
      </c>
      <c r="AX243" s="1" t="s">
        <v>74</v>
      </c>
      <c r="AY243" s="1" t="s">
        <v>74</v>
      </c>
      <c r="AZ243" s="1" t="s">
        <v>74</v>
      </c>
      <c r="BA243" s="1" t="s">
        <v>74</v>
      </c>
      <c r="BB243" s="1" t="s">
        <v>74</v>
      </c>
      <c r="BC243" s="1" t="s">
        <v>74</v>
      </c>
      <c r="BD243" s="1">
        <v>67702.0</v>
      </c>
      <c r="BE243" s="1" t="s">
        <v>2323</v>
      </c>
      <c r="BF243" s="2" t="str">
        <f>HYPERLINK("http://dx.doi.org/10.1103/PhysRevD.71.067702","http://dx.doi.org/10.1103/PhysRevD.71.067702")</f>
        <v>http://dx.doi.org/10.1103/PhysRevD.71.067702</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2324</v>
      </c>
      <c r="BT243" s="1" t="str">
        <f>HYPERLINK("https%3A%2F%2Fwww.webofscience.com%2Fwos%2Fwoscc%2Ffull-record%2FWOS:000228490100106","View Full Record in Web of Science")</f>
        <v>View Full Record in Web of Science</v>
      </c>
    </row>
    <row r="244" ht="12.75" customHeight="1">
      <c r="A244" s="1" t="s">
        <v>72</v>
      </c>
      <c r="B244" s="1" t="s">
        <v>2325</v>
      </c>
      <c r="C244" s="1" t="s">
        <v>74</v>
      </c>
      <c r="D244" s="1" t="s">
        <v>74</v>
      </c>
      <c r="E244" s="1" t="s">
        <v>74</v>
      </c>
      <c r="F244" s="1" t="s">
        <v>2325</v>
      </c>
      <c r="G244" s="1" t="s">
        <v>74</v>
      </c>
      <c r="H244" s="1" t="s">
        <v>74</v>
      </c>
      <c r="I244" s="1" t="s">
        <v>2326</v>
      </c>
      <c r="J244" s="1" t="s">
        <v>2104</v>
      </c>
      <c r="K244" s="1" t="s">
        <v>74</v>
      </c>
      <c r="L244" s="1" t="s">
        <v>74</v>
      </c>
      <c r="M244" s="1" t="s">
        <v>74</v>
      </c>
      <c r="N244" s="1" t="s">
        <v>74</v>
      </c>
      <c r="O244" s="1" t="s">
        <v>74</v>
      </c>
      <c r="P244" s="1" t="s">
        <v>74</v>
      </c>
      <c r="Q244" s="1" t="s">
        <v>74</v>
      </c>
      <c r="R244" s="1" t="s">
        <v>74</v>
      </c>
      <c r="S244" s="1" t="s">
        <v>74</v>
      </c>
      <c r="T244" s="1" t="s">
        <v>74</v>
      </c>
      <c r="U244" s="1" t="s">
        <v>74</v>
      </c>
      <c r="V244" s="1" t="s">
        <v>2327</v>
      </c>
      <c r="W244" s="1" t="s">
        <v>74</v>
      </c>
      <c r="X244" s="1" t="s">
        <v>74</v>
      </c>
      <c r="Y244" s="1" t="s">
        <v>74</v>
      </c>
      <c r="Z244" s="1" t="s">
        <v>74</v>
      </c>
      <c r="AA244" s="1" t="s">
        <v>74</v>
      </c>
      <c r="AB244" s="1" t="s">
        <v>74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2107</v>
      </c>
      <c r="AP244" s="1" t="s">
        <v>2108</v>
      </c>
      <c r="AQ244" s="1" t="s">
        <v>74</v>
      </c>
      <c r="AR244" s="1" t="s">
        <v>74</v>
      </c>
      <c r="AS244" s="1" t="s">
        <v>74</v>
      </c>
      <c r="AT244" s="1" t="s">
        <v>158</v>
      </c>
      <c r="AU244" s="1">
        <v>2004.0</v>
      </c>
      <c r="AV244" s="1">
        <v>51.0</v>
      </c>
      <c r="AW244" s="1">
        <v>3.0</v>
      </c>
      <c r="AX244" s="1" t="s">
        <v>74</v>
      </c>
      <c r="AY244" s="1" t="s">
        <v>74</v>
      </c>
      <c r="AZ244" s="1" t="s">
        <v>74</v>
      </c>
      <c r="BA244" s="1" t="s">
        <v>74</v>
      </c>
      <c r="BB244" s="1">
        <v>381.0</v>
      </c>
      <c r="BC244" s="1">
        <v>401.0</v>
      </c>
      <c r="BD244" s="1" t="s">
        <v>74</v>
      </c>
      <c r="BE244" s="1" t="s">
        <v>2328</v>
      </c>
      <c r="BF244" s="2" t="str">
        <f>HYPERLINK("http://dx.doi.org/10.1177/0037768604045637","http://dx.doi.org/10.1177/0037768604045637")</f>
        <v>http://dx.doi.org/10.1177/0037768604045637</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2329</v>
      </c>
      <c r="BT244" s="1" t="str">
        <f>HYPERLINK("https%3A%2F%2Fwww.webofscience.com%2Fwos%2Fwoscc%2Ffull-record%2FWOS:000223968900007","View Full Record in Web of Science")</f>
        <v>View Full Record in Web of Science</v>
      </c>
    </row>
    <row r="245" ht="12.75" customHeight="1">
      <c r="A245" s="1" t="s">
        <v>72</v>
      </c>
      <c r="B245" s="1" t="s">
        <v>2330</v>
      </c>
      <c r="C245" s="1" t="s">
        <v>74</v>
      </c>
      <c r="D245" s="1" t="s">
        <v>74</v>
      </c>
      <c r="E245" s="1" t="s">
        <v>74</v>
      </c>
      <c r="F245" s="1" t="s">
        <v>2330</v>
      </c>
      <c r="G245" s="1" t="s">
        <v>74</v>
      </c>
      <c r="H245" s="1" t="s">
        <v>74</v>
      </c>
      <c r="I245" s="1" t="s">
        <v>2331</v>
      </c>
      <c r="J245" s="1" t="s">
        <v>2332</v>
      </c>
      <c r="K245" s="1" t="s">
        <v>74</v>
      </c>
      <c r="L245" s="1" t="s">
        <v>74</v>
      </c>
      <c r="M245" s="1" t="s">
        <v>74</v>
      </c>
      <c r="N245" s="1" t="s">
        <v>74</v>
      </c>
      <c r="O245" s="1" t="s">
        <v>74</v>
      </c>
      <c r="P245" s="1" t="s">
        <v>74</v>
      </c>
      <c r="Q245" s="1" t="s">
        <v>74</v>
      </c>
      <c r="R245" s="1" t="s">
        <v>74</v>
      </c>
      <c r="S245" s="1" t="s">
        <v>74</v>
      </c>
      <c r="T245" s="1" t="s">
        <v>74</v>
      </c>
      <c r="U245" s="1" t="s">
        <v>74</v>
      </c>
      <c r="V245" s="1" t="s">
        <v>2333</v>
      </c>
      <c r="W245" s="1" t="s">
        <v>74</v>
      </c>
      <c r="X245" s="1" t="s">
        <v>74</v>
      </c>
      <c r="Y245" s="1" t="s">
        <v>74</v>
      </c>
      <c r="Z245" s="1" t="s">
        <v>74</v>
      </c>
      <c r="AA245" s="1" t="s">
        <v>74</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2334</v>
      </c>
      <c r="AP245" s="1" t="s">
        <v>74</v>
      </c>
      <c r="AQ245" s="1" t="s">
        <v>74</v>
      </c>
      <c r="AR245" s="1" t="s">
        <v>74</v>
      </c>
      <c r="AS245" s="1" t="s">
        <v>74</v>
      </c>
      <c r="AT245" s="1" t="s">
        <v>2335</v>
      </c>
      <c r="AU245" s="1">
        <v>2004.0</v>
      </c>
      <c r="AV245" s="1">
        <v>17.0</v>
      </c>
      <c r="AW245" s="1">
        <v>4.0</v>
      </c>
      <c r="AX245" s="1" t="s">
        <v>74</v>
      </c>
      <c r="AY245" s="1" t="s">
        <v>74</v>
      </c>
      <c r="AZ245" s="1" t="s">
        <v>74</v>
      </c>
      <c r="BA245" s="1" t="s">
        <v>74</v>
      </c>
      <c r="BB245" s="1">
        <v>219.0</v>
      </c>
      <c r="BC245" s="1">
        <v>223.0</v>
      </c>
      <c r="BD245" s="1" t="s">
        <v>74</v>
      </c>
      <c r="BE245" s="1" t="s">
        <v>2336</v>
      </c>
      <c r="BF245" s="2" t="str">
        <f>HYPERLINK("http://dx.doi.org/10.1002/pts.660","http://dx.doi.org/10.1002/pts.660")</f>
        <v>http://dx.doi.org/10.1002/pts.660</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2337</v>
      </c>
      <c r="BT245" s="1" t="str">
        <f>HYPERLINK("https%3A%2F%2Fwww.webofscience.com%2Fwos%2Fwoscc%2Ffull-record%2FWOS:000223429300006","View Full Record in Web of Science")</f>
        <v>View Full Record in Web of Science</v>
      </c>
    </row>
    <row r="246" ht="12.75" customHeight="1">
      <c r="A246" s="1" t="s">
        <v>72</v>
      </c>
      <c r="B246" s="1" t="s">
        <v>2338</v>
      </c>
      <c r="C246" s="1" t="s">
        <v>74</v>
      </c>
      <c r="D246" s="1" t="s">
        <v>74</v>
      </c>
      <c r="E246" s="1" t="s">
        <v>74</v>
      </c>
      <c r="F246" s="1" t="s">
        <v>2338</v>
      </c>
      <c r="G246" s="1" t="s">
        <v>74</v>
      </c>
      <c r="H246" s="1" t="s">
        <v>74</v>
      </c>
      <c r="I246" s="1" t="s">
        <v>2339</v>
      </c>
      <c r="J246" s="1" t="s">
        <v>698</v>
      </c>
      <c r="K246" s="1" t="s">
        <v>74</v>
      </c>
      <c r="L246" s="1" t="s">
        <v>74</v>
      </c>
      <c r="M246" s="1" t="s">
        <v>74</v>
      </c>
      <c r="N246" s="1" t="s">
        <v>74</v>
      </c>
      <c r="O246" s="1" t="s">
        <v>74</v>
      </c>
      <c r="P246" s="1" t="s">
        <v>74</v>
      </c>
      <c r="Q246" s="1" t="s">
        <v>74</v>
      </c>
      <c r="R246" s="1" t="s">
        <v>74</v>
      </c>
      <c r="S246" s="1" t="s">
        <v>74</v>
      </c>
      <c r="T246" s="1" t="s">
        <v>74</v>
      </c>
      <c r="U246" s="1" t="s">
        <v>74</v>
      </c>
      <c r="V246" s="1" t="s">
        <v>2340</v>
      </c>
      <c r="W246" s="1" t="s">
        <v>74</v>
      </c>
      <c r="X246" s="1" t="s">
        <v>74</v>
      </c>
      <c r="Y246" s="1" t="s">
        <v>74</v>
      </c>
      <c r="Z246" s="1" t="s">
        <v>74</v>
      </c>
      <c r="AA246" s="1" t="s">
        <v>74</v>
      </c>
      <c r="AB246" s="1" t="s">
        <v>701</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702</v>
      </c>
      <c r="AP246" s="1" t="s">
        <v>74</v>
      </c>
      <c r="AQ246" s="1" t="s">
        <v>74</v>
      </c>
      <c r="AR246" s="1" t="s">
        <v>74</v>
      </c>
      <c r="AS246" s="1" t="s">
        <v>74</v>
      </c>
      <c r="AT246" s="1" t="s">
        <v>171</v>
      </c>
      <c r="AU246" s="1">
        <v>2004.0</v>
      </c>
      <c r="AV246" s="1">
        <v>49.0</v>
      </c>
      <c r="AW246" s="1">
        <v>2.0</v>
      </c>
      <c r="AX246" s="1" t="s">
        <v>74</v>
      </c>
      <c r="AY246" s="1" t="s">
        <v>74</v>
      </c>
      <c r="AZ246" s="1" t="s">
        <v>74</v>
      </c>
      <c r="BA246" s="1" t="s">
        <v>74</v>
      </c>
      <c r="BB246" s="1">
        <v>137.0</v>
      </c>
      <c r="BC246" s="1">
        <v>141.0</v>
      </c>
      <c r="BD246" s="1" t="s">
        <v>74</v>
      </c>
      <c r="BE246" s="1" t="s">
        <v>74</v>
      </c>
      <c r="BF246" s="1" t="s">
        <v>74</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2341</v>
      </c>
      <c r="BT246" s="1" t="str">
        <f>HYPERLINK("https%3A%2F%2Fwww.webofscience.com%2Fwos%2Fwoscc%2Ffull-record%2FWOS:000221509600006","View Full Record in Web of Science")</f>
        <v>View Full Record in Web of Science</v>
      </c>
    </row>
    <row r="247" ht="12.75" customHeight="1">
      <c r="A247" s="1" t="s">
        <v>126</v>
      </c>
      <c r="B247" s="1" t="s">
        <v>2342</v>
      </c>
      <c r="C247" s="1" t="s">
        <v>74</v>
      </c>
      <c r="D247" s="1" t="s">
        <v>74</v>
      </c>
      <c r="E247" s="1" t="s">
        <v>2343</v>
      </c>
      <c r="F247" s="1" t="s">
        <v>2342</v>
      </c>
      <c r="G247" s="1" t="s">
        <v>74</v>
      </c>
      <c r="H247" s="1" t="s">
        <v>74</v>
      </c>
      <c r="I247" s="1" t="s">
        <v>2344</v>
      </c>
      <c r="J247" s="1" t="s">
        <v>2345</v>
      </c>
      <c r="K247" s="1" t="s">
        <v>74</v>
      </c>
      <c r="L247" s="1" t="s">
        <v>74</v>
      </c>
      <c r="M247" s="1" t="s">
        <v>74</v>
      </c>
      <c r="N247" s="1" t="s">
        <v>74</v>
      </c>
      <c r="O247" s="1" t="s">
        <v>2346</v>
      </c>
      <c r="P247" s="1" t="s">
        <v>2347</v>
      </c>
      <c r="Q247" s="1" t="s">
        <v>2348</v>
      </c>
      <c r="R247" s="1" t="s">
        <v>2349</v>
      </c>
      <c r="S247" s="1" t="s">
        <v>74</v>
      </c>
      <c r="T247" s="1" t="s">
        <v>74</v>
      </c>
      <c r="U247" s="1" t="s">
        <v>74</v>
      </c>
      <c r="V247" s="1" t="s">
        <v>2350</v>
      </c>
      <c r="W247" s="1" t="s">
        <v>74</v>
      </c>
      <c r="X247" s="1" t="s">
        <v>74</v>
      </c>
      <c r="Y247" s="1" t="s">
        <v>74</v>
      </c>
      <c r="Z247" s="1" t="s">
        <v>74</v>
      </c>
      <c r="AA247" s="1" t="s">
        <v>74</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74</v>
      </c>
      <c r="AP247" s="1" t="s">
        <v>74</v>
      </c>
      <c r="AQ247" s="1" t="s">
        <v>2351</v>
      </c>
      <c r="AR247" s="1" t="s">
        <v>74</v>
      </c>
      <c r="AS247" s="1" t="s">
        <v>74</v>
      </c>
      <c r="AT247" s="1" t="s">
        <v>74</v>
      </c>
      <c r="AU247" s="1">
        <v>2004.0</v>
      </c>
      <c r="AV247" s="1" t="s">
        <v>74</v>
      </c>
      <c r="AW247" s="1" t="s">
        <v>74</v>
      </c>
      <c r="AX247" s="1" t="s">
        <v>74</v>
      </c>
      <c r="AY247" s="1" t="s">
        <v>74</v>
      </c>
      <c r="AZ247" s="1" t="s">
        <v>74</v>
      </c>
      <c r="BA247" s="1" t="s">
        <v>74</v>
      </c>
      <c r="BB247" s="1">
        <v>76.0</v>
      </c>
      <c r="BC247" s="1">
        <v>83.0</v>
      </c>
      <c r="BD247" s="1" t="s">
        <v>74</v>
      </c>
      <c r="BE247" s="1" t="s">
        <v>74</v>
      </c>
      <c r="BF247" s="1" t="s">
        <v>74</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2352</v>
      </c>
      <c r="BT247" s="1" t="str">
        <f>HYPERLINK("https%3A%2F%2Fwww.webofscience.com%2Fwos%2Fwoscc%2Ffull-record%2FWOS:000226253100008","View Full Record in Web of Science")</f>
        <v>View Full Record in Web of Science</v>
      </c>
    </row>
    <row r="248" ht="12.75" customHeight="1">
      <c r="A248" s="1" t="s">
        <v>72</v>
      </c>
      <c r="B248" s="1" t="s">
        <v>2353</v>
      </c>
      <c r="C248" s="1" t="s">
        <v>74</v>
      </c>
      <c r="D248" s="1" t="s">
        <v>74</v>
      </c>
      <c r="E248" s="1" t="s">
        <v>74</v>
      </c>
      <c r="F248" s="1" t="s">
        <v>2353</v>
      </c>
      <c r="G248" s="1" t="s">
        <v>74</v>
      </c>
      <c r="H248" s="1" t="s">
        <v>74</v>
      </c>
      <c r="I248" s="1" t="s">
        <v>2354</v>
      </c>
      <c r="J248" s="1" t="s">
        <v>2355</v>
      </c>
      <c r="K248" s="1" t="s">
        <v>74</v>
      </c>
      <c r="L248" s="1" t="s">
        <v>74</v>
      </c>
      <c r="M248" s="1" t="s">
        <v>74</v>
      </c>
      <c r="N248" s="1" t="s">
        <v>74</v>
      </c>
      <c r="O248" s="1" t="s">
        <v>74</v>
      </c>
      <c r="P248" s="1" t="s">
        <v>74</v>
      </c>
      <c r="Q248" s="1" t="s">
        <v>74</v>
      </c>
      <c r="R248" s="1" t="s">
        <v>74</v>
      </c>
      <c r="S248" s="1" t="s">
        <v>74</v>
      </c>
      <c r="T248" s="1" t="s">
        <v>74</v>
      </c>
      <c r="U248" s="1" t="s">
        <v>74</v>
      </c>
      <c r="V248" s="1" t="s">
        <v>74</v>
      </c>
      <c r="W248" s="1" t="s">
        <v>74</v>
      </c>
      <c r="X248" s="1" t="s">
        <v>74</v>
      </c>
      <c r="Y248" s="1" t="s">
        <v>74</v>
      </c>
      <c r="Z248" s="1" t="s">
        <v>74</v>
      </c>
      <c r="AA248" s="1" t="s">
        <v>74</v>
      </c>
      <c r="AB248" s="1" t="s">
        <v>74</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2356</v>
      </c>
      <c r="AP248" s="1" t="s">
        <v>74</v>
      </c>
      <c r="AQ248" s="1" t="s">
        <v>74</v>
      </c>
      <c r="AR248" s="1" t="s">
        <v>74</v>
      </c>
      <c r="AS248" s="1" t="s">
        <v>74</v>
      </c>
      <c r="AT248" s="1" t="s">
        <v>158</v>
      </c>
      <c r="AU248" s="1">
        <v>2003.0</v>
      </c>
      <c r="AV248" s="1">
        <v>71.0</v>
      </c>
      <c r="AW248" s="1">
        <v>9.0</v>
      </c>
      <c r="AX248" s="1" t="s">
        <v>74</v>
      </c>
      <c r="AY248" s="1" t="s">
        <v>74</v>
      </c>
      <c r="AZ248" s="1" t="s">
        <v>74</v>
      </c>
      <c r="BA248" s="1" t="s">
        <v>74</v>
      </c>
      <c r="BB248" s="1">
        <v>956.0</v>
      </c>
      <c r="BC248" s="1">
        <v>956.0</v>
      </c>
      <c r="BD248" s="1" t="s">
        <v>74</v>
      </c>
      <c r="BE248" s="1" t="s">
        <v>2357</v>
      </c>
      <c r="BF248" s="2" t="str">
        <f>HYPERLINK("http://dx.doi.org/10.1119/1.1592514","http://dx.doi.org/10.1119/1.1592514")</f>
        <v>http://dx.doi.org/10.1119/1.1592514</v>
      </c>
      <c r="BG248" s="1" t="s">
        <v>74</v>
      </c>
      <c r="BH248" s="1" t="s">
        <v>74</v>
      </c>
      <c r="BI248" s="1" t="s">
        <v>74</v>
      </c>
      <c r="BJ248" s="1" t="s">
        <v>74</v>
      </c>
      <c r="BK248" s="1" t="s">
        <v>74</v>
      </c>
      <c r="BL248" s="1" t="s">
        <v>74</v>
      </c>
      <c r="BM248" s="1" t="s">
        <v>74</v>
      </c>
      <c r="BN248" s="1" t="s">
        <v>74</v>
      </c>
      <c r="BO248" s="1" t="s">
        <v>74</v>
      </c>
      <c r="BP248" s="1" t="s">
        <v>74</v>
      </c>
      <c r="BQ248" s="1" t="s">
        <v>74</v>
      </c>
      <c r="BR248" s="1" t="s">
        <v>74</v>
      </c>
      <c r="BS248" s="1" t="s">
        <v>2358</v>
      </c>
      <c r="BT248" s="1" t="str">
        <f>HYPERLINK("https%3A%2F%2Fwww.webofscience.com%2Fwos%2Fwoscc%2Ffull-record%2FWOS:000184835700023","View Full Record in Web of Science")</f>
        <v>View Full Record in Web of Science</v>
      </c>
    </row>
    <row r="249" ht="12.75" customHeight="1">
      <c r="A249" s="1" t="s">
        <v>72</v>
      </c>
      <c r="B249" s="1" t="s">
        <v>2359</v>
      </c>
      <c r="C249" s="1" t="s">
        <v>74</v>
      </c>
      <c r="D249" s="1" t="s">
        <v>74</v>
      </c>
      <c r="E249" s="1" t="s">
        <v>74</v>
      </c>
      <c r="F249" s="1" t="s">
        <v>2359</v>
      </c>
      <c r="G249" s="1" t="s">
        <v>74</v>
      </c>
      <c r="H249" s="1" t="s">
        <v>74</v>
      </c>
      <c r="I249" s="1" t="s">
        <v>2360</v>
      </c>
      <c r="J249" s="1" t="s">
        <v>759</v>
      </c>
      <c r="K249" s="1" t="s">
        <v>74</v>
      </c>
      <c r="L249" s="1" t="s">
        <v>74</v>
      </c>
      <c r="M249" s="1" t="s">
        <v>74</v>
      </c>
      <c r="N249" s="1" t="s">
        <v>74</v>
      </c>
      <c r="O249" s="1" t="s">
        <v>74</v>
      </c>
      <c r="P249" s="1" t="s">
        <v>74</v>
      </c>
      <c r="Q249" s="1" t="s">
        <v>74</v>
      </c>
      <c r="R249" s="1" t="s">
        <v>74</v>
      </c>
      <c r="S249" s="1" t="s">
        <v>74</v>
      </c>
      <c r="T249" s="1" t="s">
        <v>74</v>
      </c>
      <c r="U249" s="1" t="s">
        <v>74</v>
      </c>
      <c r="V249" s="1" t="s">
        <v>2361</v>
      </c>
      <c r="W249" s="1" t="s">
        <v>74</v>
      </c>
      <c r="X249" s="1" t="s">
        <v>74</v>
      </c>
      <c r="Y249" s="1" t="s">
        <v>74</v>
      </c>
      <c r="Z249" s="1" t="s">
        <v>74</v>
      </c>
      <c r="AA249" s="1" t="s">
        <v>2362</v>
      </c>
      <c r="AB249" s="1" t="s">
        <v>2363</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760</v>
      </c>
      <c r="AP249" s="1" t="s">
        <v>74</v>
      </c>
      <c r="AQ249" s="1" t="s">
        <v>74</v>
      </c>
      <c r="AR249" s="1" t="s">
        <v>74</v>
      </c>
      <c r="AS249" s="1" t="s">
        <v>74</v>
      </c>
      <c r="AT249" s="1" t="s">
        <v>974</v>
      </c>
      <c r="AU249" s="1">
        <v>2003.0</v>
      </c>
      <c r="AV249" s="1">
        <v>54.0</v>
      </c>
      <c r="AW249" s="1">
        <v>5.0</v>
      </c>
      <c r="AX249" s="1" t="s">
        <v>74</v>
      </c>
      <c r="AY249" s="1" t="s">
        <v>74</v>
      </c>
      <c r="AZ249" s="1" t="s">
        <v>74</v>
      </c>
      <c r="BA249" s="1" t="s">
        <v>74</v>
      </c>
      <c r="BB249" s="1">
        <v>927.0</v>
      </c>
      <c r="BC249" s="1">
        <v>938.0</v>
      </c>
      <c r="BD249" s="1" t="s">
        <v>74</v>
      </c>
      <c r="BE249" s="1" t="s">
        <v>2364</v>
      </c>
      <c r="BF249" s="2" t="str">
        <f>HYPERLINK("http://dx.doi.org/10.1016/S0362-546X(03)00118-4","http://dx.doi.org/10.1016/S0362-546X(03)00118-4")</f>
        <v>http://dx.doi.org/10.1016/S0362-546X(03)00118-4</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2365</v>
      </c>
      <c r="BT249" s="1" t="str">
        <f>HYPERLINK("https%3A%2F%2Fwww.webofscience.com%2Fwos%2Fwoscc%2Ffull-record%2FWOS:000184289300008","View Full Record in Web of Science")</f>
        <v>View Full Record in Web of Science</v>
      </c>
    </row>
    <row r="250" ht="12.75" customHeight="1">
      <c r="A250" s="1" t="s">
        <v>126</v>
      </c>
      <c r="B250" s="1" t="s">
        <v>2366</v>
      </c>
      <c r="C250" s="1" t="s">
        <v>74</v>
      </c>
      <c r="D250" s="1" t="s">
        <v>2367</v>
      </c>
      <c r="E250" s="1" t="s">
        <v>74</v>
      </c>
      <c r="F250" s="1" t="s">
        <v>2366</v>
      </c>
      <c r="G250" s="1" t="s">
        <v>74</v>
      </c>
      <c r="H250" s="1" t="s">
        <v>74</v>
      </c>
      <c r="I250" s="1" t="s">
        <v>2368</v>
      </c>
      <c r="J250" s="1" t="s">
        <v>2369</v>
      </c>
      <c r="K250" s="1" t="s">
        <v>2370</v>
      </c>
      <c r="L250" s="1" t="s">
        <v>74</v>
      </c>
      <c r="M250" s="1" t="s">
        <v>74</v>
      </c>
      <c r="N250" s="1" t="s">
        <v>74</v>
      </c>
      <c r="O250" s="1" t="s">
        <v>2371</v>
      </c>
      <c r="P250" s="1" t="s">
        <v>2372</v>
      </c>
      <c r="Q250" s="1" t="s">
        <v>2373</v>
      </c>
      <c r="R250" s="1" t="s">
        <v>2374</v>
      </c>
      <c r="S250" s="1" t="s">
        <v>74</v>
      </c>
      <c r="T250" s="1" t="s">
        <v>74</v>
      </c>
      <c r="U250" s="1" t="s">
        <v>74</v>
      </c>
      <c r="V250" s="1" t="s">
        <v>2375</v>
      </c>
      <c r="W250" s="1" t="s">
        <v>74</v>
      </c>
      <c r="X250" s="1" t="s">
        <v>74</v>
      </c>
      <c r="Y250" s="1" t="s">
        <v>74</v>
      </c>
      <c r="Z250" s="1" t="s">
        <v>74</v>
      </c>
      <c r="AA250" s="1" t="s">
        <v>74</v>
      </c>
      <c r="AB250" s="1" t="s">
        <v>74</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2376</v>
      </c>
      <c r="AP250" s="1" t="s">
        <v>74</v>
      </c>
      <c r="AQ250" s="1" t="s">
        <v>2377</v>
      </c>
      <c r="AR250" s="1" t="s">
        <v>74</v>
      </c>
      <c r="AS250" s="1" t="s">
        <v>74</v>
      </c>
      <c r="AT250" s="1" t="s">
        <v>74</v>
      </c>
      <c r="AU250" s="1">
        <v>2003.0</v>
      </c>
      <c r="AV250" s="1">
        <v>5035.0</v>
      </c>
      <c r="AW250" s="1" t="s">
        <v>74</v>
      </c>
      <c r="AX250" s="1" t="s">
        <v>74</v>
      </c>
      <c r="AY250" s="1" t="s">
        <v>74</v>
      </c>
      <c r="AZ250" s="1" t="s">
        <v>74</v>
      </c>
      <c r="BA250" s="1" t="s">
        <v>74</v>
      </c>
      <c r="BB250" s="1">
        <v>440.0</v>
      </c>
      <c r="BC250" s="1">
        <v>451.0</v>
      </c>
      <c r="BD250" s="1" t="s">
        <v>74</v>
      </c>
      <c r="BE250" s="1" t="s">
        <v>2378</v>
      </c>
      <c r="BF250" s="2" t="str">
        <f>HYPERLINK("http://dx.doi.org/10.1117/12.479918","http://dx.doi.org/10.1117/12.479918")</f>
        <v>http://dx.doi.org/10.1117/12.479918</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2379</v>
      </c>
      <c r="BT250" s="1" t="str">
        <f>HYPERLINK("https%3A%2F%2Fwww.webofscience.com%2Fwos%2Fwoscc%2Ffull-record%2FWOS:000183593400048","View Full Record in Web of Science")</f>
        <v>View Full Record in Web of Science</v>
      </c>
    </row>
    <row r="251" ht="12.75" customHeight="1">
      <c r="A251" s="1" t="s">
        <v>638</v>
      </c>
      <c r="B251" s="1" t="s">
        <v>2380</v>
      </c>
      <c r="C251" s="1" t="s">
        <v>74</v>
      </c>
      <c r="D251" s="1" t="s">
        <v>2381</v>
      </c>
      <c r="E251" s="1" t="s">
        <v>74</v>
      </c>
      <c r="F251" s="1" t="s">
        <v>2380</v>
      </c>
      <c r="G251" s="1" t="s">
        <v>74</v>
      </c>
      <c r="H251" s="1" t="s">
        <v>74</v>
      </c>
      <c r="I251" s="1" t="s">
        <v>2382</v>
      </c>
      <c r="J251" s="1" t="s">
        <v>2383</v>
      </c>
      <c r="K251" s="1" t="s">
        <v>2384</v>
      </c>
      <c r="L251" s="1" t="s">
        <v>74</v>
      </c>
      <c r="M251" s="1" t="s">
        <v>74</v>
      </c>
      <c r="N251" s="1" t="s">
        <v>74</v>
      </c>
      <c r="O251" s="1" t="s">
        <v>2385</v>
      </c>
      <c r="P251" s="1" t="s">
        <v>2386</v>
      </c>
      <c r="Q251" s="1" t="s">
        <v>2387</v>
      </c>
      <c r="R251" s="1" t="s">
        <v>2388</v>
      </c>
      <c r="S251" s="1" t="s">
        <v>2389</v>
      </c>
      <c r="T251" s="1" t="s">
        <v>74</v>
      </c>
      <c r="U251" s="1" t="s">
        <v>74</v>
      </c>
      <c r="V251" s="1" t="s">
        <v>2390</v>
      </c>
      <c r="W251" s="1" t="s">
        <v>74</v>
      </c>
      <c r="X251" s="1" t="s">
        <v>74</v>
      </c>
      <c r="Y251" s="1" t="s">
        <v>74</v>
      </c>
      <c r="Z251" s="1" t="s">
        <v>74</v>
      </c>
      <c r="AA251" s="1" t="s">
        <v>74</v>
      </c>
      <c r="AB251" s="1" t="s">
        <v>74</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2391</v>
      </c>
      <c r="AP251" s="1" t="s">
        <v>74</v>
      </c>
      <c r="AQ251" s="1" t="s">
        <v>2392</v>
      </c>
      <c r="AR251" s="1" t="s">
        <v>74</v>
      </c>
      <c r="AS251" s="1" t="s">
        <v>74</v>
      </c>
      <c r="AT251" s="1" t="s">
        <v>74</v>
      </c>
      <c r="AU251" s="1">
        <v>2003.0</v>
      </c>
      <c r="AV251" s="1" t="s">
        <v>2393</v>
      </c>
      <c r="AW251" s="1" t="s">
        <v>74</v>
      </c>
      <c r="AX251" s="1" t="s">
        <v>74</v>
      </c>
      <c r="AY251" s="1" t="s">
        <v>74</v>
      </c>
      <c r="AZ251" s="1" t="s">
        <v>74</v>
      </c>
      <c r="BA251" s="1" t="s">
        <v>74</v>
      </c>
      <c r="BB251" s="1">
        <v>4501.0</v>
      </c>
      <c r="BC251" s="1">
        <v>4506.0</v>
      </c>
      <c r="BD251" s="1" t="s">
        <v>74</v>
      </c>
      <c r="BE251" s="1" t="s">
        <v>2394</v>
      </c>
      <c r="BF251" s="2" t="str">
        <f>HYPERLINK("http://dx.doi.org/10.4028/www.scientific.net/MSF.426-432.4501","http://dx.doi.org/10.4028/www.scientific.net/MSF.426-432.4501")</f>
        <v>http://dx.doi.org/10.4028/www.scientific.net/MSF.426-432.4501</v>
      </c>
      <c r="BG251" s="1" t="s">
        <v>74</v>
      </c>
      <c r="BH251" s="1" t="s">
        <v>74</v>
      </c>
      <c r="BI251" s="1" t="s">
        <v>74</v>
      </c>
      <c r="BJ251" s="1" t="s">
        <v>74</v>
      </c>
      <c r="BK251" s="1" t="s">
        <v>74</v>
      </c>
      <c r="BL251" s="1" t="s">
        <v>74</v>
      </c>
      <c r="BM251" s="1" t="s">
        <v>74</v>
      </c>
      <c r="BN251" s="1" t="s">
        <v>74</v>
      </c>
      <c r="BO251" s="1" t="s">
        <v>74</v>
      </c>
      <c r="BP251" s="1" t="s">
        <v>74</v>
      </c>
      <c r="BQ251" s="1" t="s">
        <v>74</v>
      </c>
      <c r="BR251" s="1" t="s">
        <v>74</v>
      </c>
      <c r="BS251" s="1" t="s">
        <v>2395</v>
      </c>
      <c r="BT251" s="1" t="str">
        <f>HYPERLINK("https%3A%2F%2Fwww.webofscience.com%2Fwos%2Fwoscc%2Ffull-record%2FWOS:000183626400728","View Full Record in Web of Science")</f>
        <v>View Full Record in Web of Science</v>
      </c>
    </row>
    <row r="252" ht="12.75" customHeight="1">
      <c r="A252" s="1" t="s">
        <v>72</v>
      </c>
      <c r="B252" s="1" t="s">
        <v>2396</v>
      </c>
      <c r="C252" s="1" t="s">
        <v>74</v>
      </c>
      <c r="D252" s="1" t="s">
        <v>74</v>
      </c>
      <c r="E252" s="1" t="s">
        <v>74</v>
      </c>
      <c r="F252" s="1" t="s">
        <v>2396</v>
      </c>
      <c r="G252" s="1" t="s">
        <v>74</v>
      </c>
      <c r="H252" s="1" t="s">
        <v>74</v>
      </c>
      <c r="I252" s="1" t="s">
        <v>2397</v>
      </c>
      <c r="J252" s="1" t="s">
        <v>2398</v>
      </c>
      <c r="K252" s="1" t="s">
        <v>74</v>
      </c>
      <c r="L252" s="1" t="s">
        <v>74</v>
      </c>
      <c r="M252" s="1" t="s">
        <v>74</v>
      </c>
      <c r="N252" s="1" t="s">
        <v>74</v>
      </c>
      <c r="O252" s="1" t="s">
        <v>74</v>
      </c>
      <c r="P252" s="1" t="s">
        <v>74</v>
      </c>
      <c r="Q252" s="1" t="s">
        <v>74</v>
      </c>
      <c r="R252" s="1" t="s">
        <v>74</v>
      </c>
      <c r="S252" s="1" t="s">
        <v>74</v>
      </c>
      <c r="T252" s="1" t="s">
        <v>74</v>
      </c>
      <c r="U252" s="1" t="s">
        <v>74</v>
      </c>
      <c r="V252" s="1" t="s">
        <v>2399</v>
      </c>
      <c r="W252" s="1" t="s">
        <v>74</v>
      </c>
      <c r="X252" s="1" t="s">
        <v>74</v>
      </c>
      <c r="Y252" s="1" t="s">
        <v>74</v>
      </c>
      <c r="Z252" s="1" t="s">
        <v>74</v>
      </c>
      <c r="AA252" s="1" t="s">
        <v>74</v>
      </c>
      <c r="AB252" s="1" t="s">
        <v>74</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2400</v>
      </c>
      <c r="AP252" s="1" t="s">
        <v>2401</v>
      </c>
      <c r="AQ252" s="1" t="s">
        <v>74</v>
      </c>
      <c r="AR252" s="1" t="s">
        <v>74</v>
      </c>
      <c r="AS252" s="1" t="s">
        <v>74</v>
      </c>
      <c r="AT252" s="1" t="s">
        <v>2402</v>
      </c>
      <c r="AU252" s="1">
        <v>2002.0</v>
      </c>
      <c r="AV252" s="1">
        <v>53.0</v>
      </c>
      <c r="AW252" s="1">
        <v>9.0</v>
      </c>
      <c r="AX252" s="1" t="s">
        <v>74</v>
      </c>
      <c r="AY252" s="1" t="s">
        <v>74</v>
      </c>
      <c r="AZ252" s="1" t="s">
        <v>74</v>
      </c>
      <c r="BA252" s="1" t="s">
        <v>74</v>
      </c>
      <c r="BB252" s="1">
        <v>2163.0</v>
      </c>
      <c r="BC252" s="1">
        <v>2184.0</v>
      </c>
      <c r="BD252" s="1" t="s">
        <v>74</v>
      </c>
      <c r="BE252" s="1" t="s">
        <v>2403</v>
      </c>
      <c r="BF252" s="2" t="str">
        <f>HYPERLINK("http://dx.doi.org/10.1002/nme.378","http://dx.doi.org/10.1002/nme.378")</f>
        <v>http://dx.doi.org/10.1002/nme.378</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2404</v>
      </c>
      <c r="BT252" s="1" t="str">
        <f>HYPERLINK("https%3A%2F%2Fwww.webofscience.com%2Fwos%2Fwoscc%2Ffull-record%2FWOS:000174109300007","View Full Record in Web of Science")</f>
        <v>View Full Record in Web of Science</v>
      </c>
    </row>
    <row r="253" ht="12.75" customHeight="1">
      <c r="A253" s="1" t="s">
        <v>72</v>
      </c>
      <c r="B253" s="1" t="s">
        <v>2405</v>
      </c>
      <c r="C253" s="1" t="s">
        <v>74</v>
      </c>
      <c r="D253" s="1" t="s">
        <v>74</v>
      </c>
      <c r="E253" s="1" t="s">
        <v>74</v>
      </c>
      <c r="F253" s="1" t="s">
        <v>2405</v>
      </c>
      <c r="G253" s="1" t="s">
        <v>74</v>
      </c>
      <c r="H253" s="1" t="s">
        <v>74</v>
      </c>
      <c r="I253" s="1" t="s">
        <v>2406</v>
      </c>
      <c r="J253" s="1" t="s">
        <v>1592</v>
      </c>
      <c r="K253" s="1" t="s">
        <v>74</v>
      </c>
      <c r="L253" s="1" t="s">
        <v>74</v>
      </c>
      <c r="M253" s="1" t="s">
        <v>74</v>
      </c>
      <c r="N253" s="1" t="s">
        <v>74</v>
      </c>
      <c r="O253" s="1" t="s">
        <v>2407</v>
      </c>
      <c r="P253" s="1" t="s">
        <v>2408</v>
      </c>
      <c r="Q253" s="1" t="s">
        <v>2409</v>
      </c>
      <c r="R253" s="1" t="s">
        <v>2410</v>
      </c>
      <c r="S253" s="1" t="s">
        <v>74</v>
      </c>
      <c r="T253" s="1" t="s">
        <v>74</v>
      </c>
      <c r="U253" s="1" t="s">
        <v>74</v>
      </c>
      <c r="V253" s="1" t="s">
        <v>2411</v>
      </c>
      <c r="W253" s="1" t="s">
        <v>74</v>
      </c>
      <c r="X253" s="1" t="s">
        <v>74</v>
      </c>
      <c r="Y253" s="1" t="s">
        <v>74</v>
      </c>
      <c r="Z253" s="1" t="s">
        <v>74</v>
      </c>
      <c r="AA253" s="1" t="s">
        <v>2412</v>
      </c>
      <c r="AB253" s="1" t="s">
        <v>2413</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1596</v>
      </c>
      <c r="AP253" s="1" t="s">
        <v>74</v>
      </c>
      <c r="AQ253" s="1" t="s">
        <v>74</v>
      </c>
      <c r="AR253" s="1" t="s">
        <v>74</v>
      </c>
      <c r="AS253" s="1" t="s">
        <v>74</v>
      </c>
      <c r="AT253" s="1" t="s">
        <v>2414</v>
      </c>
      <c r="AU253" s="1">
        <v>2001.0</v>
      </c>
      <c r="AV253" s="1">
        <v>46.0</v>
      </c>
      <c r="AW253" s="1" t="s">
        <v>2415</v>
      </c>
      <c r="AX253" s="1" t="s">
        <v>74</v>
      </c>
      <c r="AY253" s="1" t="s">
        <v>74</v>
      </c>
      <c r="AZ253" s="1" t="s">
        <v>159</v>
      </c>
      <c r="BA253" s="1" t="s">
        <v>74</v>
      </c>
      <c r="BB253" s="1">
        <v>3227.0</v>
      </c>
      <c r="BC253" s="1">
        <v>3235.0</v>
      </c>
      <c r="BD253" s="1" t="s">
        <v>74</v>
      </c>
      <c r="BE253" s="1" t="s">
        <v>2416</v>
      </c>
      <c r="BF253" s="2" t="str">
        <f>HYPERLINK("http://dx.doi.org/10.1016/S0013-4686(01)00614-4","http://dx.doi.org/10.1016/S0013-4686(01)00614-4")</f>
        <v>http://dx.doi.org/10.1016/S0013-4686(01)00614-4</v>
      </c>
      <c r="BG253" s="1" t="s">
        <v>74</v>
      </c>
      <c r="BH253" s="1" t="s">
        <v>74</v>
      </c>
      <c r="BI253" s="1" t="s">
        <v>74</v>
      </c>
      <c r="BJ253" s="1" t="s">
        <v>74</v>
      </c>
      <c r="BK253" s="1" t="s">
        <v>74</v>
      </c>
      <c r="BL253" s="1" t="s">
        <v>74</v>
      </c>
      <c r="BM253" s="1" t="s">
        <v>74</v>
      </c>
      <c r="BN253" s="1" t="s">
        <v>74</v>
      </c>
      <c r="BO253" s="1" t="s">
        <v>74</v>
      </c>
      <c r="BP253" s="1" t="s">
        <v>74</v>
      </c>
      <c r="BQ253" s="1" t="s">
        <v>74</v>
      </c>
      <c r="BR253" s="1" t="s">
        <v>74</v>
      </c>
      <c r="BS253" s="1" t="s">
        <v>2417</v>
      </c>
      <c r="BT253" s="1" t="str">
        <f>HYPERLINK("https%3A%2F%2Fwww.webofscience.com%2Fwos%2Fwoscc%2Ffull-record%2FWOS:000170862000022","View Full Record in Web of Science")</f>
        <v>View Full Record in Web of Science</v>
      </c>
    </row>
    <row r="254" ht="12.75" customHeight="1">
      <c r="A254" s="1" t="s">
        <v>72</v>
      </c>
      <c r="B254" s="1" t="s">
        <v>2418</v>
      </c>
      <c r="C254" s="1" t="s">
        <v>74</v>
      </c>
      <c r="D254" s="1" t="s">
        <v>74</v>
      </c>
      <c r="E254" s="1" t="s">
        <v>74</v>
      </c>
      <c r="F254" s="1" t="s">
        <v>2418</v>
      </c>
      <c r="G254" s="1" t="s">
        <v>74</v>
      </c>
      <c r="H254" s="1" t="s">
        <v>74</v>
      </c>
      <c r="I254" s="1" t="s">
        <v>2419</v>
      </c>
      <c r="J254" s="1" t="s">
        <v>748</v>
      </c>
      <c r="K254" s="1" t="s">
        <v>74</v>
      </c>
      <c r="L254" s="1" t="s">
        <v>74</v>
      </c>
      <c r="M254" s="1" t="s">
        <v>74</v>
      </c>
      <c r="N254" s="1" t="s">
        <v>74</v>
      </c>
      <c r="O254" s="1" t="s">
        <v>74</v>
      </c>
      <c r="P254" s="1" t="s">
        <v>74</v>
      </c>
      <c r="Q254" s="1" t="s">
        <v>74</v>
      </c>
      <c r="R254" s="1" t="s">
        <v>74</v>
      </c>
      <c r="S254" s="1" t="s">
        <v>74</v>
      </c>
      <c r="T254" s="1" t="s">
        <v>74</v>
      </c>
      <c r="U254" s="1" t="s">
        <v>74</v>
      </c>
      <c r="V254" s="1" t="s">
        <v>2420</v>
      </c>
      <c r="W254" s="1" t="s">
        <v>74</v>
      </c>
      <c r="X254" s="1" t="s">
        <v>74</v>
      </c>
      <c r="Y254" s="1" t="s">
        <v>74</v>
      </c>
      <c r="Z254" s="1" t="s">
        <v>74</v>
      </c>
      <c r="AA254" s="1" t="s">
        <v>74</v>
      </c>
      <c r="AB254" s="1" t="s">
        <v>701</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750</v>
      </c>
      <c r="AP254" s="1" t="s">
        <v>74</v>
      </c>
      <c r="AQ254" s="1" t="s">
        <v>74</v>
      </c>
      <c r="AR254" s="1" t="s">
        <v>74</v>
      </c>
      <c r="AS254" s="1" t="s">
        <v>74</v>
      </c>
      <c r="AT254" s="1" t="s">
        <v>171</v>
      </c>
      <c r="AU254" s="1">
        <v>2001.0</v>
      </c>
      <c r="AV254" s="1">
        <v>46.0</v>
      </c>
      <c r="AW254" s="1">
        <v>2.0</v>
      </c>
      <c r="AX254" s="1" t="s">
        <v>74</v>
      </c>
      <c r="AY254" s="1" t="s">
        <v>74</v>
      </c>
      <c r="AZ254" s="1" t="s">
        <v>74</v>
      </c>
      <c r="BA254" s="1" t="s">
        <v>74</v>
      </c>
      <c r="BB254" s="1">
        <v>175.0</v>
      </c>
      <c r="BC254" s="1">
        <v>178.0</v>
      </c>
      <c r="BD254" s="1" t="s">
        <v>74</v>
      </c>
      <c r="BE254" s="1" t="s">
        <v>74</v>
      </c>
      <c r="BF254" s="1" t="s">
        <v>74</v>
      </c>
      <c r="BG254" s="1" t="s">
        <v>74</v>
      </c>
      <c r="BH254" s="1" t="s">
        <v>74</v>
      </c>
      <c r="BI254" s="1" t="s">
        <v>74</v>
      </c>
      <c r="BJ254" s="1" t="s">
        <v>74</v>
      </c>
      <c r="BK254" s="1" t="s">
        <v>74</v>
      </c>
      <c r="BL254" s="1" t="s">
        <v>74</v>
      </c>
      <c r="BM254" s="1" t="s">
        <v>74</v>
      </c>
      <c r="BN254" s="1" t="s">
        <v>74</v>
      </c>
      <c r="BO254" s="1" t="s">
        <v>74</v>
      </c>
      <c r="BP254" s="1" t="s">
        <v>74</v>
      </c>
      <c r="BQ254" s="1" t="s">
        <v>74</v>
      </c>
      <c r="BR254" s="1" t="s">
        <v>74</v>
      </c>
      <c r="BS254" s="1" t="s">
        <v>2421</v>
      </c>
      <c r="BT254" s="1" t="str">
        <f>HYPERLINK("https%3A%2F%2Fwww.webofscience.com%2Fwos%2Fwoscc%2Ffull-record%2FWOS:000170137700011","View Full Record in Web of Science")</f>
        <v>View Full Record in Web of Science</v>
      </c>
    </row>
    <row r="255" ht="12.75" customHeight="1">
      <c r="A255" s="1" t="s">
        <v>72</v>
      </c>
      <c r="B255" s="1" t="s">
        <v>2422</v>
      </c>
      <c r="C255" s="1" t="s">
        <v>74</v>
      </c>
      <c r="D255" s="1" t="s">
        <v>74</v>
      </c>
      <c r="E255" s="1" t="s">
        <v>74</v>
      </c>
      <c r="F255" s="1" t="s">
        <v>2422</v>
      </c>
      <c r="G255" s="1" t="s">
        <v>74</v>
      </c>
      <c r="H255" s="1" t="s">
        <v>74</v>
      </c>
      <c r="I255" s="1" t="s">
        <v>2423</v>
      </c>
      <c r="J255" s="1" t="s">
        <v>748</v>
      </c>
      <c r="K255" s="1" t="s">
        <v>74</v>
      </c>
      <c r="L255" s="1" t="s">
        <v>74</v>
      </c>
      <c r="M255" s="1" t="s">
        <v>74</v>
      </c>
      <c r="N255" s="1" t="s">
        <v>74</v>
      </c>
      <c r="O255" s="1" t="s">
        <v>74</v>
      </c>
      <c r="P255" s="1" t="s">
        <v>74</v>
      </c>
      <c r="Q255" s="1" t="s">
        <v>74</v>
      </c>
      <c r="R255" s="1" t="s">
        <v>74</v>
      </c>
      <c r="S255" s="1" t="s">
        <v>74</v>
      </c>
      <c r="T255" s="1" t="s">
        <v>74</v>
      </c>
      <c r="U255" s="1" t="s">
        <v>74</v>
      </c>
      <c r="V255" s="1" t="s">
        <v>2424</v>
      </c>
      <c r="W255" s="1" t="s">
        <v>74</v>
      </c>
      <c r="X255" s="1" t="s">
        <v>74</v>
      </c>
      <c r="Y255" s="1" t="s">
        <v>74</v>
      </c>
      <c r="Z255" s="1" t="s">
        <v>74</v>
      </c>
      <c r="AA255" s="1" t="s">
        <v>2425</v>
      </c>
      <c r="AB255" s="1" t="s">
        <v>74</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750</v>
      </c>
      <c r="AP255" s="1" t="s">
        <v>74</v>
      </c>
      <c r="AQ255" s="1" t="s">
        <v>74</v>
      </c>
      <c r="AR255" s="1" t="s">
        <v>74</v>
      </c>
      <c r="AS255" s="1" t="s">
        <v>74</v>
      </c>
      <c r="AT255" s="1" t="s">
        <v>256</v>
      </c>
      <c r="AU255" s="1">
        <v>2001.0</v>
      </c>
      <c r="AV255" s="1">
        <v>46.0</v>
      </c>
      <c r="AW255" s="1">
        <v>1.0</v>
      </c>
      <c r="AX255" s="1" t="s">
        <v>74</v>
      </c>
      <c r="AY255" s="1" t="s">
        <v>74</v>
      </c>
      <c r="AZ255" s="1" t="s">
        <v>74</v>
      </c>
      <c r="BA255" s="1" t="s">
        <v>74</v>
      </c>
      <c r="BB255" s="1">
        <v>15.0</v>
      </c>
      <c r="BC255" s="1">
        <v>22.0</v>
      </c>
      <c r="BD255" s="1" t="s">
        <v>74</v>
      </c>
      <c r="BE255" s="1" t="s">
        <v>74</v>
      </c>
      <c r="BF255" s="1" t="s">
        <v>74</v>
      </c>
      <c r="BG255" s="1" t="s">
        <v>74</v>
      </c>
      <c r="BH255" s="1" t="s">
        <v>74</v>
      </c>
      <c r="BI255" s="1" t="s">
        <v>74</v>
      </c>
      <c r="BJ255" s="1" t="s">
        <v>74</v>
      </c>
      <c r="BK255" s="1" t="s">
        <v>74</v>
      </c>
      <c r="BL255" s="1" t="s">
        <v>74</v>
      </c>
      <c r="BM255" s="1" t="s">
        <v>74</v>
      </c>
      <c r="BN255" s="1" t="s">
        <v>74</v>
      </c>
      <c r="BO255" s="1" t="s">
        <v>74</v>
      </c>
      <c r="BP255" s="1" t="s">
        <v>74</v>
      </c>
      <c r="BQ255" s="1" t="s">
        <v>74</v>
      </c>
      <c r="BR255" s="1" t="s">
        <v>74</v>
      </c>
      <c r="BS255" s="1" t="s">
        <v>2426</v>
      </c>
      <c r="BT255" s="1" t="str">
        <f>HYPERLINK("https%3A%2F%2Fwww.webofscience.com%2Fwos%2Fwoscc%2Ffull-record%2FWOS:000168175900004","View Full Record in Web of Science")</f>
        <v>View Full Record in Web of Science</v>
      </c>
    </row>
    <row r="256" ht="12.75" customHeight="1">
      <c r="A256" s="1" t="s">
        <v>72</v>
      </c>
      <c r="B256" s="1" t="s">
        <v>2427</v>
      </c>
      <c r="C256" s="1" t="s">
        <v>74</v>
      </c>
      <c r="D256" s="1" t="s">
        <v>74</v>
      </c>
      <c r="E256" s="1" t="s">
        <v>74</v>
      </c>
      <c r="F256" s="1" t="s">
        <v>2427</v>
      </c>
      <c r="G256" s="1" t="s">
        <v>74</v>
      </c>
      <c r="H256" s="1" t="s">
        <v>74</v>
      </c>
      <c r="I256" s="1" t="s">
        <v>2428</v>
      </c>
      <c r="J256" s="1" t="s">
        <v>680</v>
      </c>
      <c r="K256" s="1" t="s">
        <v>74</v>
      </c>
      <c r="L256" s="1" t="s">
        <v>74</v>
      </c>
      <c r="M256" s="1" t="s">
        <v>74</v>
      </c>
      <c r="N256" s="1" t="s">
        <v>74</v>
      </c>
      <c r="O256" s="1" t="s">
        <v>74</v>
      </c>
      <c r="P256" s="1" t="s">
        <v>74</v>
      </c>
      <c r="Q256" s="1" t="s">
        <v>74</v>
      </c>
      <c r="R256" s="1" t="s">
        <v>74</v>
      </c>
      <c r="S256" s="1" t="s">
        <v>74</v>
      </c>
      <c r="T256" s="1" t="s">
        <v>74</v>
      </c>
      <c r="U256" s="1" t="s">
        <v>74</v>
      </c>
      <c r="V256" s="1" t="s">
        <v>2429</v>
      </c>
      <c r="W256" s="1" t="s">
        <v>74</v>
      </c>
      <c r="X256" s="1" t="s">
        <v>74</v>
      </c>
      <c r="Y256" s="1" t="s">
        <v>74</v>
      </c>
      <c r="Z256" s="1" t="s">
        <v>74</v>
      </c>
      <c r="AA256" s="1" t="s">
        <v>2430</v>
      </c>
      <c r="AB256" s="1" t="s">
        <v>2431</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684</v>
      </c>
      <c r="AP256" s="1" t="s">
        <v>74</v>
      </c>
      <c r="AQ256" s="1" t="s">
        <v>74</v>
      </c>
      <c r="AR256" s="1" t="s">
        <v>74</v>
      </c>
      <c r="AS256" s="1" t="s">
        <v>74</v>
      </c>
      <c r="AT256" s="1" t="s">
        <v>74</v>
      </c>
      <c r="AU256" s="1">
        <v>2001.0</v>
      </c>
      <c r="AV256" s="1">
        <v>34.0</v>
      </c>
      <c r="AW256" s="1">
        <v>2.0</v>
      </c>
      <c r="AX256" s="1" t="s">
        <v>74</v>
      </c>
      <c r="AY256" s="1" t="s">
        <v>74</v>
      </c>
      <c r="AZ256" s="1" t="s">
        <v>74</v>
      </c>
      <c r="BA256" s="1" t="s">
        <v>74</v>
      </c>
      <c r="BB256" s="1">
        <v>75.0</v>
      </c>
      <c r="BC256" s="1">
        <v>82.0</v>
      </c>
      <c r="BD256" s="1" t="s">
        <v>74</v>
      </c>
      <c r="BE256" s="1" t="s">
        <v>74</v>
      </c>
      <c r="BF256" s="1" t="s">
        <v>74</v>
      </c>
      <c r="BG256" s="1" t="s">
        <v>74</v>
      </c>
      <c r="BH256" s="1" t="s">
        <v>74</v>
      </c>
      <c r="BI256" s="1" t="s">
        <v>74</v>
      </c>
      <c r="BJ256" s="1" t="s">
        <v>74</v>
      </c>
      <c r="BK256" s="1" t="s">
        <v>74</v>
      </c>
      <c r="BL256" s="1" t="s">
        <v>74</v>
      </c>
      <c r="BM256" s="1" t="s">
        <v>74</v>
      </c>
      <c r="BN256" s="1">
        <v>1.171521E7</v>
      </c>
      <c r="BO256" s="1" t="s">
        <v>74</v>
      </c>
      <c r="BP256" s="1" t="s">
        <v>74</v>
      </c>
      <c r="BQ256" s="1" t="s">
        <v>74</v>
      </c>
      <c r="BR256" s="1" t="s">
        <v>74</v>
      </c>
      <c r="BS256" s="1" t="s">
        <v>2432</v>
      </c>
      <c r="BT256" s="1" t="str">
        <f>HYPERLINK("https%3A%2F%2Fwww.webofscience.com%2Fwos%2Fwoscc%2Ffull-record%2FWOS:000171382700005","View Full Record in Web of Science")</f>
        <v>View Full Record in Web of Science</v>
      </c>
    </row>
    <row r="257" ht="12.75" customHeight="1">
      <c r="A257" s="1" t="s">
        <v>72</v>
      </c>
      <c r="B257" s="1" t="s">
        <v>2359</v>
      </c>
      <c r="C257" s="1" t="s">
        <v>74</v>
      </c>
      <c r="D257" s="1" t="s">
        <v>74</v>
      </c>
      <c r="E257" s="1" t="s">
        <v>74</v>
      </c>
      <c r="F257" s="1" t="s">
        <v>2433</v>
      </c>
      <c r="G257" s="1" t="s">
        <v>74</v>
      </c>
      <c r="H257" s="1" t="s">
        <v>74</v>
      </c>
      <c r="I257" s="1" t="s">
        <v>2434</v>
      </c>
      <c r="J257" s="1" t="s">
        <v>2435</v>
      </c>
      <c r="K257" s="1" t="s">
        <v>74</v>
      </c>
      <c r="L257" s="1" t="s">
        <v>74</v>
      </c>
      <c r="M257" s="1" t="s">
        <v>74</v>
      </c>
      <c r="N257" s="1" t="s">
        <v>74</v>
      </c>
      <c r="O257" s="1" t="s">
        <v>74</v>
      </c>
      <c r="P257" s="1" t="s">
        <v>74</v>
      </c>
      <c r="Q257" s="1" t="s">
        <v>74</v>
      </c>
      <c r="R257" s="1" t="s">
        <v>74</v>
      </c>
      <c r="S257" s="1" t="s">
        <v>74</v>
      </c>
      <c r="T257" s="1" t="s">
        <v>74</v>
      </c>
      <c r="U257" s="1" t="s">
        <v>74</v>
      </c>
      <c r="V257" s="1" t="s">
        <v>2436</v>
      </c>
      <c r="W257" s="1" t="s">
        <v>74</v>
      </c>
      <c r="X257" s="1" t="s">
        <v>74</v>
      </c>
      <c r="Y257" s="1" t="s">
        <v>74</v>
      </c>
      <c r="Z257" s="1" t="s">
        <v>74</v>
      </c>
      <c r="AA257" s="1" t="s">
        <v>2362</v>
      </c>
      <c r="AB257" s="1" t="s">
        <v>2363</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2437</v>
      </c>
      <c r="AP257" s="1" t="s">
        <v>74</v>
      </c>
      <c r="AQ257" s="1" t="s">
        <v>74</v>
      </c>
      <c r="AR257" s="1" t="s">
        <v>74</v>
      </c>
      <c r="AS257" s="1" t="s">
        <v>74</v>
      </c>
      <c r="AT257" s="1" t="s">
        <v>2438</v>
      </c>
      <c r="AU257" s="1">
        <v>2000.0</v>
      </c>
      <c r="AV257" s="1" t="s">
        <v>74</v>
      </c>
      <c r="AW257" s="1" t="s">
        <v>74</v>
      </c>
      <c r="AX257" s="1" t="s">
        <v>74</v>
      </c>
      <c r="AY257" s="1" t="s">
        <v>74</v>
      </c>
      <c r="AZ257" s="1" t="s">
        <v>74</v>
      </c>
      <c r="BA257" s="1" t="s">
        <v>74</v>
      </c>
      <c r="BB257" s="1" t="s">
        <v>74</v>
      </c>
      <c r="BC257" s="1" t="s">
        <v>74</v>
      </c>
      <c r="BD257" s="1">
        <v>50.0</v>
      </c>
      <c r="BE257" s="1" t="s">
        <v>74</v>
      </c>
      <c r="BF257" s="1" t="s">
        <v>74</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2439</v>
      </c>
      <c r="BT257" s="1" t="str">
        <f>HYPERLINK("https%3A%2F%2Fwww.webofscience.com%2Fwos%2Fwoscc%2Ffull-record%2FWOS:000208501600001","View Full Record in Web of Science")</f>
        <v>View Full Record in Web of Science</v>
      </c>
    </row>
    <row r="258" ht="12.75" customHeight="1">
      <c r="A258" s="1" t="s">
        <v>72</v>
      </c>
      <c r="B258" s="1" t="s">
        <v>2440</v>
      </c>
      <c r="C258" s="1" t="s">
        <v>74</v>
      </c>
      <c r="D258" s="1" t="s">
        <v>74</v>
      </c>
      <c r="E258" s="1" t="s">
        <v>74</v>
      </c>
      <c r="F258" s="1" t="s">
        <v>2440</v>
      </c>
      <c r="G258" s="1" t="s">
        <v>74</v>
      </c>
      <c r="H258" s="1" t="s">
        <v>74</v>
      </c>
      <c r="I258" s="1" t="s">
        <v>2441</v>
      </c>
      <c r="J258" s="1" t="s">
        <v>2442</v>
      </c>
      <c r="K258" s="1" t="s">
        <v>74</v>
      </c>
      <c r="L258" s="1" t="s">
        <v>74</v>
      </c>
      <c r="M258" s="1" t="s">
        <v>74</v>
      </c>
      <c r="N258" s="1" t="s">
        <v>74</v>
      </c>
      <c r="O258" s="1" t="s">
        <v>74</v>
      </c>
      <c r="P258" s="1" t="s">
        <v>74</v>
      </c>
      <c r="Q258" s="1" t="s">
        <v>74</v>
      </c>
      <c r="R258" s="1" t="s">
        <v>74</v>
      </c>
      <c r="S258" s="1" t="s">
        <v>74</v>
      </c>
      <c r="T258" s="1" t="s">
        <v>74</v>
      </c>
      <c r="U258" s="1" t="s">
        <v>74</v>
      </c>
      <c r="V258" s="1" t="s">
        <v>2443</v>
      </c>
      <c r="W258" s="1" t="s">
        <v>74</v>
      </c>
      <c r="X258" s="1" t="s">
        <v>74</v>
      </c>
      <c r="Y258" s="1" t="s">
        <v>74</v>
      </c>
      <c r="Z258" s="1" t="s">
        <v>74</v>
      </c>
      <c r="AA258" s="1" t="s">
        <v>74</v>
      </c>
      <c r="AB258" s="1" t="s">
        <v>2444</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2445</v>
      </c>
      <c r="AP258" s="1" t="s">
        <v>74</v>
      </c>
      <c r="AQ258" s="1" t="s">
        <v>74</v>
      </c>
      <c r="AR258" s="1" t="s">
        <v>74</v>
      </c>
      <c r="AS258" s="1" t="s">
        <v>74</v>
      </c>
      <c r="AT258" s="1" t="s">
        <v>818</v>
      </c>
      <c r="AU258" s="1">
        <v>2000.0</v>
      </c>
      <c r="AV258" s="1">
        <v>82.0</v>
      </c>
      <c r="AW258" s="1">
        <v>2.0</v>
      </c>
      <c r="AX258" s="1" t="s">
        <v>74</v>
      </c>
      <c r="AY258" s="1" t="s">
        <v>74</v>
      </c>
      <c r="AZ258" s="1" t="s">
        <v>74</v>
      </c>
      <c r="BA258" s="1" t="s">
        <v>74</v>
      </c>
      <c r="BB258" s="1">
        <v>123.0</v>
      </c>
      <c r="BC258" s="1">
        <v>127.0</v>
      </c>
      <c r="BD258" s="1" t="s">
        <v>74</v>
      </c>
      <c r="BE258" s="1" t="s">
        <v>2446</v>
      </c>
      <c r="BF258" s="2" t="str">
        <f>HYPERLINK("http://dx.doi.org/10.1016/S0300-9084(00)00189-9","http://dx.doi.org/10.1016/S0300-9084(00)00189-9")</f>
        <v>http://dx.doi.org/10.1016/S0300-9084(00)00189-9</v>
      </c>
      <c r="BG258" s="1" t="s">
        <v>74</v>
      </c>
      <c r="BH258" s="1" t="s">
        <v>74</v>
      </c>
      <c r="BI258" s="1" t="s">
        <v>74</v>
      </c>
      <c r="BJ258" s="1" t="s">
        <v>74</v>
      </c>
      <c r="BK258" s="1" t="s">
        <v>74</v>
      </c>
      <c r="BL258" s="1" t="s">
        <v>74</v>
      </c>
      <c r="BM258" s="1" t="s">
        <v>74</v>
      </c>
      <c r="BN258" s="1">
        <v>1.0727767E7</v>
      </c>
      <c r="BO258" s="1" t="s">
        <v>74</v>
      </c>
      <c r="BP258" s="1" t="s">
        <v>74</v>
      </c>
      <c r="BQ258" s="1" t="s">
        <v>74</v>
      </c>
      <c r="BR258" s="1" t="s">
        <v>74</v>
      </c>
      <c r="BS258" s="1" t="s">
        <v>2447</v>
      </c>
      <c r="BT258" s="1" t="str">
        <f>HYPERLINK("https%3A%2F%2Fwww.webofscience.com%2Fwos%2Fwoscc%2Ffull-record%2FWOS:000086197600004","View Full Record in Web of Science")</f>
        <v>View Full Record in Web of Science</v>
      </c>
    </row>
    <row r="259" ht="12.75" customHeight="1">
      <c r="A259" s="1" t="s">
        <v>72</v>
      </c>
      <c r="B259" s="1" t="s">
        <v>2448</v>
      </c>
      <c r="C259" s="1" t="s">
        <v>74</v>
      </c>
      <c r="D259" s="1" t="s">
        <v>74</v>
      </c>
      <c r="E259" s="1" t="s">
        <v>74</v>
      </c>
      <c r="F259" s="1" t="s">
        <v>2448</v>
      </c>
      <c r="G259" s="1" t="s">
        <v>74</v>
      </c>
      <c r="H259" s="1" t="s">
        <v>74</v>
      </c>
      <c r="I259" s="1" t="s">
        <v>2449</v>
      </c>
      <c r="J259" s="1" t="s">
        <v>1699</v>
      </c>
      <c r="K259" s="1" t="s">
        <v>74</v>
      </c>
      <c r="L259" s="1" t="s">
        <v>74</v>
      </c>
      <c r="M259" s="1" t="s">
        <v>74</v>
      </c>
      <c r="N259" s="1" t="s">
        <v>74</v>
      </c>
      <c r="O259" s="1" t="s">
        <v>74</v>
      </c>
      <c r="P259" s="1" t="s">
        <v>74</v>
      </c>
      <c r="Q259" s="1" t="s">
        <v>74</v>
      </c>
      <c r="R259" s="1" t="s">
        <v>74</v>
      </c>
      <c r="S259" s="1" t="s">
        <v>74</v>
      </c>
      <c r="T259" s="1" t="s">
        <v>74</v>
      </c>
      <c r="U259" s="1" t="s">
        <v>74</v>
      </c>
      <c r="V259" s="1" t="s">
        <v>2450</v>
      </c>
      <c r="W259" s="1" t="s">
        <v>74</v>
      </c>
      <c r="X259" s="1" t="s">
        <v>74</v>
      </c>
      <c r="Y259" s="1" t="s">
        <v>74</v>
      </c>
      <c r="Z259" s="1" t="s">
        <v>74</v>
      </c>
      <c r="AA259" s="1" t="s">
        <v>2451</v>
      </c>
      <c r="AB259" s="1" t="s">
        <v>2452</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1702</v>
      </c>
      <c r="AP259" s="1" t="s">
        <v>74</v>
      </c>
      <c r="AQ259" s="1" t="s">
        <v>74</v>
      </c>
      <c r="AR259" s="1" t="s">
        <v>74</v>
      </c>
      <c r="AS259" s="1" t="s">
        <v>74</v>
      </c>
      <c r="AT259" s="1" t="s">
        <v>123</v>
      </c>
      <c r="AU259" s="1">
        <v>2000.0</v>
      </c>
      <c r="AV259" s="1">
        <v>19.0</v>
      </c>
      <c r="AW259" s="1">
        <v>1.0</v>
      </c>
      <c r="AX259" s="1" t="s">
        <v>74</v>
      </c>
      <c r="AY259" s="1" t="s">
        <v>74</v>
      </c>
      <c r="AZ259" s="1" t="s">
        <v>74</v>
      </c>
      <c r="BA259" s="1" t="s">
        <v>74</v>
      </c>
      <c r="BB259" s="1">
        <v>67.0</v>
      </c>
      <c r="BC259" s="1">
        <v>73.0</v>
      </c>
      <c r="BD259" s="1" t="s">
        <v>74</v>
      </c>
      <c r="BE259" s="1" t="s">
        <v>2453</v>
      </c>
      <c r="BF259" s="2" t="str">
        <f>HYPERLINK("http://dx.doi.org/10.1023/A:1007099010762","http://dx.doi.org/10.1023/A:1007099010762")</f>
        <v>http://dx.doi.org/10.1023/A:1007099010762</v>
      </c>
      <c r="BG259" s="1" t="s">
        <v>74</v>
      </c>
      <c r="BH259" s="1" t="s">
        <v>74</v>
      </c>
      <c r="BI259" s="1" t="s">
        <v>74</v>
      </c>
      <c r="BJ259" s="1" t="s">
        <v>74</v>
      </c>
      <c r="BK259" s="1" t="s">
        <v>74</v>
      </c>
      <c r="BL259" s="1" t="s">
        <v>74</v>
      </c>
      <c r="BM259" s="1" t="s">
        <v>74</v>
      </c>
      <c r="BN259" s="1">
        <v>1.0882174E7</v>
      </c>
      <c r="BO259" s="1" t="s">
        <v>74</v>
      </c>
      <c r="BP259" s="1" t="s">
        <v>74</v>
      </c>
      <c r="BQ259" s="1" t="s">
        <v>74</v>
      </c>
      <c r="BR259" s="1" t="s">
        <v>74</v>
      </c>
      <c r="BS259" s="1" t="s">
        <v>2454</v>
      </c>
      <c r="BT259" s="1" t="str">
        <f>HYPERLINK("https%3A%2F%2Fwww.webofscience.com%2Fwos%2Fwoscc%2Ffull-record%2FWOS:000087777700008","View Full Record in Web of Science")</f>
        <v>View Full Record in Web of Science</v>
      </c>
    </row>
    <row r="260" ht="12.75" customHeight="1">
      <c r="A260" s="1" t="s">
        <v>72</v>
      </c>
      <c r="B260" s="1" t="s">
        <v>2455</v>
      </c>
      <c r="C260" s="1" t="s">
        <v>74</v>
      </c>
      <c r="D260" s="1" t="s">
        <v>74</v>
      </c>
      <c r="E260" s="1" t="s">
        <v>74</v>
      </c>
      <c r="F260" s="1" t="s">
        <v>2455</v>
      </c>
      <c r="G260" s="1" t="s">
        <v>74</v>
      </c>
      <c r="H260" s="1" t="s">
        <v>74</v>
      </c>
      <c r="I260" s="1" t="s">
        <v>2456</v>
      </c>
      <c r="J260" s="1" t="s">
        <v>748</v>
      </c>
      <c r="K260" s="1" t="s">
        <v>74</v>
      </c>
      <c r="L260" s="1" t="s">
        <v>74</v>
      </c>
      <c r="M260" s="1" t="s">
        <v>74</v>
      </c>
      <c r="N260" s="1" t="s">
        <v>74</v>
      </c>
      <c r="O260" s="1" t="s">
        <v>74</v>
      </c>
      <c r="P260" s="1" t="s">
        <v>74</v>
      </c>
      <c r="Q260" s="1" t="s">
        <v>74</v>
      </c>
      <c r="R260" s="1" t="s">
        <v>74</v>
      </c>
      <c r="S260" s="1" t="s">
        <v>74</v>
      </c>
      <c r="T260" s="1" t="s">
        <v>74</v>
      </c>
      <c r="U260" s="1" t="s">
        <v>74</v>
      </c>
      <c r="V260" s="1" t="s">
        <v>2457</v>
      </c>
      <c r="W260" s="1" t="s">
        <v>74</v>
      </c>
      <c r="X260" s="1" t="s">
        <v>74</v>
      </c>
      <c r="Y260" s="1" t="s">
        <v>74</v>
      </c>
      <c r="Z260" s="1" t="s">
        <v>74</v>
      </c>
      <c r="AA260" s="1" t="s">
        <v>74</v>
      </c>
      <c r="AB260" s="1" t="s">
        <v>74</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750</v>
      </c>
      <c r="AP260" s="1" t="s">
        <v>74</v>
      </c>
      <c r="AQ260" s="1" t="s">
        <v>74</v>
      </c>
      <c r="AR260" s="1" t="s">
        <v>74</v>
      </c>
      <c r="AS260" s="1" t="s">
        <v>74</v>
      </c>
      <c r="AT260" s="1" t="s">
        <v>171</v>
      </c>
      <c r="AU260" s="1">
        <v>1999.0</v>
      </c>
      <c r="AV260" s="1">
        <v>44.0</v>
      </c>
      <c r="AW260" s="1">
        <v>2.0</v>
      </c>
      <c r="AX260" s="1" t="s">
        <v>74</v>
      </c>
      <c r="AY260" s="1" t="s">
        <v>74</v>
      </c>
      <c r="AZ260" s="1" t="s">
        <v>74</v>
      </c>
      <c r="BA260" s="1" t="s">
        <v>74</v>
      </c>
      <c r="BB260" s="1">
        <v>227.0</v>
      </c>
      <c r="BC260" s="1">
        <v>231.0</v>
      </c>
      <c r="BD260" s="1" t="s">
        <v>74</v>
      </c>
      <c r="BE260" s="1" t="s">
        <v>74</v>
      </c>
      <c r="BF260" s="1" t="s">
        <v>74</v>
      </c>
      <c r="BG260" s="1" t="s">
        <v>74</v>
      </c>
      <c r="BH260" s="1" t="s">
        <v>74</v>
      </c>
      <c r="BI260" s="1" t="s">
        <v>74</v>
      </c>
      <c r="BJ260" s="1" t="s">
        <v>74</v>
      </c>
      <c r="BK260" s="1" t="s">
        <v>74</v>
      </c>
      <c r="BL260" s="1" t="s">
        <v>74</v>
      </c>
      <c r="BM260" s="1" t="s">
        <v>74</v>
      </c>
      <c r="BN260" s="1" t="s">
        <v>74</v>
      </c>
      <c r="BO260" s="1" t="s">
        <v>74</v>
      </c>
      <c r="BP260" s="1" t="s">
        <v>74</v>
      </c>
      <c r="BQ260" s="1" t="s">
        <v>74</v>
      </c>
      <c r="BR260" s="1" t="s">
        <v>74</v>
      </c>
      <c r="BS260" s="1" t="s">
        <v>2458</v>
      </c>
      <c r="BT260" s="1" t="str">
        <f>HYPERLINK("https%3A%2F%2Fwww.webofscience.com%2Fwos%2Fwoscc%2Ffull-record%2FWOS:000081380600013","View Full Record in Web of Science")</f>
        <v>View Full Record in Web of Science</v>
      </c>
    </row>
    <row r="261" ht="12.75" customHeight="1">
      <c r="A261" s="1" t="s">
        <v>126</v>
      </c>
      <c r="B261" s="1" t="s">
        <v>2459</v>
      </c>
      <c r="C261" s="1" t="s">
        <v>74</v>
      </c>
      <c r="D261" s="1" t="s">
        <v>2460</v>
      </c>
      <c r="E261" s="1" t="s">
        <v>74</v>
      </c>
      <c r="F261" s="1" t="s">
        <v>2459</v>
      </c>
      <c r="G261" s="1" t="s">
        <v>74</v>
      </c>
      <c r="H261" s="1" t="s">
        <v>74</v>
      </c>
      <c r="I261" s="1" t="s">
        <v>2461</v>
      </c>
      <c r="J261" s="1" t="s">
        <v>2462</v>
      </c>
      <c r="K261" s="1" t="s">
        <v>74</v>
      </c>
      <c r="L261" s="1" t="s">
        <v>74</v>
      </c>
      <c r="M261" s="1" t="s">
        <v>74</v>
      </c>
      <c r="N261" s="1" t="s">
        <v>74</v>
      </c>
      <c r="O261" s="1" t="s">
        <v>2463</v>
      </c>
      <c r="P261" s="1" t="s">
        <v>2464</v>
      </c>
      <c r="Q261" s="1" t="s">
        <v>2465</v>
      </c>
      <c r="R261" s="1" t="s">
        <v>2466</v>
      </c>
      <c r="S261" s="1" t="s">
        <v>74</v>
      </c>
      <c r="T261" s="1" t="s">
        <v>74</v>
      </c>
      <c r="U261" s="1" t="s">
        <v>74</v>
      </c>
      <c r="V261" s="1" t="s">
        <v>2467</v>
      </c>
      <c r="W261" s="1" t="s">
        <v>74</v>
      </c>
      <c r="X261" s="1" t="s">
        <v>74</v>
      </c>
      <c r="Y261" s="1" t="s">
        <v>74</v>
      </c>
      <c r="Z261" s="1" t="s">
        <v>74</v>
      </c>
      <c r="AA261" s="1" t="s">
        <v>74</v>
      </c>
      <c r="AB261" s="1" t="s">
        <v>74</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74</v>
      </c>
      <c r="AP261" s="1" t="s">
        <v>74</v>
      </c>
      <c r="AQ261" s="1" t="s">
        <v>2468</v>
      </c>
      <c r="AR261" s="1" t="s">
        <v>74</v>
      </c>
      <c r="AS261" s="1" t="s">
        <v>74</v>
      </c>
      <c r="AT261" s="1" t="s">
        <v>74</v>
      </c>
      <c r="AU261" s="1">
        <v>1999.0</v>
      </c>
      <c r="AV261" s="1" t="s">
        <v>74</v>
      </c>
      <c r="AW261" s="1" t="s">
        <v>74</v>
      </c>
      <c r="AX261" s="1" t="s">
        <v>74</v>
      </c>
      <c r="AY261" s="1" t="s">
        <v>74</v>
      </c>
      <c r="AZ261" s="1" t="s">
        <v>74</v>
      </c>
      <c r="BA261" s="1" t="s">
        <v>74</v>
      </c>
      <c r="BB261" s="1">
        <v>11.0</v>
      </c>
      <c r="BC261" s="1">
        <v>18.0</v>
      </c>
      <c r="BD261" s="1" t="s">
        <v>74</v>
      </c>
      <c r="BE261" s="1" t="s">
        <v>74</v>
      </c>
      <c r="BF261" s="1" t="s">
        <v>74</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2469</v>
      </c>
      <c r="BT261" s="1" t="str">
        <f>HYPERLINK("https%3A%2F%2Fwww.webofscience.com%2Fwos%2Fwoscc%2Ffull-record%2FWOS:000089217300002","View Full Record in Web of Science")</f>
        <v>View Full Record in Web of Science</v>
      </c>
    </row>
    <row r="262" ht="12.75" customHeight="1">
      <c r="A262" s="1" t="s">
        <v>126</v>
      </c>
      <c r="B262" s="1" t="s">
        <v>2459</v>
      </c>
      <c r="C262" s="1" t="s">
        <v>74</v>
      </c>
      <c r="D262" s="1" t="s">
        <v>2460</v>
      </c>
      <c r="E262" s="1" t="s">
        <v>74</v>
      </c>
      <c r="F262" s="1" t="s">
        <v>2459</v>
      </c>
      <c r="G262" s="1" t="s">
        <v>74</v>
      </c>
      <c r="H262" s="1" t="s">
        <v>74</v>
      </c>
      <c r="I262" s="1" t="s">
        <v>2470</v>
      </c>
      <c r="J262" s="1" t="s">
        <v>2462</v>
      </c>
      <c r="K262" s="1" t="s">
        <v>74</v>
      </c>
      <c r="L262" s="1" t="s">
        <v>74</v>
      </c>
      <c r="M262" s="1" t="s">
        <v>74</v>
      </c>
      <c r="N262" s="1" t="s">
        <v>74</v>
      </c>
      <c r="O262" s="1" t="s">
        <v>2463</v>
      </c>
      <c r="P262" s="1" t="s">
        <v>2464</v>
      </c>
      <c r="Q262" s="1" t="s">
        <v>2465</v>
      </c>
      <c r="R262" s="1" t="s">
        <v>2466</v>
      </c>
      <c r="S262" s="1" t="s">
        <v>74</v>
      </c>
      <c r="T262" s="1" t="s">
        <v>74</v>
      </c>
      <c r="U262" s="1" t="s">
        <v>74</v>
      </c>
      <c r="V262" s="1" t="s">
        <v>2471</v>
      </c>
      <c r="W262" s="1" t="s">
        <v>74</v>
      </c>
      <c r="X262" s="1" t="s">
        <v>74</v>
      </c>
      <c r="Y262" s="1" t="s">
        <v>74</v>
      </c>
      <c r="Z262" s="1" t="s">
        <v>74</v>
      </c>
      <c r="AA262" s="1" t="s">
        <v>74</v>
      </c>
      <c r="AB262" s="1" t="s">
        <v>74</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74</v>
      </c>
      <c r="AP262" s="1" t="s">
        <v>74</v>
      </c>
      <c r="AQ262" s="1" t="s">
        <v>2468</v>
      </c>
      <c r="AR262" s="1" t="s">
        <v>74</v>
      </c>
      <c r="AS262" s="1" t="s">
        <v>74</v>
      </c>
      <c r="AT262" s="1" t="s">
        <v>74</v>
      </c>
      <c r="AU262" s="1">
        <v>1999.0</v>
      </c>
      <c r="AV262" s="1" t="s">
        <v>74</v>
      </c>
      <c r="AW262" s="1" t="s">
        <v>74</v>
      </c>
      <c r="AX262" s="1" t="s">
        <v>74</v>
      </c>
      <c r="AY262" s="1" t="s">
        <v>74</v>
      </c>
      <c r="AZ262" s="1" t="s">
        <v>74</v>
      </c>
      <c r="BA262" s="1" t="s">
        <v>74</v>
      </c>
      <c r="BB262" s="1">
        <v>179.0</v>
      </c>
      <c r="BC262" s="1">
        <v>190.0</v>
      </c>
      <c r="BD262" s="1" t="s">
        <v>74</v>
      </c>
      <c r="BE262" s="1" t="s">
        <v>74</v>
      </c>
      <c r="BF262" s="1" t="s">
        <v>74</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2472</v>
      </c>
      <c r="BT262" s="1" t="str">
        <f>HYPERLINK("https%3A%2F%2Fwww.webofscience.com%2Fwos%2Fwoscc%2Ffull-record%2FWOS:000089217300019","View Full Record in Web of Science")</f>
        <v>View Full Record in Web of Science</v>
      </c>
    </row>
    <row r="263" ht="12.75" customHeight="1">
      <c r="A263" s="1" t="s">
        <v>72</v>
      </c>
      <c r="B263" s="1" t="s">
        <v>2473</v>
      </c>
      <c r="C263" s="1" t="s">
        <v>74</v>
      </c>
      <c r="D263" s="1" t="s">
        <v>74</v>
      </c>
      <c r="E263" s="1" t="s">
        <v>74</v>
      </c>
      <c r="F263" s="1" t="s">
        <v>2473</v>
      </c>
      <c r="G263" s="1" t="s">
        <v>74</v>
      </c>
      <c r="H263" s="1" t="s">
        <v>74</v>
      </c>
      <c r="I263" s="1" t="s">
        <v>2474</v>
      </c>
      <c r="J263" s="1" t="s">
        <v>2475</v>
      </c>
      <c r="K263" s="1" t="s">
        <v>74</v>
      </c>
      <c r="L263" s="1" t="s">
        <v>74</v>
      </c>
      <c r="M263" s="1" t="s">
        <v>74</v>
      </c>
      <c r="N263" s="1" t="s">
        <v>74</v>
      </c>
      <c r="O263" s="1" t="s">
        <v>74</v>
      </c>
      <c r="P263" s="1" t="s">
        <v>74</v>
      </c>
      <c r="Q263" s="1" t="s">
        <v>74</v>
      </c>
      <c r="R263" s="1" t="s">
        <v>74</v>
      </c>
      <c r="S263" s="1" t="s">
        <v>74</v>
      </c>
      <c r="T263" s="1" t="s">
        <v>74</v>
      </c>
      <c r="U263" s="1" t="s">
        <v>74</v>
      </c>
      <c r="V263" s="1" t="s">
        <v>2476</v>
      </c>
      <c r="W263" s="1" t="s">
        <v>74</v>
      </c>
      <c r="X263" s="1" t="s">
        <v>74</v>
      </c>
      <c r="Y263" s="1" t="s">
        <v>74</v>
      </c>
      <c r="Z263" s="1" t="s">
        <v>74</v>
      </c>
      <c r="AA263" s="1" t="s">
        <v>2477</v>
      </c>
      <c r="AB263" s="1" t="s">
        <v>2478</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2479</v>
      </c>
      <c r="AP263" s="1" t="s">
        <v>74</v>
      </c>
      <c r="AQ263" s="1" t="s">
        <v>74</v>
      </c>
      <c r="AR263" s="1" t="s">
        <v>74</v>
      </c>
      <c r="AS263" s="1" t="s">
        <v>74</v>
      </c>
      <c r="AT263" s="1" t="s">
        <v>974</v>
      </c>
      <c r="AU263" s="1">
        <v>1998.0</v>
      </c>
      <c r="AV263" s="1">
        <v>30.0</v>
      </c>
      <c r="AW263" s="1">
        <v>8.0</v>
      </c>
      <c r="AX263" s="1" t="s">
        <v>74</v>
      </c>
      <c r="AY263" s="1" t="s">
        <v>74</v>
      </c>
      <c r="AZ263" s="1" t="s">
        <v>74</v>
      </c>
      <c r="BA263" s="1" t="s">
        <v>74</v>
      </c>
      <c r="BB263" s="1">
        <v>565.0</v>
      </c>
      <c r="BC263" s="1">
        <v>570.0</v>
      </c>
      <c r="BD263" s="1" t="s">
        <v>74</v>
      </c>
      <c r="BE263" s="1" t="s">
        <v>2480</v>
      </c>
      <c r="BF263" s="2" t="str">
        <f>HYPERLINK("http://dx.doi.org/10.1002/(SICI)1097-4601(1998)30:8&lt;565::AID-KIN5&gt;3.0.CO;2-Q","http://dx.doi.org/10.1002/(SICI)1097-4601(1998)30:8&lt;565::AID-KIN5&gt;3.0.CO;2-Q")</f>
        <v>http://dx.doi.org/10.1002/(SICI)1097-4601(1998)30:8&lt;565::AID-KIN5&gt;3.0.CO;2-Q</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2481</v>
      </c>
      <c r="BT263" s="1" t="str">
        <f>HYPERLINK("https%3A%2F%2Fwww.webofscience.com%2Fwos%2Fwoscc%2Ffull-record%2FWOS:000074871100005","View Full Record in Web of Science")</f>
        <v>View Full Record in Web of Science</v>
      </c>
    </row>
    <row r="264" ht="12.75" customHeight="1">
      <c r="A264" s="1" t="s">
        <v>72</v>
      </c>
      <c r="B264" s="1" t="s">
        <v>2482</v>
      </c>
      <c r="C264" s="1" t="s">
        <v>74</v>
      </c>
      <c r="D264" s="1" t="s">
        <v>74</v>
      </c>
      <c r="E264" s="1" t="s">
        <v>74</v>
      </c>
      <c r="F264" s="1" t="s">
        <v>2482</v>
      </c>
      <c r="G264" s="1" t="s">
        <v>74</v>
      </c>
      <c r="H264" s="1" t="s">
        <v>74</v>
      </c>
      <c r="I264" s="1" t="s">
        <v>2483</v>
      </c>
      <c r="J264" s="1" t="s">
        <v>2484</v>
      </c>
      <c r="K264" s="1" t="s">
        <v>74</v>
      </c>
      <c r="L264" s="1" t="s">
        <v>74</v>
      </c>
      <c r="M264" s="1" t="s">
        <v>74</v>
      </c>
      <c r="N264" s="1" t="s">
        <v>74</v>
      </c>
      <c r="O264" s="1" t="s">
        <v>2485</v>
      </c>
      <c r="P264" s="1" t="s">
        <v>2486</v>
      </c>
      <c r="Q264" s="1" t="s">
        <v>2487</v>
      </c>
      <c r="R264" s="1" t="s">
        <v>74</v>
      </c>
      <c r="S264" s="1" t="s">
        <v>74</v>
      </c>
      <c r="T264" s="1" t="s">
        <v>74</v>
      </c>
      <c r="U264" s="1" t="s">
        <v>74</v>
      </c>
      <c r="V264" s="1" t="s">
        <v>2488</v>
      </c>
      <c r="W264" s="1" t="s">
        <v>74</v>
      </c>
      <c r="X264" s="1" t="s">
        <v>74</v>
      </c>
      <c r="Y264" s="1" t="s">
        <v>74</v>
      </c>
      <c r="Z264" s="1" t="s">
        <v>74</v>
      </c>
      <c r="AA264" s="1" t="s">
        <v>74</v>
      </c>
      <c r="AB264" s="1" t="s">
        <v>74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2489</v>
      </c>
      <c r="AP264" s="1" t="s">
        <v>2490</v>
      </c>
      <c r="AQ264" s="1" t="s">
        <v>74</v>
      </c>
      <c r="AR264" s="1" t="s">
        <v>74</v>
      </c>
      <c r="AS264" s="1" t="s">
        <v>74</v>
      </c>
      <c r="AT264" s="1" t="s">
        <v>847</v>
      </c>
      <c r="AU264" s="1">
        <v>1998.0</v>
      </c>
      <c r="AV264" s="1">
        <v>273.0</v>
      </c>
      <c r="AW264" s="1" t="s">
        <v>433</v>
      </c>
      <c r="AX264" s="1" t="s">
        <v>74</v>
      </c>
      <c r="AY264" s="1" t="s">
        <v>74</v>
      </c>
      <c r="AZ264" s="1" t="s">
        <v>74</v>
      </c>
      <c r="BA264" s="1" t="s">
        <v>74</v>
      </c>
      <c r="BB264" s="1">
        <v>191.0</v>
      </c>
      <c r="BC264" s="1">
        <v>195.0</v>
      </c>
      <c r="BD264" s="1" t="s">
        <v>74</v>
      </c>
      <c r="BE264" s="1" t="s">
        <v>2491</v>
      </c>
      <c r="BF264" s="2" t="str">
        <f>HYPERLINK("http://dx.doi.org/10.1016/S0020-1693(97)06075-1","http://dx.doi.org/10.1016/S0020-1693(97)06075-1")</f>
        <v>http://dx.doi.org/10.1016/S0020-1693(97)06075-1</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2492</v>
      </c>
      <c r="BT264" s="1" t="str">
        <f>HYPERLINK("https%3A%2F%2Fwww.webofscience.com%2Fwos%2Fwoscc%2Ffull-record%2FWOS:000073728200026","View Full Record in Web of Science")</f>
        <v>View Full Record in Web of Science</v>
      </c>
    </row>
    <row r="265" ht="12.75" customHeight="1">
      <c r="A265" s="1" t="s">
        <v>72</v>
      </c>
      <c r="B265" s="1" t="s">
        <v>2493</v>
      </c>
      <c r="C265" s="1" t="s">
        <v>74</v>
      </c>
      <c r="D265" s="1" t="s">
        <v>74</v>
      </c>
      <c r="E265" s="1" t="s">
        <v>74</v>
      </c>
      <c r="F265" s="1" t="s">
        <v>2493</v>
      </c>
      <c r="G265" s="1" t="s">
        <v>74</v>
      </c>
      <c r="H265" s="1" t="s">
        <v>74</v>
      </c>
      <c r="I265" s="1" t="s">
        <v>2494</v>
      </c>
      <c r="J265" s="1" t="s">
        <v>2495</v>
      </c>
      <c r="K265" s="1" t="s">
        <v>74</v>
      </c>
      <c r="L265" s="1" t="s">
        <v>74</v>
      </c>
      <c r="M265" s="1" t="s">
        <v>74</v>
      </c>
      <c r="N265" s="1" t="s">
        <v>74</v>
      </c>
      <c r="O265" s="1" t="s">
        <v>74</v>
      </c>
      <c r="P265" s="1" t="s">
        <v>74</v>
      </c>
      <c r="Q265" s="1" t="s">
        <v>74</v>
      </c>
      <c r="R265" s="1" t="s">
        <v>74</v>
      </c>
      <c r="S265" s="1" t="s">
        <v>74</v>
      </c>
      <c r="T265" s="1" t="s">
        <v>74</v>
      </c>
      <c r="U265" s="1" t="s">
        <v>74</v>
      </c>
      <c r="V265" s="1" t="s">
        <v>2496</v>
      </c>
      <c r="W265" s="1" t="s">
        <v>74</v>
      </c>
      <c r="X265" s="1" t="s">
        <v>74</v>
      </c>
      <c r="Y265" s="1" t="s">
        <v>74</v>
      </c>
      <c r="Z265" s="1" t="s">
        <v>74</v>
      </c>
      <c r="AA265" s="1" t="s">
        <v>74</v>
      </c>
      <c r="AB265" s="1" t="s">
        <v>74</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2497</v>
      </c>
      <c r="AP265" s="1" t="s">
        <v>2498</v>
      </c>
      <c r="AQ265" s="1" t="s">
        <v>74</v>
      </c>
      <c r="AR265" s="1" t="s">
        <v>74</v>
      </c>
      <c r="AS265" s="1" t="s">
        <v>74</v>
      </c>
      <c r="AT265" s="1" t="s">
        <v>224</v>
      </c>
      <c r="AU265" s="1">
        <v>1997.0</v>
      </c>
      <c r="AV265" s="1">
        <v>10.0</v>
      </c>
      <c r="AW265" s="1">
        <v>3.0</v>
      </c>
      <c r="AX265" s="1" t="s">
        <v>74</v>
      </c>
      <c r="AY265" s="1" t="s">
        <v>74</v>
      </c>
      <c r="AZ265" s="1" t="s">
        <v>74</v>
      </c>
      <c r="BA265" s="1" t="s">
        <v>74</v>
      </c>
      <c r="BB265" s="1">
        <v>631.0</v>
      </c>
      <c r="BC265" s="1">
        <v>654.0</v>
      </c>
      <c r="BD265" s="1" t="s">
        <v>74</v>
      </c>
      <c r="BE265" s="1" t="s">
        <v>2499</v>
      </c>
      <c r="BF265" s="2" t="str">
        <f>HYPERLINK("http://dx.doi.org/10.1088/0951-7715/10/3/004","http://dx.doi.org/10.1088/0951-7715/10/3/004")</f>
        <v>http://dx.doi.org/10.1088/0951-7715/10/3/004</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2500</v>
      </c>
      <c r="BT265" s="1" t="str">
        <f>HYPERLINK("https%3A%2F%2Fwww.webofscience.com%2Fwos%2Fwoscc%2Ffull-record%2FWOS:A1997WZ93800004","View Full Record in Web of Science")</f>
        <v>View Full Record in Web of Science</v>
      </c>
    </row>
    <row r="266" ht="12.75" customHeight="1">
      <c r="A266" s="1" t="s">
        <v>126</v>
      </c>
      <c r="B266" s="1" t="s">
        <v>2501</v>
      </c>
      <c r="C266" s="1" t="s">
        <v>74</v>
      </c>
      <c r="D266" s="1" t="s">
        <v>2502</v>
      </c>
      <c r="E266" s="1" t="s">
        <v>74</v>
      </c>
      <c r="F266" s="1" t="s">
        <v>2501</v>
      </c>
      <c r="G266" s="1" t="s">
        <v>74</v>
      </c>
      <c r="H266" s="1" t="s">
        <v>74</v>
      </c>
      <c r="I266" s="1" t="s">
        <v>2503</v>
      </c>
      <c r="J266" s="1" t="s">
        <v>2504</v>
      </c>
      <c r="K266" s="1" t="s">
        <v>74</v>
      </c>
      <c r="L266" s="1" t="s">
        <v>74</v>
      </c>
      <c r="M266" s="1" t="s">
        <v>74</v>
      </c>
      <c r="N266" s="1" t="s">
        <v>74</v>
      </c>
      <c r="O266" s="1" t="s">
        <v>2505</v>
      </c>
      <c r="P266" s="1" t="s">
        <v>2506</v>
      </c>
      <c r="Q266" s="1" t="s">
        <v>2507</v>
      </c>
      <c r="R266" s="1" t="s">
        <v>2508</v>
      </c>
      <c r="S266" s="1" t="s">
        <v>74</v>
      </c>
      <c r="T266" s="1" t="s">
        <v>74</v>
      </c>
      <c r="U266" s="1" t="s">
        <v>74</v>
      </c>
      <c r="V266" s="1" t="s">
        <v>74</v>
      </c>
      <c r="W266" s="1" t="s">
        <v>74</v>
      </c>
      <c r="X266" s="1" t="s">
        <v>74</v>
      </c>
      <c r="Y266" s="1" t="s">
        <v>74</v>
      </c>
      <c r="Z266" s="1" t="s">
        <v>74</v>
      </c>
      <c r="AA266" s="1" t="s">
        <v>74</v>
      </c>
      <c r="AB266" s="1" t="s">
        <v>74</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74</v>
      </c>
      <c r="AP266" s="1" t="s">
        <v>74</v>
      </c>
      <c r="AQ266" s="1" t="s">
        <v>2509</v>
      </c>
      <c r="AR266" s="1" t="s">
        <v>74</v>
      </c>
      <c r="AS266" s="1" t="s">
        <v>74</v>
      </c>
      <c r="AT266" s="1" t="s">
        <v>74</v>
      </c>
      <c r="AU266" s="1">
        <v>1996.0</v>
      </c>
      <c r="AV266" s="1" t="s">
        <v>74</v>
      </c>
      <c r="AW266" s="1" t="s">
        <v>74</v>
      </c>
      <c r="AX266" s="1" t="s">
        <v>74</v>
      </c>
      <c r="AY266" s="1" t="s">
        <v>74</v>
      </c>
      <c r="AZ266" s="1" t="s">
        <v>74</v>
      </c>
      <c r="BA266" s="1" t="s">
        <v>74</v>
      </c>
      <c r="BB266" s="1">
        <v>427.0</v>
      </c>
      <c r="BC266" s="1">
        <v>434.0</v>
      </c>
      <c r="BD266" s="1" t="s">
        <v>74</v>
      </c>
      <c r="BE266" s="1" t="s">
        <v>74</v>
      </c>
      <c r="BF266" s="1" t="s">
        <v>74</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2510</v>
      </c>
      <c r="BT266" s="1" t="str">
        <f>HYPERLINK("https%3A%2F%2Fwww.webofscience.com%2Fwos%2Fwoscc%2Ffull-record%2FWOS:A1996BG33W00049","View Full Record in Web of Science")</f>
        <v>View Full Record in Web of Science</v>
      </c>
    </row>
    <row r="267" ht="12.75" customHeight="1">
      <c r="A267" s="1" t="s">
        <v>72</v>
      </c>
      <c r="B267" s="1" t="s">
        <v>915</v>
      </c>
      <c r="C267" s="1" t="s">
        <v>74</v>
      </c>
      <c r="D267" s="1" t="s">
        <v>74</v>
      </c>
      <c r="E267" s="1" t="s">
        <v>74</v>
      </c>
      <c r="F267" s="1" t="s">
        <v>915</v>
      </c>
      <c r="G267" s="1" t="s">
        <v>74</v>
      </c>
      <c r="H267" s="1" t="s">
        <v>74</v>
      </c>
      <c r="I267" s="1" t="s">
        <v>2511</v>
      </c>
      <c r="J267" s="1" t="s">
        <v>748</v>
      </c>
      <c r="K267" s="1" t="s">
        <v>74</v>
      </c>
      <c r="L267" s="1" t="s">
        <v>74</v>
      </c>
      <c r="M267" s="1" t="s">
        <v>74</v>
      </c>
      <c r="N267" s="1" t="s">
        <v>74</v>
      </c>
      <c r="O267" s="1" t="s">
        <v>74</v>
      </c>
      <c r="P267" s="1" t="s">
        <v>74</v>
      </c>
      <c r="Q267" s="1" t="s">
        <v>74</v>
      </c>
      <c r="R267" s="1" t="s">
        <v>74</v>
      </c>
      <c r="S267" s="1" t="s">
        <v>74</v>
      </c>
      <c r="T267" s="1" t="s">
        <v>74</v>
      </c>
      <c r="U267" s="1" t="s">
        <v>74</v>
      </c>
      <c r="V267" s="1" t="s">
        <v>2512</v>
      </c>
      <c r="W267" s="1" t="s">
        <v>74</v>
      </c>
      <c r="X267" s="1" t="s">
        <v>74</v>
      </c>
      <c r="Y267" s="1" t="s">
        <v>74</v>
      </c>
      <c r="Z267" s="1" t="s">
        <v>74</v>
      </c>
      <c r="AA267" s="1" t="s">
        <v>918</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750</v>
      </c>
      <c r="AP267" s="1" t="s">
        <v>74</v>
      </c>
      <c r="AQ267" s="1" t="s">
        <v>74</v>
      </c>
      <c r="AR267" s="1" t="s">
        <v>74</v>
      </c>
      <c r="AS267" s="1" t="s">
        <v>74</v>
      </c>
      <c r="AT267" s="1" t="s">
        <v>256</v>
      </c>
      <c r="AU267" s="1">
        <v>1995.0</v>
      </c>
      <c r="AV267" s="1">
        <v>40.0</v>
      </c>
      <c r="AW267" s="1">
        <v>1.0</v>
      </c>
      <c r="AX267" s="1" t="s">
        <v>74</v>
      </c>
      <c r="AY267" s="1" t="s">
        <v>74</v>
      </c>
      <c r="AZ267" s="1" t="s">
        <v>74</v>
      </c>
      <c r="BA267" s="1" t="s">
        <v>74</v>
      </c>
      <c r="BB267" s="1">
        <v>41.0</v>
      </c>
      <c r="BC267" s="1">
        <v>48.0</v>
      </c>
      <c r="BD267" s="1" t="s">
        <v>74</v>
      </c>
      <c r="BE267" s="1" t="s">
        <v>74</v>
      </c>
      <c r="BF267" s="1" t="s">
        <v>74</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2513</v>
      </c>
      <c r="BT267" s="1" t="str">
        <f>HYPERLINK("https%3A%2F%2Fwww.webofscience.com%2Fwos%2Fwoscc%2Ffull-record%2FWOS:A1995QV98900006","View Full Record in Web of Science")</f>
        <v>View Full Record in Web of Science</v>
      </c>
    </row>
    <row r="268" ht="12.75" customHeight="1">
      <c r="A268" s="1" t="s">
        <v>72</v>
      </c>
      <c r="B268" s="1" t="s">
        <v>1721</v>
      </c>
      <c r="C268" s="1" t="s">
        <v>74</v>
      </c>
      <c r="D268" s="1" t="s">
        <v>74</v>
      </c>
      <c r="E268" s="1" t="s">
        <v>74</v>
      </c>
      <c r="F268" s="1" t="s">
        <v>1721</v>
      </c>
      <c r="G268" s="1" t="s">
        <v>74</v>
      </c>
      <c r="H268" s="1" t="s">
        <v>74</v>
      </c>
      <c r="I268" s="1" t="s">
        <v>2514</v>
      </c>
      <c r="J268" s="1" t="s">
        <v>1723</v>
      </c>
      <c r="K268" s="1" t="s">
        <v>74</v>
      </c>
      <c r="L268" s="1" t="s">
        <v>74</v>
      </c>
      <c r="M268" s="1" t="s">
        <v>74</v>
      </c>
      <c r="N268" s="1" t="s">
        <v>74</v>
      </c>
      <c r="O268" s="1" t="s">
        <v>74</v>
      </c>
      <c r="P268" s="1" t="s">
        <v>74</v>
      </c>
      <c r="Q268" s="1" t="s">
        <v>74</v>
      </c>
      <c r="R268" s="1" t="s">
        <v>74</v>
      </c>
      <c r="S268" s="1" t="s">
        <v>74</v>
      </c>
      <c r="T268" s="1" t="s">
        <v>74</v>
      </c>
      <c r="U268" s="1" t="s">
        <v>74</v>
      </c>
      <c r="V268" s="1" t="s">
        <v>2515</v>
      </c>
      <c r="W268" s="1" t="s">
        <v>74</v>
      </c>
      <c r="X268" s="1" t="s">
        <v>74</v>
      </c>
      <c r="Y268" s="1" t="s">
        <v>74</v>
      </c>
      <c r="Z268" s="1" t="s">
        <v>74</v>
      </c>
      <c r="AA268" s="1" t="s">
        <v>74</v>
      </c>
      <c r="AB268" s="1" t="s">
        <v>74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1724</v>
      </c>
      <c r="AP268" s="1" t="s">
        <v>2516</v>
      </c>
      <c r="AQ268" s="1" t="s">
        <v>74</v>
      </c>
      <c r="AR268" s="1" t="s">
        <v>74</v>
      </c>
      <c r="AS268" s="1" t="s">
        <v>74</v>
      </c>
      <c r="AT268" s="1" t="s">
        <v>818</v>
      </c>
      <c r="AU268" s="1">
        <v>1993.0</v>
      </c>
      <c r="AV268" s="1">
        <v>5.0</v>
      </c>
      <c r="AW268" s="1">
        <v>1.0</v>
      </c>
      <c r="AX268" s="1" t="s">
        <v>74</v>
      </c>
      <c r="AY268" s="1" t="s">
        <v>74</v>
      </c>
      <c r="AZ268" s="1" t="s">
        <v>74</v>
      </c>
      <c r="BA268" s="1" t="s">
        <v>74</v>
      </c>
      <c r="BB268" s="1">
        <v>45.0</v>
      </c>
      <c r="BC268" s="1">
        <v>51.0</v>
      </c>
      <c r="BD268" s="1" t="s">
        <v>74</v>
      </c>
      <c r="BE268" s="1" t="s">
        <v>2517</v>
      </c>
      <c r="BF268" s="2" t="str">
        <f>HYPERLINK("http://dx.doi.org/10.1007/BF02182421","http://dx.doi.org/10.1007/BF02182421")</f>
        <v>http://dx.doi.org/10.1007/BF02182421</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2518</v>
      </c>
      <c r="BT268" s="1" t="str">
        <f>HYPERLINK("https%3A%2F%2Fwww.webofscience.com%2Fwos%2Fwoscc%2Ffull-record%2FWOS:A1993KQ71300006","View Full Record in Web of Science")</f>
        <v>View Full Record in Web of Science</v>
      </c>
    </row>
    <row r="269" ht="12.75" customHeight="1">
      <c r="A269" s="1" t="s">
        <v>72</v>
      </c>
      <c r="B269" s="1" t="s">
        <v>2519</v>
      </c>
      <c r="C269" s="1" t="s">
        <v>74</v>
      </c>
      <c r="D269" s="1" t="s">
        <v>74</v>
      </c>
      <c r="E269" s="1" t="s">
        <v>74</v>
      </c>
      <c r="F269" s="1" t="s">
        <v>2519</v>
      </c>
      <c r="G269" s="1" t="s">
        <v>74</v>
      </c>
      <c r="H269" s="1" t="s">
        <v>74</v>
      </c>
      <c r="I269" s="1" t="s">
        <v>2520</v>
      </c>
      <c r="J269" s="1" t="s">
        <v>765</v>
      </c>
      <c r="K269" s="1" t="s">
        <v>74</v>
      </c>
      <c r="L269" s="1" t="s">
        <v>74</v>
      </c>
      <c r="M269" s="1" t="s">
        <v>74</v>
      </c>
      <c r="N269" s="1" t="s">
        <v>74</v>
      </c>
      <c r="O269" s="1" t="s">
        <v>74</v>
      </c>
      <c r="P269" s="1" t="s">
        <v>74</v>
      </c>
      <c r="Q269" s="1" t="s">
        <v>74</v>
      </c>
      <c r="R269" s="1" t="s">
        <v>74</v>
      </c>
      <c r="S269" s="1" t="s">
        <v>74</v>
      </c>
      <c r="T269" s="1" t="s">
        <v>74</v>
      </c>
      <c r="U269" s="1" t="s">
        <v>74</v>
      </c>
      <c r="V269" s="1" t="s">
        <v>74</v>
      </c>
      <c r="W269" s="1" t="s">
        <v>74</v>
      </c>
      <c r="X269" s="1" t="s">
        <v>74</v>
      </c>
      <c r="Y269" s="1" t="s">
        <v>74</v>
      </c>
      <c r="Z269" s="1" t="s">
        <v>74</v>
      </c>
      <c r="AA269" s="1" t="s">
        <v>2521</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769</v>
      </c>
      <c r="AP269" s="1" t="s">
        <v>74</v>
      </c>
      <c r="AQ269" s="1" t="s">
        <v>74</v>
      </c>
      <c r="AR269" s="1" t="s">
        <v>74</v>
      </c>
      <c r="AS269" s="1" t="s">
        <v>74</v>
      </c>
      <c r="AT269" s="1" t="s">
        <v>2522</v>
      </c>
      <c r="AU269" s="1">
        <v>1990.0</v>
      </c>
      <c r="AV269" s="1">
        <v>291.0</v>
      </c>
      <c r="AW269" s="1" t="s">
        <v>433</v>
      </c>
      <c r="AX269" s="1" t="s">
        <v>74</v>
      </c>
      <c r="AY269" s="1" t="s">
        <v>74</v>
      </c>
      <c r="AZ269" s="1" t="s">
        <v>74</v>
      </c>
      <c r="BA269" s="1" t="s">
        <v>74</v>
      </c>
      <c r="BB269" s="1">
        <v>123.0</v>
      </c>
      <c r="BC269" s="1">
        <v>139.0</v>
      </c>
      <c r="BD269" s="1" t="s">
        <v>74</v>
      </c>
      <c r="BE269" s="1" t="s">
        <v>2523</v>
      </c>
      <c r="BF269" s="2" t="str">
        <f>HYPERLINK("http://dx.doi.org/10.1016/0022-0728(90)87181-I","http://dx.doi.org/10.1016/0022-0728(90)87181-I")</f>
        <v>http://dx.doi.org/10.1016/0022-0728(90)87181-I</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2524</v>
      </c>
      <c r="BT269" s="1" t="str">
        <f>HYPERLINK("https%3A%2F%2Fwww.webofscience.com%2Fwos%2Fwoscc%2Ffull-record%2FWOS:A1990ED40100010","View Full Record in Web of Science")</f>
        <v>View Full Record in Web of Science</v>
      </c>
    </row>
    <row r="270" ht="12.75" customHeight="1">
      <c r="A270" s="1" t="s">
        <v>72</v>
      </c>
      <c r="B270" s="1" t="s">
        <v>2525</v>
      </c>
      <c r="C270" s="1" t="s">
        <v>74</v>
      </c>
      <c r="D270" s="1" t="s">
        <v>74</v>
      </c>
      <c r="E270" s="1" t="s">
        <v>74</v>
      </c>
      <c r="F270" s="1" t="s">
        <v>2525</v>
      </c>
      <c r="G270" s="1" t="s">
        <v>74</v>
      </c>
      <c r="H270" s="1" t="s">
        <v>74</v>
      </c>
      <c r="I270" s="1" t="s">
        <v>2526</v>
      </c>
      <c r="J270" s="1" t="s">
        <v>2527</v>
      </c>
      <c r="K270" s="1" t="s">
        <v>74</v>
      </c>
      <c r="L270" s="1" t="s">
        <v>74</v>
      </c>
      <c r="M270" s="1" t="s">
        <v>74</v>
      </c>
      <c r="N270" s="1" t="s">
        <v>74</v>
      </c>
      <c r="O270" s="1" t="s">
        <v>74</v>
      </c>
      <c r="P270" s="1" t="s">
        <v>74</v>
      </c>
      <c r="Q270" s="1" t="s">
        <v>74</v>
      </c>
      <c r="R270" s="1" t="s">
        <v>74</v>
      </c>
      <c r="S270" s="1" t="s">
        <v>74</v>
      </c>
      <c r="T270" s="1" t="s">
        <v>74</v>
      </c>
      <c r="U270" s="1" t="s">
        <v>74</v>
      </c>
      <c r="V270" s="1" t="s">
        <v>2528</v>
      </c>
      <c r="W270" s="1" t="s">
        <v>74</v>
      </c>
      <c r="X270" s="1" t="s">
        <v>74</v>
      </c>
      <c r="Y270" s="1" t="s">
        <v>74</v>
      </c>
      <c r="Z270" s="1" t="s">
        <v>74</v>
      </c>
      <c r="AA270" s="1" t="s">
        <v>450</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2529</v>
      </c>
      <c r="AP270" s="1" t="s">
        <v>2530</v>
      </c>
      <c r="AQ270" s="1" t="s">
        <v>74</v>
      </c>
      <c r="AR270" s="1" t="s">
        <v>74</v>
      </c>
      <c r="AS270" s="1" t="s">
        <v>74</v>
      </c>
      <c r="AT270" s="1" t="s">
        <v>847</v>
      </c>
      <c r="AU270" s="1">
        <v>1990.0</v>
      </c>
      <c r="AV270" s="1">
        <v>29.0</v>
      </c>
      <c r="AW270" s="1">
        <v>19.0</v>
      </c>
      <c r="AX270" s="1" t="s">
        <v>74</v>
      </c>
      <c r="AY270" s="1" t="s">
        <v>74</v>
      </c>
      <c r="AZ270" s="1" t="s">
        <v>74</v>
      </c>
      <c r="BA270" s="1" t="s">
        <v>74</v>
      </c>
      <c r="BB270" s="1">
        <v>4548.0</v>
      </c>
      <c r="BC270" s="1">
        <v>4553.0</v>
      </c>
      <c r="BD270" s="1" t="s">
        <v>74</v>
      </c>
      <c r="BE270" s="1" t="s">
        <v>2531</v>
      </c>
      <c r="BF270" s="2" t="str">
        <f>HYPERLINK("http://dx.doi.org/10.1021/bi00471a007","http://dx.doi.org/10.1021/bi00471a007")</f>
        <v>http://dx.doi.org/10.1021/bi00471a007</v>
      </c>
      <c r="BG270" s="1" t="s">
        <v>74</v>
      </c>
      <c r="BH270" s="1" t="s">
        <v>74</v>
      </c>
      <c r="BI270" s="1" t="s">
        <v>74</v>
      </c>
      <c r="BJ270" s="1" t="s">
        <v>74</v>
      </c>
      <c r="BK270" s="1" t="s">
        <v>74</v>
      </c>
      <c r="BL270" s="1" t="s">
        <v>74</v>
      </c>
      <c r="BM270" s="1" t="s">
        <v>74</v>
      </c>
      <c r="BN270" s="1">
        <v>2196937.0</v>
      </c>
      <c r="BO270" s="1" t="s">
        <v>74</v>
      </c>
      <c r="BP270" s="1" t="s">
        <v>74</v>
      </c>
      <c r="BQ270" s="1" t="s">
        <v>74</v>
      </c>
      <c r="BR270" s="1" t="s">
        <v>74</v>
      </c>
      <c r="BS270" s="1" t="s">
        <v>2532</v>
      </c>
      <c r="BT270" s="1" t="str">
        <f>HYPERLINK("https%3A%2F%2Fwww.webofscience.com%2Fwos%2Fwoscc%2Ffull-record%2FWOS:A1990DD60800007","View Full Record in Web of Science")</f>
        <v>View Full Record in Web of Science</v>
      </c>
    </row>
    <row r="271" ht="12.75" customHeight="1">
      <c r="A271" s="1" t="s">
        <v>72</v>
      </c>
      <c r="B271" s="1" t="s">
        <v>2533</v>
      </c>
      <c r="C271" s="1" t="s">
        <v>74</v>
      </c>
      <c r="D271" s="1" t="s">
        <v>74</v>
      </c>
      <c r="E271" s="1" t="s">
        <v>74</v>
      </c>
      <c r="F271" s="1" t="s">
        <v>2533</v>
      </c>
      <c r="G271" s="1" t="s">
        <v>74</v>
      </c>
      <c r="H271" s="1" t="s">
        <v>74</v>
      </c>
      <c r="I271" s="1" t="s">
        <v>2534</v>
      </c>
      <c r="J271" s="1" t="s">
        <v>2535</v>
      </c>
      <c r="K271" s="1" t="s">
        <v>74</v>
      </c>
      <c r="L271" s="1" t="s">
        <v>74</v>
      </c>
      <c r="M271" s="1" t="s">
        <v>74</v>
      </c>
      <c r="N271" s="1" t="s">
        <v>74</v>
      </c>
      <c r="O271" s="1" t="s">
        <v>74</v>
      </c>
      <c r="P271" s="1" t="s">
        <v>74</v>
      </c>
      <c r="Q271" s="1" t="s">
        <v>74</v>
      </c>
      <c r="R271" s="1" t="s">
        <v>74</v>
      </c>
      <c r="S271" s="1" t="s">
        <v>74</v>
      </c>
      <c r="T271" s="1" t="s">
        <v>74</v>
      </c>
      <c r="U271" s="1" t="s">
        <v>74</v>
      </c>
      <c r="V271" s="1" t="s">
        <v>74</v>
      </c>
      <c r="W271" s="1" t="s">
        <v>74</v>
      </c>
      <c r="X271" s="1" t="s">
        <v>74</v>
      </c>
      <c r="Y271" s="1" t="s">
        <v>74</v>
      </c>
      <c r="Z271" s="1" t="s">
        <v>74</v>
      </c>
      <c r="AA271" s="1" t="s">
        <v>74</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2536</v>
      </c>
      <c r="AP271" s="1" t="s">
        <v>74</v>
      </c>
      <c r="AQ271" s="1" t="s">
        <v>74</v>
      </c>
      <c r="AR271" s="1" t="s">
        <v>74</v>
      </c>
      <c r="AS271" s="1" t="s">
        <v>74</v>
      </c>
      <c r="AT271" s="1" t="s">
        <v>2537</v>
      </c>
      <c r="AU271" s="1">
        <v>1987.0</v>
      </c>
      <c r="AV271" s="1">
        <v>20.0</v>
      </c>
      <c r="AW271" s="1" t="s">
        <v>74</v>
      </c>
      <c r="AX271" s="1">
        <v>5.0</v>
      </c>
      <c r="AY271" s="1" t="s">
        <v>74</v>
      </c>
      <c r="AZ271" s="1" t="s">
        <v>74</v>
      </c>
      <c r="BA271" s="1" t="s">
        <v>74</v>
      </c>
      <c r="BB271" s="1">
        <v>445.0</v>
      </c>
      <c r="BC271" s="1">
        <v>446.0</v>
      </c>
      <c r="BD271" s="1" t="s">
        <v>74</v>
      </c>
      <c r="BE271" s="1" t="s">
        <v>2538</v>
      </c>
      <c r="BF271" s="2" t="str">
        <f>HYPERLINK("http://dx.doi.org/10.1107/S0021889887086278","http://dx.doi.org/10.1107/S0021889887086278")</f>
        <v>http://dx.doi.org/10.1107/S0021889887086278</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2539</v>
      </c>
      <c r="BT271" s="1" t="str">
        <f>HYPERLINK("https%3A%2F%2Fwww.webofscience.com%2Fwos%2Fwoscc%2Ffull-record%2FWOS:A1987K372500027","View Full Record in Web of Science")</f>
        <v>View Full Record in Web of Science</v>
      </c>
    </row>
    <row r="272" ht="12.75" customHeight="1">
      <c r="A272" s="1" t="s">
        <v>72</v>
      </c>
      <c r="B272" s="1" t="s">
        <v>2540</v>
      </c>
      <c r="C272" s="1" t="s">
        <v>74</v>
      </c>
      <c r="D272" s="1" t="s">
        <v>74</v>
      </c>
      <c r="E272" s="1" t="s">
        <v>74</v>
      </c>
      <c r="F272" s="1" t="s">
        <v>2540</v>
      </c>
      <c r="G272" s="1" t="s">
        <v>74</v>
      </c>
      <c r="H272" s="1" t="s">
        <v>74</v>
      </c>
      <c r="I272" s="1" t="s">
        <v>2541</v>
      </c>
      <c r="J272" s="1" t="s">
        <v>2542</v>
      </c>
      <c r="K272" s="1" t="s">
        <v>74</v>
      </c>
      <c r="L272" s="1" t="s">
        <v>74</v>
      </c>
      <c r="M272" s="1" t="s">
        <v>74</v>
      </c>
      <c r="N272" s="1" t="s">
        <v>74</v>
      </c>
      <c r="O272" s="1" t="s">
        <v>74</v>
      </c>
      <c r="P272" s="1" t="s">
        <v>74</v>
      </c>
      <c r="Q272" s="1" t="s">
        <v>74</v>
      </c>
      <c r="R272" s="1" t="s">
        <v>74</v>
      </c>
      <c r="S272" s="1" t="s">
        <v>74</v>
      </c>
      <c r="T272" s="1" t="s">
        <v>74</v>
      </c>
      <c r="U272" s="1" t="s">
        <v>74</v>
      </c>
      <c r="V272" s="1" t="s">
        <v>74</v>
      </c>
      <c r="W272" s="1" t="s">
        <v>74</v>
      </c>
      <c r="X272" s="1" t="s">
        <v>74</v>
      </c>
      <c r="Y272" s="1" t="s">
        <v>74</v>
      </c>
      <c r="Z272" s="1" t="s">
        <v>74</v>
      </c>
      <c r="AA272" s="1" t="s">
        <v>74</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2543</v>
      </c>
      <c r="AP272" s="1" t="s">
        <v>74</v>
      </c>
      <c r="AQ272" s="1" t="s">
        <v>74</v>
      </c>
      <c r="AR272" s="1" t="s">
        <v>74</v>
      </c>
      <c r="AS272" s="1" t="s">
        <v>74</v>
      </c>
      <c r="AT272" s="1" t="s">
        <v>410</v>
      </c>
      <c r="AU272" s="1">
        <v>1986.0</v>
      </c>
      <c r="AV272" s="1">
        <v>102.0</v>
      </c>
      <c r="AW272" s="1">
        <v>1.0</v>
      </c>
      <c r="AX272" s="1" t="s">
        <v>74</v>
      </c>
      <c r="AY272" s="1" t="s">
        <v>74</v>
      </c>
      <c r="AZ272" s="1" t="s">
        <v>74</v>
      </c>
      <c r="BA272" s="1" t="s">
        <v>74</v>
      </c>
      <c r="BB272" s="1">
        <v>37.0</v>
      </c>
      <c r="BC272" s="1">
        <v>42.0</v>
      </c>
      <c r="BD272" s="1" t="s">
        <v>74</v>
      </c>
      <c r="BE272" s="1" t="s">
        <v>2544</v>
      </c>
      <c r="BF272" s="2" t="str">
        <f>HYPERLINK("http://dx.doi.org/10.1016/0021-9517(86)90138-7","http://dx.doi.org/10.1016/0021-9517(86)90138-7")</f>
        <v>http://dx.doi.org/10.1016/0021-9517(86)90138-7</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2545</v>
      </c>
      <c r="BT272" s="1" t="str">
        <f>HYPERLINK("https%3A%2F%2Fwww.webofscience.com%2Fwos%2Fwoscc%2Ffull-record%2FWOS:A1986E594700005","View Full Record in Web of Science")</f>
        <v>View Full Record in Web of Science</v>
      </c>
    </row>
    <row r="273" ht="12.75" customHeight="1">
      <c r="A273" s="1" t="s">
        <v>72</v>
      </c>
      <c r="B273" s="1" t="s">
        <v>2546</v>
      </c>
      <c r="C273" s="1" t="s">
        <v>74</v>
      </c>
      <c r="D273" s="1" t="s">
        <v>74</v>
      </c>
      <c r="E273" s="1" t="s">
        <v>74</v>
      </c>
      <c r="F273" s="1" t="s">
        <v>2546</v>
      </c>
      <c r="G273" s="1" t="s">
        <v>74</v>
      </c>
      <c r="H273" s="1" t="s">
        <v>74</v>
      </c>
      <c r="I273" s="1" t="s">
        <v>2547</v>
      </c>
      <c r="J273" s="1" t="s">
        <v>2548</v>
      </c>
      <c r="K273" s="1" t="s">
        <v>74</v>
      </c>
      <c r="L273" s="1" t="s">
        <v>74</v>
      </c>
      <c r="M273" s="1" t="s">
        <v>74</v>
      </c>
      <c r="N273" s="1" t="s">
        <v>74</v>
      </c>
      <c r="O273" s="1" t="s">
        <v>74</v>
      </c>
      <c r="P273" s="1" t="s">
        <v>74</v>
      </c>
      <c r="Q273" s="1" t="s">
        <v>74</v>
      </c>
      <c r="R273" s="1" t="s">
        <v>74</v>
      </c>
      <c r="S273" s="1" t="s">
        <v>74</v>
      </c>
      <c r="T273" s="1" t="s">
        <v>74</v>
      </c>
      <c r="U273" s="1" t="s">
        <v>74</v>
      </c>
      <c r="V273" s="1" t="s">
        <v>74</v>
      </c>
      <c r="W273" s="1" t="s">
        <v>74</v>
      </c>
      <c r="X273" s="1" t="s">
        <v>74</v>
      </c>
      <c r="Y273" s="1" t="s">
        <v>74</v>
      </c>
      <c r="Z273" s="1" t="s">
        <v>74</v>
      </c>
      <c r="AA273" s="1" t="s">
        <v>74</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2549</v>
      </c>
      <c r="AP273" s="1" t="s">
        <v>74</v>
      </c>
      <c r="AQ273" s="1" t="s">
        <v>74</v>
      </c>
      <c r="AR273" s="1" t="s">
        <v>74</v>
      </c>
      <c r="AS273" s="1" t="s">
        <v>74</v>
      </c>
      <c r="AT273" s="1" t="s">
        <v>74</v>
      </c>
      <c r="AU273" s="1">
        <v>1985.0</v>
      </c>
      <c r="AV273" s="1">
        <v>42.0</v>
      </c>
      <c r="AW273" s="1">
        <v>1.0</v>
      </c>
      <c r="AX273" s="1" t="s">
        <v>74</v>
      </c>
      <c r="AY273" s="1" t="s">
        <v>74</v>
      </c>
      <c r="AZ273" s="1" t="s">
        <v>74</v>
      </c>
      <c r="BA273" s="1" t="s">
        <v>74</v>
      </c>
      <c r="BB273" s="1">
        <v>71.0</v>
      </c>
      <c r="BC273" s="1">
        <v>83.0</v>
      </c>
      <c r="BD273" s="1" t="s">
        <v>74</v>
      </c>
      <c r="BE273" s="1" t="s">
        <v>2550</v>
      </c>
      <c r="BF273" s="2" t="str">
        <f>HYPERLINK("http://dx.doi.org/10.1080/00207178508933347","http://dx.doi.org/10.1080/00207178508933347")</f>
        <v>http://dx.doi.org/10.1080/00207178508933347</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2551</v>
      </c>
      <c r="BT273" s="1" t="str">
        <f>HYPERLINK("https%3A%2F%2Fwww.webofscience.com%2Fwos%2Fwoscc%2Ffull-record%2FWOS:A1985AQP5900006","View Full Record in Web of Science")</f>
        <v>View Full Record in Web of Science</v>
      </c>
    </row>
    <row r="274" ht="12.75" customHeight="1">
      <c r="A274" s="1" t="s">
        <v>72</v>
      </c>
      <c r="B274" s="1" t="s">
        <v>2552</v>
      </c>
      <c r="C274" s="1" t="s">
        <v>74</v>
      </c>
      <c r="D274" s="1" t="s">
        <v>74</v>
      </c>
      <c r="E274" s="1" t="s">
        <v>74</v>
      </c>
      <c r="F274" s="1" t="s">
        <v>2552</v>
      </c>
      <c r="G274" s="1" t="s">
        <v>74</v>
      </c>
      <c r="H274" s="1" t="s">
        <v>74</v>
      </c>
      <c r="I274" s="1" t="s">
        <v>2553</v>
      </c>
      <c r="J274" s="1" t="s">
        <v>2554</v>
      </c>
      <c r="K274" s="1" t="s">
        <v>74</v>
      </c>
      <c r="L274" s="1" t="s">
        <v>74</v>
      </c>
      <c r="M274" s="1" t="s">
        <v>74</v>
      </c>
      <c r="N274" s="1" t="s">
        <v>74</v>
      </c>
      <c r="O274" s="1" t="s">
        <v>74</v>
      </c>
      <c r="P274" s="1" t="s">
        <v>74</v>
      </c>
      <c r="Q274" s="1" t="s">
        <v>74</v>
      </c>
      <c r="R274" s="1" t="s">
        <v>74</v>
      </c>
      <c r="S274" s="1" t="s">
        <v>74</v>
      </c>
      <c r="T274" s="1" t="s">
        <v>74</v>
      </c>
      <c r="U274" s="1" t="s">
        <v>74</v>
      </c>
      <c r="V274" s="1" t="s">
        <v>74</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2555</v>
      </c>
      <c r="AP274" s="1" t="s">
        <v>74</v>
      </c>
      <c r="AQ274" s="1" t="s">
        <v>74</v>
      </c>
      <c r="AR274" s="1" t="s">
        <v>74</v>
      </c>
      <c r="AS274" s="1" t="s">
        <v>74</v>
      </c>
      <c r="AT274" s="1" t="s">
        <v>74</v>
      </c>
      <c r="AU274" s="1">
        <v>1981.0</v>
      </c>
      <c r="AV274" s="1">
        <v>89.0</v>
      </c>
      <c r="AW274" s="1">
        <v>1.0</v>
      </c>
      <c r="AX274" s="1" t="s">
        <v>74</v>
      </c>
      <c r="AY274" s="1" t="s">
        <v>74</v>
      </c>
      <c r="AZ274" s="1" t="s">
        <v>74</v>
      </c>
      <c r="BA274" s="1" t="s">
        <v>74</v>
      </c>
      <c r="BB274" s="1">
        <v>155.0</v>
      </c>
      <c r="BC274" s="1">
        <v>158.0</v>
      </c>
      <c r="BD274" s="1" t="s">
        <v>74</v>
      </c>
      <c r="BE274" s="1" t="s">
        <v>2556</v>
      </c>
      <c r="BF274" s="2" t="str">
        <f>HYPERLINK("http://dx.doi.org/10.1016/S0008-6215(00)85238-6","http://dx.doi.org/10.1016/S0008-6215(00)85238-6")</f>
        <v>http://dx.doi.org/10.1016/S0008-6215(00)85238-6</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2557</v>
      </c>
      <c r="BT274" s="1" t="str">
        <f>HYPERLINK("https%3A%2F%2Fwww.webofscience.com%2Fwos%2Fwoscc%2Ffull-record%2FWOS:A1981LG16700015","View Full Record in Web of Science")</f>
        <v>View Full Record in Web of Science</v>
      </c>
    </row>
    <row r="275" ht="12.75" customHeight="1">
      <c r="A275" s="1" t="s">
        <v>72</v>
      </c>
      <c r="B275" s="1" t="s">
        <v>2558</v>
      </c>
      <c r="C275" s="1" t="s">
        <v>74</v>
      </c>
      <c r="D275" s="1" t="s">
        <v>74</v>
      </c>
      <c r="E275" s="1" t="s">
        <v>74</v>
      </c>
      <c r="F275" s="1" t="s">
        <v>2558</v>
      </c>
      <c r="G275" s="1" t="s">
        <v>74</v>
      </c>
      <c r="H275" s="1" t="s">
        <v>74</v>
      </c>
      <c r="I275" s="1" t="s">
        <v>2559</v>
      </c>
      <c r="J275" s="1" t="s">
        <v>2560</v>
      </c>
      <c r="K275" s="1" t="s">
        <v>74</v>
      </c>
      <c r="L275" s="1" t="s">
        <v>74</v>
      </c>
      <c r="M275" s="1" t="s">
        <v>74</v>
      </c>
      <c r="N275" s="1" t="s">
        <v>74</v>
      </c>
      <c r="O275" s="1" t="s">
        <v>74</v>
      </c>
      <c r="P275" s="1" t="s">
        <v>74</v>
      </c>
      <c r="Q275" s="1" t="s">
        <v>74</v>
      </c>
      <c r="R275" s="1" t="s">
        <v>74</v>
      </c>
      <c r="S275" s="1" t="s">
        <v>74</v>
      </c>
      <c r="T275" s="1" t="s">
        <v>74</v>
      </c>
      <c r="U275" s="1" t="s">
        <v>74</v>
      </c>
      <c r="V275" s="1" t="s">
        <v>74</v>
      </c>
      <c r="W275" s="1" t="s">
        <v>74</v>
      </c>
      <c r="X275" s="1" t="s">
        <v>74</v>
      </c>
      <c r="Y275" s="1" t="s">
        <v>74</v>
      </c>
      <c r="Z275" s="1" t="s">
        <v>74</v>
      </c>
      <c r="AA275" s="1" t="s">
        <v>74</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2561</v>
      </c>
      <c r="AP275" s="1" t="s">
        <v>74</v>
      </c>
      <c r="AQ275" s="1" t="s">
        <v>74</v>
      </c>
      <c r="AR275" s="1" t="s">
        <v>74</v>
      </c>
      <c r="AS275" s="1" t="s">
        <v>74</v>
      </c>
      <c r="AT275" s="1" t="s">
        <v>74</v>
      </c>
      <c r="AU275" s="1">
        <v>1977.0</v>
      </c>
      <c r="AV275" s="1">
        <v>115.0</v>
      </c>
      <c r="AW275" s="1">
        <v>5.0</v>
      </c>
      <c r="AX275" s="1" t="s">
        <v>74</v>
      </c>
      <c r="AY275" s="1" t="s">
        <v>74</v>
      </c>
      <c r="AZ275" s="1" t="s">
        <v>74</v>
      </c>
      <c r="BA275" s="1" t="s">
        <v>74</v>
      </c>
      <c r="BB275" s="1">
        <v>889.0</v>
      </c>
      <c r="BC275" s="1">
        <v>889.0</v>
      </c>
      <c r="BD275" s="1" t="s">
        <v>74</v>
      </c>
      <c r="BE275" s="1" t="s">
        <v>74</v>
      </c>
      <c r="BF275" s="1" t="s">
        <v>74</v>
      </c>
      <c r="BG275" s="1" t="s">
        <v>74</v>
      </c>
      <c r="BH275" s="1" t="s">
        <v>74</v>
      </c>
      <c r="BI275" s="1" t="s">
        <v>74</v>
      </c>
      <c r="BJ275" s="1" t="s">
        <v>74</v>
      </c>
      <c r="BK275" s="1" t="s">
        <v>74</v>
      </c>
      <c r="BL275" s="1" t="s">
        <v>74</v>
      </c>
      <c r="BM275" s="1" t="s">
        <v>74</v>
      </c>
      <c r="BN275" s="1">
        <v>855963.0</v>
      </c>
      <c r="BO275" s="1" t="s">
        <v>74</v>
      </c>
      <c r="BP275" s="1" t="s">
        <v>74</v>
      </c>
      <c r="BQ275" s="1" t="s">
        <v>74</v>
      </c>
      <c r="BR275" s="1" t="s">
        <v>74</v>
      </c>
      <c r="BS275" s="1" t="s">
        <v>2562</v>
      </c>
      <c r="BT275" s="1" t="str">
        <f>HYPERLINK("https%3A%2F%2Fwww.webofscience.com%2Fwos%2Fwoscc%2Ffull-record%2FWOS:A1977DF78300021","View Full Record in Web of Science")</f>
        <v>View Full Record in Web of Science</v>
      </c>
    </row>
    <row r="276" ht="12.75" customHeight="1">
      <c r="A276" s="1" t="s">
        <v>72</v>
      </c>
      <c r="B276" s="1" t="s">
        <v>2563</v>
      </c>
      <c r="C276" s="1" t="s">
        <v>74</v>
      </c>
      <c r="D276" s="1" t="s">
        <v>74</v>
      </c>
      <c r="E276" s="1" t="s">
        <v>74</v>
      </c>
      <c r="F276" s="1" t="s">
        <v>2564</v>
      </c>
      <c r="G276" s="1" t="s">
        <v>74</v>
      </c>
      <c r="H276" s="1" t="s">
        <v>74</v>
      </c>
      <c r="I276" s="1" t="s">
        <v>2565</v>
      </c>
      <c r="J276" s="1" t="s">
        <v>2566</v>
      </c>
      <c r="K276" s="1" t="s">
        <v>74</v>
      </c>
      <c r="L276" s="1" t="s">
        <v>74</v>
      </c>
      <c r="M276" s="1" t="s">
        <v>74</v>
      </c>
      <c r="N276" s="1" t="s">
        <v>74</v>
      </c>
      <c r="O276" s="1" t="s">
        <v>74</v>
      </c>
      <c r="P276" s="1" t="s">
        <v>74</v>
      </c>
      <c r="Q276" s="1" t="s">
        <v>74</v>
      </c>
      <c r="R276" s="1" t="s">
        <v>74</v>
      </c>
      <c r="S276" s="1" t="s">
        <v>74</v>
      </c>
      <c r="T276" s="1" t="s">
        <v>74</v>
      </c>
      <c r="U276" s="1" t="s">
        <v>74</v>
      </c>
      <c r="V276" s="1" t="s">
        <v>2567</v>
      </c>
      <c r="W276" s="1" t="s">
        <v>74</v>
      </c>
      <c r="X276" s="1" t="s">
        <v>74</v>
      </c>
      <c r="Y276" s="1" t="s">
        <v>74</v>
      </c>
      <c r="Z276" s="1" t="s">
        <v>74</v>
      </c>
      <c r="AA276" s="1" t="s">
        <v>284</v>
      </c>
      <c r="AB276" s="1" t="s">
        <v>74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74</v>
      </c>
      <c r="AP276" s="1" t="s">
        <v>2568</v>
      </c>
      <c r="AQ276" s="1" t="s">
        <v>74</v>
      </c>
      <c r="AR276" s="1" t="s">
        <v>74</v>
      </c>
      <c r="AS276" s="1" t="s">
        <v>74</v>
      </c>
      <c r="AT276" s="1" t="s">
        <v>2569</v>
      </c>
      <c r="AU276" s="1">
        <v>2025.0</v>
      </c>
      <c r="AV276" s="1">
        <v>25.0</v>
      </c>
      <c r="AW276" s="1">
        <v>7.0</v>
      </c>
      <c r="AX276" s="1" t="s">
        <v>74</v>
      </c>
      <c r="AY276" s="1" t="s">
        <v>74</v>
      </c>
      <c r="AZ276" s="1" t="s">
        <v>74</v>
      </c>
      <c r="BA276" s="1" t="s">
        <v>74</v>
      </c>
      <c r="BB276" s="1" t="s">
        <v>74</v>
      </c>
      <c r="BC276" s="1" t="s">
        <v>74</v>
      </c>
      <c r="BD276" s="1">
        <v>2043.0</v>
      </c>
      <c r="BE276" s="1" t="s">
        <v>2570</v>
      </c>
      <c r="BF276" s="2" t="str">
        <f>HYPERLINK("http://dx.doi.org/10.3390/s25072043","http://dx.doi.org/10.3390/s25072043")</f>
        <v>http://dx.doi.org/10.3390/s25072043</v>
      </c>
      <c r="BG276" s="1" t="s">
        <v>74</v>
      </c>
      <c r="BH276" s="1" t="s">
        <v>74</v>
      </c>
      <c r="BI276" s="1" t="s">
        <v>74</v>
      </c>
      <c r="BJ276" s="1" t="s">
        <v>74</v>
      </c>
      <c r="BK276" s="1" t="s">
        <v>74</v>
      </c>
      <c r="BL276" s="1" t="s">
        <v>74</v>
      </c>
      <c r="BM276" s="1" t="s">
        <v>74</v>
      </c>
      <c r="BN276" s="1">
        <v>4.0218556E7</v>
      </c>
      <c r="BO276" s="1" t="s">
        <v>74</v>
      </c>
      <c r="BP276" s="1" t="s">
        <v>74</v>
      </c>
      <c r="BQ276" s="1" t="s">
        <v>74</v>
      </c>
      <c r="BR276" s="1" t="s">
        <v>74</v>
      </c>
      <c r="BS276" s="1" t="s">
        <v>2571</v>
      </c>
      <c r="BT276" s="1" t="str">
        <f>HYPERLINK("https%3A%2F%2Fwww.webofscience.com%2Fwos%2Fwoscc%2Ffull-record%2FWOS:001465781400001","View Full Record in Web of Science")</f>
        <v>View Full Record in Web of Science</v>
      </c>
    </row>
    <row r="277" ht="12.75" customHeight="1">
      <c r="A277" s="1" t="s">
        <v>72</v>
      </c>
      <c r="B277" s="1" t="s">
        <v>2572</v>
      </c>
      <c r="C277" s="1" t="s">
        <v>74</v>
      </c>
      <c r="D277" s="1" t="s">
        <v>74</v>
      </c>
      <c r="E277" s="1" t="s">
        <v>74</v>
      </c>
      <c r="F277" s="1" t="s">
        <v>2573</v>
      </c>
      <c r="G277" s="1" t="s">
        <v>74</v>
      </c>
      <c r="H277" s="1" t="s">
        <v>74</v>
      </c>
      <c r="I277" s="1" t="s">
        <v>2574</v>
      </c>
      <c r="J277" s="1" t="s">
        <v>2575</v>
      </c>
      <c r="K277" s="1" t="s">
        <v>74</v>
      </c>
      <c r="L277" s="1" t="s">
        <v>74</v>
      </c>
      <c r="M277" s="1" t="s">
        <v>74</v>
      </c>
      <c r="N277" s="1" t="s">
        <v>74</v>
      </c>
      <c r="O277" s="1" t="s">
        <v>74</v>
      </c>
      <c r="P277" s="1" t="s">
        <v>74</v>
      </c>
      <c r="Q277" s="1" t="s">
        <v>74</v>
      </c>
      <c r="R277" s="1" t="s">
        <v>74</v>
      </c>
      <c r="S277" s="1" t="s">
        <v>74</v>
      </c>
      <c r="T277" s="1" t="s">
        <v>74</v>
      </c>
      <c r="U277" s="1" t="s">
        <v>74</v>
      </c>
      <c r="V277" s="1" t="s">
        <v>2576</v>
      </c>
      <c r="W277" s="1" t="s">
        <v>74</v>
      </c>
      <c r="X277" s="1" t="s">
        <v>74</v>
      </c>
      <c r="Y277" s="1" t="s">
        <v>74</v>
      </c>
      <c r="Z277" s="1" t="s">
        <v>74</v>
      </c>
      <c r="AA277" s="1" t="s">
        <v>2577</v>
      </c>
      <c r="AB277" s="1" t="s">
        <v>74</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2578</v>
      </c>
      <c r="AP277" s="1" t="s">
        <v>74</v>
      </c>
      <c r="AQ277" s="1" t="s">
        <v>74</v>
      </c>
      <c r="AR277" s="1" t="s">
        <v>74</v>
      </c>
      <c r="AS277" s="1" t="s">
        <v>74</v>
      </c>
      <c r="AT277" s="1" t="s">
        <v>2579</v>
      </c>
      <c r="AU277" s="1">
        <v>2025.0</v>
      </c>
      <c r="AV277" s="1">
        <v>10.0</v>
      </c>
      <c r="AW277" s="1">
        <v>3.0</v>
      </c>
      <c r="AX277" s="1" t="s">
        <v>74</v>
      </c>
      <c r="AY277" s="1" t="s">
        <v>74</v>
      </c>
      <c r="AZ277" s="1" t="s">
        <v>74</v>
      </c>
      <c r="BA277" s="1" t="s">
        <v>74</v>
      </c>
      <c r="BB277" s="1">
        <v>2679.0</v>
      </c>
      <c r="BC277" s="1">
        <v>2687.0</v>
      </c>
      <c r="BD277" s="1" t="s">
        <v>74</v>
      </c>
      <c r="BE277" s="1" t="s">
        <v>2580</v>
      </c>
      <c r="BF277" s="2" t="str">
        <f>HYPERLINK("http://dx.doi.org/10.1021/acsomega.4c07828","http://dx.doi.org/10.1021/acsomega.4c07828")</f>
        <v>http://dx.doi.org/10.1021/acsomega.4c07828</v>
      </c>
      <c r="BG277" s="1" t="s">
        <v>74</v>
      </c>
      <c r="BH277" s="1" t="s">
        <v>1782</v>
      </c>
      <c r="BI277" s="1" t="s">
        <v>74</v>
      </c>
      <c r="BJ277" s="1" t="s">
        <v>74</v>
      </c>
      <c r="BK277" s="1" t="s">
        <v>74</v>
      </c>
      <c r="BL277" s="1" t="s">
        <v>74</v>
      </c>
      <c r="BM277" s="1" t="s">
        <v>74</v>
      </c>
      <c r="BN277" s="1">
        <v>3.9895731E7</v>
      </c>
      <c r="BO277" s="1" t="s">
        <v>74</v>
      </c>
      <c r="BP277" s="1" t="s">
        <v>74</v>
      </c>
      <c r="BQ277" s="1" t="s">
        <v>74</v>
      </c>
      <c r="BR277" s="1" t="s">
        <v>74</v>
      </c>
      <c r="BS277" s="1" t="s">
        <v>2581</v>
      </c>
      <c r="BT277" s="1" t="str">
        <f>HYPERLINK("https%3A%2F%2Fwww.webofscience.com%2Fwos%2Fwoscc%2Ffull-record%2FWOS:001395920800001","View Full Record in Web of Science")</f>
        <v>View Full Record in Web of Science</v>
      </c>
    </row>
    <row r="278" ht="12.75" customHeight="1">
      <c r="A278" s="1" t="s">
        <v>72</v>
      </c>
      <c r="B278" s="1" t="s">
        <v>2582</v>
      </c>
      <c r="C278" s="1" t="s">
        <v>74</v>
      </c>
      <c r="D278" s="1" t="s">
        <v>74</v>
      </c>
      <c r="E278" s="1" t="s">
        <v>74</v>
      </c>
      <c r="F278" s="1" t="s">
        <v>2583</v>
      </c>
      <c r="G278" s="1" t="s">
        <v>74</v>
      </c>
      <c r="H278" s="1" t="s">
        <v>74</v>
      </c>
      <c r="I278" s="1" t="s">
        <v>2584</v>
      </c>
      <c r="J278" s="1" t="s">
        <v>2585</v>
      </c>
      <c r="K278" s="1" t="s">
        <v>74</v>
      </c>
      <c r="L278" s="1" t="s">
        <v>74</v>
      </c>
      <c r="M278" s="1" t="s">
        <v>74</v>
      </c>
      <c r="N278" s="1" t="s">
        <v>74</v>
      </c>
      <c r="O278" s="1" t="s">
        <v>74</v>
      </c>
      <c r="P278" s="1" t="s">
        <v>74</v>
      </c>
      <c r="Q278" s="1" t="s">
        <v>74</v>
      </c>
      <c r="R278" s="1" t="s">
        <v>74</v>
      </c>
      <c r="S278" s="1" t="s">
        <v>74</v>
      </c>
      <c r="T278" s="1" t="s">
        <v>74</v>
      </c>
      <c r="U278" s="1" t="s">
        <v>74</v>
      </c>
      <c r="V278" s="1" t="s">
        <v>2586</v>
      </c>
      <c r="W278" s="1" t="s">
        <v>74</v>
      </c>
      <c r="X278" s="1" t="s">
        <v>74</v>
      </c>
      <c r="Y278" s="1" t="s">
        <v>74</v>
      </c>
      <c r="Z278" s="1" t="s">
        <v>74</v>
      </c>
      <c r="AA278" s="1" t="s">
        <v>284</v>
      </c>
      <c r="AB278" s="1" t="s">
        <v>2587</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74</v>
      </c>
      <c r="AP278" s="1" t="s">
        <v>2588</v>
      </c>
      <c r="AQ278" s="1" t="s">
        <v>74</v>
      </c>
      <c r="AR278" s="1" t="s">
        <v>74</v>
      </c>
      <c r="AS278" s="1" t="s">
        <v>74</v>
      </c>
      <c r="AT278" s="1" t="s">
        <v>123</v>
      </c>
      <c r="AU278" s="1">
        <v>2025.0</v>
      </c>
      <c r="AV278" s="1">
        <v>13.0</v>
      </c>
      <c r="AW278" s="1">
        <v>1.0</v>
      </c>
      <c r="AX278" s="1" t="s">
        <v>74</v>
      </c>
      <c r="AY278" s="1" t="s">
        <v>74</v>
      </c>
      <c r="AZ278" s="1" t="s">
        <v>74</v>
      </c>
      <c r="BA278" s="1" t="s">
        <v>74</v>
      </c>
      <c r="BB278" s="1" t="s">
        <v>74</v>
      </c>
      <c r="BC278" s="1" t="s">
        <v>74</v>
      </c>
      <c r="BD278" s="1">
        <v>87.0</v>
      </c>
      <c r="BE278" s="1" t="s">
        <v>2589</v>
      </c>
      <c r="BF278" s="2" t="str">
        <f>HYPERLINK("http://dx.doi.org/10.3390/pr13010087","http://dx.doi.org/10.3390/pr13010087")</f>
        <v>http://dx.doi.org/10.3390/pr13010087</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2590</v>
      </c>
      <c r="BT278" s="1" t="str">
        <f>HYPERLINK("https%3A%2F%2Fwww.webofscience.com%2Fwos%2Fwoscc%2Ffull-record%2FWOS:001403908700001","View Full Record in Web of Science")</f>
        <v>View Full Record in Web of Science</v>
      </c>
    </row>
    <row r="279" ht="12.75" customHeight="1">
      <c r="A279" s="1" t="s">
        <v>126</v>
      </c>
      <c r="B279" s="1" t="s">
        <v>2591</v>
      </c>
      <c r="C279" s="1" t="s">
        <v>74</v>
      </c>
      <c r="D279" s="1" t="s">
        <v>1840</v>
      </c>
      <c r="E279" s="1" t="s">
        <v>74</v>
      </c>
      <c r="F279" s="1" t="s">
        <v>2592</v>
      </c>
      <c r="G279" s="1" t="s">
        <v>74</v>
      </c>
      <c r="H279" s="1" t="s">
        <v>74</v>
      </c>
      <c r="I279" s="1" t="s">
        <v>2593</v>
      </c>
      <c r="J279" s="1" t="s">
        <v>2594</v>
      </c>
      <c r="K279" s="1" t="s">
        <v>1844</v>
      </c>
      <c r="L279" s="1" t="s">
        <v>74</v>
      </c>
      <c r="M279" s="1" t="s">
        <v>74</v>
      </c>
      <c r="N279" s="1" t="s">
        <v>74</v>
      </c>
      <c r="O279" s="1" t="s">
        <v>1845</v>
      </c>
      <c r="P279" s="1" t="s">
        <v>1846</v>
      </c>
      <c r="Q279" s="1" t="s">
        <v>1847</v>
      </c>
      <c r="R279" s="1" t="s">
        <v>74</v>
      </c>
      <c r="S279" s="1" t="s">
        <v>74</v>
      </c>
      <c r="T279" s="1" t="s">
        <v>74</v>
      </c>
      <c r="U279" s="1" t="s">
        <v>74</v>
      </c>
      <c r="V279" s="1" t="s">
        <v>2595</v>
      </c>
      <c r="W279" s="1" t="s">
        <v>74</v>
      </c>
      <c r="X279" s="1" t="s">
        <v>74</v>
      </c>
      <c r="Y279" s="1" t="s">
        <v>74</v>
      </c>
      <c r="Z279" s="1" t="s">
        <v>74</v>
      </c>
      <c r="AA279" s="1" t="s">
        <v>74</v>
      </c>
      <c r="AB279" s="1" t="s">
        <v>74</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1849</v>
      </c>
      <c r="AP279" s="1" t="s">
        <v>1850</v>
      </c>
      <c r="AQ279" s="1" t="s">
        <v>2596</v>
      </c>
      <c r="AR279" s="1" t="s">
        <v>74</v>
      </c>
      <c r="AS279" s="1" t="s">
        <v>74</v>
      </c>
      <c r="AT279" s="1" t="s">
        <v>74</v>
      </c>
      <c r="AU279" s="1">
        <v>2025.0</v>
      </c>
      <c r="AV279" s="1" t="s">
        <v>74</v>
      </c>
      <c r="AW279" s="1" t="s">
        <v>74</v>
      </c>
      <c r="AX279" s="1" t="s">
        <v>74</v>
      </c>
      <c r="AY279" s="1" t="s">
        <v>74</v>
      </c>
      <c r="AZ279" s="1" t="s">
        <v>74</v>
      </c>
      <c r="BA279" s="1" t="s">
        <v>74</v>
      </c>
      <c r="BB279" s="1">
        <v>541.0</v>
      </c>
      <c r="BC279" s="1">
        <v>549.0</v>
      </c>
      <c r="BD279" s="1" t="s">
        <v>74</v>
      </c>
      <c r="BE279" s="1" t="s">
        <v>2597</v>
      </c>
      <c r="BF279" s="2" t="str">
        <f>HYPERLINK("http://dx.doi.org/10.1007/978-3-031-72490-9_54","http://dx.doi.org/10.1007/978-3-031-72490-9_54")</f>
        <v>http://dx.doi.org/10.1007/978-3-031-72490-9_54</v>
      </c>
      <c r="BG279" s="1" t="s">
        <v>74</v>
      </c>
      <c r="BH279" s="1" t="s">
        <v>74</v>
      </c>
      <c r="BI279" s="1" t="s">
        <v>74</v>
      </c>
      <c r="BJ279" s="1" t="s">
        <v>74</v>
      </c>
      <c r="BK279" s="1" t="s">
        <v>74</v>
      </c>
      <c r="BL279" s="1" t="s">
        <v>74</v>
      </c>
      <c r="BM279" s="1" t="s">
        <v>74</v>
      </c>
      <c r="BN279" s="1" t="s">
        <v>74</v>
      </c>
      <c r="BO279" s="1" t="s">
        <v>74</v>
      </c>
      <c r="BP279" s="1" t="s">
        <v>74</v>
      </c>
      <c r="BQ279" s="1" t="s">
        <v>74</v>
      </c>
      <c r="BR279" s="1" t="s">
        <v>74</v>
      </c>
      <c r="BS279" s="1" t="s">
        <v>2598</v>
      </c>
      <c r="BT279" s="1" t="str">
        <f>HYPERLINK("https%3A%2F%2Fwww.webofscience.com%2Fwos%2Fwoscc%2Ffull-record%2FWOS:001460827600054","View Full Record in Web of Science")</f>
        <v>View Full Record in Web of Science</v>
      </c>
    </row>
    <row r="280" ht="12.75" customHeight="1">
      <c r="A280" s="1" t="s">
        <v>72</v>
      </c>
      <c r="B280" s="1" t="s">
        <v>2599</v>
      </c>
      <c r="C280" s="1" t="s">
        <v>74</v>
      </c>
      <c r="D280" s="1" t="s">
        <v>74</v>
      </c>
      <c r="E280" s="1" t="s">
        <v>74</v>
      </c>
      <c r="F280" s="1" t="s">
        <v>2600</v>
      </c>
      <c r="G280" s="1" t="s">
        <v>74</v>
      </c>
      <c r="H280" s="1" t="s">
        <v>74</v>
      </c>
      <c r="I280" s="1" t="s">
        <v>2601</v>
      </c>
      <c r="J280" s="1" t="s">
        <v>2602</v>
      </c>
      <c r="K280" s="1" t="s">
        <v>74</v>
      </c>
      <c r="L280" s="1" t="s">
        <v>74</v>
      </c>
      <c r="M280" s="1" t="s">
        <v>74</v>
      </c>
      <c r="N280" s="1" t="s">
        <v>74</v>
      </c>
      <c r="O280" s="1" t="s">
        <v>74</v>
      </c>
      <c r="P280" s="1" t="s">
        <v>74</v>
      </c>
      <c r="Q280" s="1" t="s">
        <v>74</v>
      </c>
      <c r="R280" s="1" t="s">
        <v>74</v>
      </c>
      <c r="S280" s="1" t="s">
        <v>74</v>
      </c>
      <c r="T280" s="1" t="s">
        <v>74</v>
      </c>
      <c r="U280" s="1" t="s">
        <v>74</v>
      </c>
      <c r="V280" s="1" t="s">
        <v>2603</v>
      </c>
      <c r="W280" s="1" t="s">
        <v>74</v>
      </c>
      <c r="X280" s="1" t="s">
        <v>74</v>
      </c>
      <c r="Y280" s="1" t="s">
        <v>74</v>
      </c>
      <c r="Z280" s="1" t="s">
        <v>74</v>
      </c>
      <c r="AA280" s="1" t="s">
        <v>2604</v>
      </c>
      <c r="AB280" s="1" t="s">
        <v>2605</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74</v>
      </c>
      <c r="AP280" s="1" t="s">
        <v>2606</v>
      </c>
      <c r="AQ280" s="1" t="s">
        <v>74</v>
      </c>
      <c r="AR280" s="1" t="s">
        <v>74</v>
      </c>
      <c r="AS280" s="1" t="s">
        <v>74</v>
      </c>
      <c r="AT280" s="1" t="s">
        <v>82</v>
      </c>
      <c r="AU280" s="1">
        <v>2024.0</v>
      </c>
      <c r="AV280" s="1">
        <v>12.0</v>
      </c>
      <c r="AW280" s="1">
        <v>23.0</v>
      </c>
      <c r="AX280" s="1" t="s">
        <v>74</v>
      </c>
      <c r="AY280" s="1" t="s">
        <v>74</v>
      </c>
      <c r="AZ280" s="1" t="s">
        <v>74</v>
      </c>
      <c r="BA280" s="1" t="s">
        <v>74</v>
      </c>
      <c r="BB280" s="1" t="s">
        <v>74</v>
      </c>
      <c r="BC280" s="1" t="s">
        <v>74</v>
      </c>
      <c r="BD280" s="1">
        <v>3700.0</v>
      </c>
      <c r="BE280" s="1" t="s">
        <v>2607</v>
      </c>
      <c r="BF280" s="2" t="str">
        <f>HYPERLINK("http://dx.doi.org/10.3390/math12233700","http://dx.doi.org/10.3390/math12233700")</f>
        <v>http://dx.doi.org/10.3390/math12233700</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2608</v>
      </c>
      <c r="BT280" s="1" t="str">
        <f>HYPERLINK("https%3A%2F%2Fwww.webofscience.com%2Fwos%2Fwoscc%2Ffull-record%2FWOS:001376341900001","View Full Record in Web of Science")</f>
        <v>View Full Record in Web of Science</v>
      </c>
    </row>
    <row r="281" ht="12.75" customHeight="1">
      <c r="A281" s="1" t="s">
        <v>72</v>
      </c>
      <c r="B281" s="1" t="s">
        <v>2609</v>
      </c>
      <c r="C281" s="1" t="s">
        <v>74</v>
      </c>
      <c r="D281" s="1" t="s">
        <v>74</v>
      </c>
      <c r="E281" s="1" t="s">
        <v>74</v>
      </c>
      <c r="F281" s="1" t="s">
        <v>2610</v>
      </c>
      <c r="G281" s="1" t="s">
        <v>74</v>
      </c>
      <c r="H281" s="1" t="s">
        <v>74</v>
      </c>
      <c r="I281" s="1" t="s">
        <v>2611</v>
      </c>
      <c r="J281" s="1" t="s">
        <v>2612</v>
      </c>
      <c r="K281" s="1" t="s">
        <v>74</v>
      </c>
      <c r="L281" s="1" t="s">
        <v>74</v>
      </c>
      <c r="M281" s="1" t="s">
        <v>74</v>
      </c>
      <c r="N281" s="1" t="s">
        <v>74</v>
      </c>
      <c r="O281" s="1" t="s">
        <v>74</v>
      </c>
      <c r="P281" s="1" t="s">
        <v>74</v>
      </c>
      <c r="Q281" s="1" t="s">
        <v>74</v>
      </c>
      <c r="R281" s="1" t="s">
        <v>74</v>
      </c>
      <c r="S281" s="1" t="s">
        <v>74</v>
      </c>
      <c r="T281" s="1" t="s">
        <v>74</v>
      </c>
      <c r="U281" s="1" t="s">
        <v>74</v>
      </c>
      <c r="V281" s="1" t="s">
        <v>2613</v>
      </c>
      <c r="W281" s="1" t="s">
        <v>74</v>
      </c>
      <c r="X281" s="1" t="s">
        <v>74</v>
      </c>
      <c r="Y281" s="1" t="s">
        <v>74</v>
      </c>
      <c r="Z281" s="1" t="s">
        <v>74</v>
      </c>
      <c r="AA281" s="1" t="s">
        <v>74</v>
      </c>
      <c r="AB281" s="1" t="s">
        <v>2614</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2615</v>
      </c>
      <c r="AP281" s="1" t="s">
        <v>2616</v>
      </c>
      <c r="AQ281" s="1" t="s">
        <v>74</v>
      </c>
      <c r="AR281" s="1" t="s">
        <v>74</v>
      </c>
      <c r="AS281" s="1" t="s">
        <v>74</v>
      </c>
      <c r="AT281" s="1" t="s">
        <v>2617</v>
      </c>
      <c r="AU281" s="1">
        <v>2024.0</v>
      </c>
      <c r="AV281" s="1" t="s">
        <v>74</v>
      </c>
      <c r="AW281" s="1" t="s">
        <v>74</v>
      </c>
      <c r="AX281" s="1" t="s">
        <v>74</v>
      </c>
      <c r="AY281" s="1" t="s">
        <v>74</v>
      </c>
      <c r="AZ281" s="1" t="s">
        <v>74</v>
      </c>
      <c r="BA281" s="1" t="s">
        <v>74</v>
      </c>
      <c r="BB281" s="1" t="s">
        <v>74</v>
      </c>
      <c r="BC281" s="1" t="s">
        <v>74</v>
      </c>
      <c r="BD281" s="1" t="s">
        <v>74</v>
      </c>
      <c r="BE281" s="1" t="s">
        <v>2618</v>
      </c>
      <c r="BF281" s="2" t="str">
        <f>HYPERLINK("http://dx.doi.org/10.1080/00036846.2024.2425862","http://dx.doi.org/10.1080/00036846.2024.2425862")</f>
        <v>http://dx.doi.org/10.1080/00036846.2024.2425862</v>
      </c>
      <c r="BG281" s="1" t="s">
        <v>74</v>
      </c>
      <c r="BH281" s="1" t="s">
        <v>1800</v>
      </c>
      <c r="BI281" s="1" t="s">
        <v>74</v>
      </c>
      <c r="BJ281" s="1" t="s">
        <v>74</v>
      </c>
      <c r="BK281" s="1" t="s">
        <v>74</v>
      </c>
      <c r="BL281" s="1" t="s">
        <v>74</v>
      </c>
      <c r="BM281" s="1" t="s">
        <v>74</v>
      </c>
      <c r="BN281" s="1" t="s">
        <v>74</v>
      </c>
      <c r="BO281" s="1" t="s">
        <v>74</v>
      </c>
      <c r="BP281" s="1" t="s">
        <v>74</v>
      </c>
      <c r="BQ281" s="1" t="s">
        <v>74</v>
      </c>
      <c r="BR281" s="1" t="s">
        <v>74</v>
      </c>
      <c r="BS281" s="1" t="s">
        <v>2619</v>
      </c>
      <c r="BT281" s="1" t="str">
        <f>HYPERLINK("https%3A%2F%2Fwww.webofscience.com%2Fwos%2Fwoscc%2Ffull-record%2FWOS:001349255300001","View Full Record in Web of Science")</f>
        <v>View Full Record in Web of Science</v>
      </c>
    </row>
    <row r="282" ht="12.75" customHeight="1">
      <c r="A282" s="1" t="s">
        <v>72</v>
      </c>
      <c r="B282" s="1" t="s">
        <v>2620</v>
      </c>
      <c r="C282" s="1" t="s">
        <v>74</v>
      </c>
      <c r="D282" s="1" t="s">
        <v>74</v>
      </c>
      <c r="E282" s="1" t="s">
        <v>74</v>
      </c>
      <c r="F282" s="1" t="s">
        <v>2621</v>
      </c>
      <c r="G282" s="1" t="s">
        <v>74</v>
      </c>
      <c r="H282" s="1" t="s">
        <v>74</v>
      </c>
      <c r="I282" s="1" t="s">
        <v>2622</v>
      </c>
      <c r="J282" s="1" t="s">
        <v>2623</v>
      </c>
      <c r="K282" s="1" t="s">
        <v>74</v>
      </c>
      <c r="L282" s="1" t="s">
        <v>74</v>
      </c>
      <c r="M282" s="1" t="s">
        <v>74</v>
      </c>
      <c r="N282" s="1" t="s">
        <v>74</v>
      </c>
      <c r="O282" s="1" t="s">
        <v>74</v>
      </c>
      <c r="P282" s="1" t="s">
        <v>74</v>
      </c>
      <c r="Q282" s="1" t="s">
        <v>74</v>
      </c>
      <c r="R282" s="1" t="s">
        <v>74</v>
      </c>
      <c r="S282" s="1" t="s">
        <v>74</v>
      </c>
      <c r="T282" s="1" t="s">
        <v>74</v>
      </c>
      <c r="U282" s="1" t="s">
        <v>74</v>
      </c>
      <c r="V282" s="1" t="s">
        <v>2624</v>
      </c>
      <c r="W282" s="1" t="s">
        <v>74</v>
      </c>
      <c r="X282" s="1" t="s">
        <v>74</v>
      </c>
      <c r="Y282" s="1" t="s">
        <v>74</v>
      </c>
      <c r="Z282" s="1" t="s">
        <v>74</v>
      </c>
      <c r="AA282" s="1" t="s">
        <v>74</v>
      </c>
      <c r="AB282" s="1" t="s">
        <v>2625</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74</v>
      </c>
      <c r="AP282" s="1" t="s">
        <v>2626</v>
      </c>
      <c r="AQ282" s="1" t="s">
        <v>74</v>
      </c>
      <c r="AR282" s="1" t="s">
        <v>74</v>
      </c>
      <c r="AS282" s="1" t="s">
        <v>74</v>
      </c>
      <c r="AT282" s="1" t="s">
        <v>91</v>
      </c>
      <c r="AU282" s="1">
        <v>2024.0</v>
      </c>
      <c r="AV282" s="1">
        <v>9.0</v>
      </c>
      <c r="AW282" s="1">
        <v>7.0</v>
      </c>
      <c r="AX282" s="1" t="s">
        <v>74</v>
      </c>
      <c r="AY282" s="1" t="s">
        <v>74</v>
      </c>
      <c r="AZ282" s="1" t="s">
        <v>74</v>
      </c>
      <c r="BA282" s="1" t="s">
        <v>74</v>
      </c>
      <c r="BB282" s="1" t="s">
        <v>74</v>
      </c>
      <c r="BC282" s="1" t="s">
        <v>74</v>
      </c>
      <c r="BD282" s="1">
        <v>85.0</v>
      </c>
      <c r="BE282" s="1" t="s">
        <v>2627</v>
      </c>
      <c r="BF282" s="2" t="str">
        <f>HYPERLINK("http://dx.doi.org/10.3390/data9070085","http://dx.doi.org/10.3390/data9070085")</f>
        <v>http://dx.doi.org/10.3390/data9070085</v>
      </c>
      <c r="BG282" s="1" t="s">
        <v>74</v>
      </c>
      <c r="BH282" s="1" t="s">
        <v>74</v>
      </c>
      <c r="BI282" s="1" t="s">
        <v>74</v>
      </c>
      <c r="BJ282" s="1" t="s">
        <v>74</v>
      </c>
      <c r="BK282" s="1" t="s">
        <v>74</v>
      </c>
      <c r="BL282" s="1" t="s">
        <v>74</v>
      </c>
      <c r="BM282" s="1" t="s">
        <v>74</v>
      </c>
      <c r="BN282" s="1" t="s">
        <v>74</v>
      </c>
      <c r="BO282" s="1" t="s">
        <v>74</v>
      </c>
      <c r="BP282" s="1" t="s">
        <v>74</v>
      </c>
      <c r="BQ282" s="1" t="s">
        <v>74</v>
      </c>
      <c r="BR282" s="1" t="s">
        <v>74</v>
      </c>
      <c r="BS282" s="1" t="s">
        <v>2628</v>
      </c>
      <c r="BT282" s="1" t="str">
        <f>HYPERLINK("https%3A%2F%2Fwww.webofscience.com%2Fwos%2Fwoscc%2Ffull-record%2FWOS:001278148700001","View Full Record in Web of Science")</f>
        <v>View Full Record in Web of Science</v>
      </c>
    </row>
    <row r="283" ht="12.75" customHeight="1">
      <c r="A283" s="1" t="s">
        <v>72</v>
      </c>
      <c r="B283" s="1" t="s">
        <v>2629</v>
      </c>
      <c r="C283" s="1" t="s">
        <v>74</v>
      </c>
      <c r="D283" s="1" t="s">
        <v>74</v>
      </c>
      <c r="E283" s="1" t="s">
        <v>74</v>
      </c>
      <c r="F283" s="1" t="s">
        <v>2630</v>
      </c>
      <c r="G283" s="1" t="s">
        <v>74</v>
      </c>
      <c r="H283" s="1" t="s">
        <v>74</v>
      </c>
      <c r="I283" s="1" t="s">
        <v>2631</v>
      </c>
      <c r="J283" s="1" t="s">
        <v>2632</v>
      </c>
      <c r="K283" s="1" t="s">
        <v>74</v>
      </c>
      <c r="L283" s="1" t="s">
        <v>74</v>
      </c>
      <c r="M283" s="1" t="s">
        <v>74</v>
      </c>
      <c r="N283" s="1" t="s">
        <v>74</v>
      </c>
      <c r="O283" s="1" t="s">
        <v>74</v>
      </c>
      <c r="P283" s="1" t="s">
        <v>74</v>
      </c>
      <c r="Q283" s="1" t="s">
        <v>74</v>
      </c>
      <c r="R283" s="1" t="s">
        <v>74</v>
      </c>
      <c r="S283" s="1" t="s">
        <v>74</v>
      </c>
      <c r="T283" s="1" t="s">
        <v>74</v>
      </c>
      <c r="U283" s="1" t="s">
        <v>74</v>
      </c>
      <c r="V283" s="1" t="s">
        <v>2633</v>
      </c>
      <c r="W283" s="1" t="s">
        <v>74</v>
      </c>
      <c r="X283" s="1" t="s">
        <v>74</v>
      </c>
      <c r="Y283" s="1" t="s">
        <v>74</v>
      </c>
      <c r="Z283" s="1" t="s">
        <v>74</v>
      </c>
      <c r="AA283" s="1" t="s">
        <v>2634</v>
      </c>
      <c r="AB283" s="1" t="s">
        <v>2635</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2636</v>
      </c>
      <c r="AP283" s="1" t="s">
        <v>2637</v>
      </c>
      <c r="AQ283" s="1" t="s">
        <v>74</v>
      </c>
      <c r="AR283" s="1" t="s">
        <v>74</v>
      </c>
      <c r="AS283" s="1" t="s">
        <v>74</v>
      </c>
      <c r="AT283" s="1" t="s">
        <v>158</v>
      </c>
      <c r="AU283" s="1">
        <v>2024.0</v>
      </c>
      <c r="AV283" s="1">
        <v>211.0</v>
      </c>
      <c r="AW283" s="1" t="s">
        <v>74</v>
      </c>
      <c r="AX283" s="1" t="s">
        <v>74</v>
      </c>
      <c r="AY283" s="1" t="s">
        <v>74</v>
      </c>
      <c r="AZ283" s="1" t="s">
        <v>74</v>
      </c>
      <c r="BA283" s="1" t="s">
        <v>74</v>
      </c>
      <c r="BB283" s="1" t="s">
        <v>74</v>
      </c>
      <c r="BC283" s="1" t="s">
        <v>74</v>
      </c>
      <c r="BD283" s="1">
        <v>106306.0</v>
      </c>
      <c r="BE283" s="1" t="s">
        <v>2638</v>
      </c>
      <c r="BF283" s="2" t="str">
        <f>HYPERLINK("http://dx.doi.org/10.1016/j.supflu.2024.106306","http://dx.doi.org/10.1016/j.supflu.2024.106306")</f>
        <v>http://dx.doi.org/10.1016/j.supflu.2024.106306</v>
      </c>
      <c r="BG283" s="1" t="s">
        <v>74</v>
      </c>
      <c r="BH283" s="1" t="s">
        <v>2639</v>
      </c>
      <c r="BI283" s="1" t="s">
        <v>74</v>
      </c>
      <c r="BJ283" s="1" t="s">
        <v>74</v>
      </c>
      <c r="BK283" s="1" t="s">
        <v>74</v>
      </c>
      <c r="BL283" s="1" t="s">
        <v>74</v>
      </c>
      <c r="BM283" s="1" t="s">
        <v>74</v>
      </c>
      <c r="BN283" s="1" t="s">
        <v>74</v>
      </c>
      <c r="BO283" s="1" t="s">
        <v>74</v>
      </c>
      <c r="BP283" s="1" t="s">
        <v>74</v>
      </c>
      <c r="BQ283" s="1" t="s">
        <v>74</v>
      </c>
      <c r="BR283" s="1" t="s">
        <v>74</v>
      </c>
      <c r="BS283" s="1" t="s">
        <v>2640</v>
      </c>
      <c r="BT283" s="1" t="str">
        <f>HYPERLINK("https%3A%2F%2Fwww.webofscience.com%2Fwos%2Fwoscc%2Ffull-record%2FWOS:001345271000001","View Full Record in Web of Science")</f>
        <v>View Full Record in Web of Science</v>
      </c>
    </row>
    <row r="284" ht="12.75" customHeight="1">
      <c r="A284" s="1" t="s">
        <v>72</v>
      </c>
      <c r="B284" s="1" t="s">
        <v>2641</v>
      </c>
      <c r="C284" s="1" t="s">
        <v>74</v>
      </c>
      <c r="D284" s="1" t="s">
        <v>74</v>
      </c>
      <c r="E284" s="1" t="s">
        <v>74</v>
      </c>
      <c r="F284" s="1" t="s">
        <v>2642</v>
      </c>
      <c r="G284" s="1" t="s">
        <v>74</v>
      </c>
      <c r="H284" s="1" t="s">
        <v>74</v>
      </c>
      <c r="I284" s="1" t="s">
        <v>2643</v>
      </c>
      <c r="J284" s="1" t="s">
        <v>2644</v>
      </c>
      <c r="K284" s="1" t="s">
        <v>74</v>
      </c>
      <c r="L284" s="1" t="s">
        <v>74</v>
      </c>
      <c r="M284" s="1" t="s">
        <v>74</v>
      </c>
      <c r="N284" s="1" t="s">
        <v>74</v>
      </c>
      <c r="O284" s="1" t="s">
        <v>74</v>
      </c>
      <c r="P284" s="1" t="s">
        <v>74</v>
      </c>
      <c r="Q284" s="1" t="s">
        <v>74</v>
      </c>
      <c r="R284" s="1" t="s">
        <v>74</v>
      </c>
      <c r="S284" s="1" t="s">
        <v>74</v>
      </c>
      <c r="T284" s="1" t="s">
        <v>74</v>
      </c>
      <c r="U284" s="1" t="s">
        <v>74</v>
      </c>
      <c r="V284" s="1" t="s">
        <v>2645</v>
      </c>
      <c r="W284" s="1" t="s">
        <v>74</v>
      </c>
      <c r="X284" s="1" t="s">
        <v>74</v>
      </c>
      <c r="Y284" s="1" t="s">
        <v>74</v>
      </c>
      <c r="Z284" s="1" t="s">
        <v>74</v>
      </c>
      <c r="AA284" s="1" t="s">
        <v>74</v>
      </c>
      <c r="AB284" s="1" t="s">
        <v>74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2646</v>
      </c>
      <c r="AP284" s="1" t="s">
        <v>2647</v>
      </c>
      <c r="AQ284" s="1" t="s">
        <v>74</v>
      </c>
      <c r="AR284" s="1" t="s">
        <v>74</v>
      </c>
      <c r="AS284" s="1" t="s">
        <v>74</v>
      </c>
      <c r="AT284" s="1" t="s">
        <v>74</v>
      </c>
      <c r="AU284" s="1">
        <v>2024.0</v>
      </c>
      <c r="AV284" s="1">
        <v>28.0</v>
      </c>
      <c r="AW284" s="1">
        <v>68.0</v>
      </c>
      <c r="AX284" s="1" t="s">
        <v>74</v>
      </c>
      <c r="AY284" s="1" t="s">
        <v>74</v>
      </c>
      <c r="AZ284" s="1" t="s">
        <v>74</v>
      </c>
      <c r="BA284" s="1" t="s">
        <v>74</v>
      </c>
      <c r="BB284" s="1">
        <v>61.0</v>
      </c>
      <c r="BC284" s="1">
        <v>74.0</v>
      </c>
      <c r="BD284" s="1" t="s">
        <v>74</v>
      </c>
      <c r="BE284" s="1" t="s">
        <v>2648</v>
      </c>
      <c r="BF284" s="2" t="str">
        <f>HYPERLINK("http://dx.doi.org/10.14198/cuid.26147","http://dx.doi.org/10.14198/cuid.26147")</f>
        <v>http://dx.doi.org/10.14198/cuid.26147</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2649</v>
      </c>
      <c r="BT284" s="1" t="str">
        <f>HYPERLINK("https%3A%2F%2Fwww.webofscience.com%2Fwos%2Fwoscc%2Ffull-record%2FWOS:001258699800005","View Full Record in Web of Science")</f>
        <v>View Full Record in Web of Science</v>
      </c>
    </row>
    <row r="285" ht="12.75" customHeight="1">
      <c r="A285" s="1" t="s">
        <v>72</v>
      </c>
      <c r="B285" s="1" t="s">
        <v>2650</v>
      </c>
      <c r="C285" s="1" t="s">
        <v>74</v>
      </c>
      <c r="D285" s="1" t="s">
        <v>74</v>
      </c>
      <c r="E285" s="1" t="s">
        <v>74</v>
      </c>
      <c r="F285" s="1" t="s">
        <v>2651</v>
      </c>
      <c r="G285" s="1" t="s">
        <v>74</v>
      </c>
      <c r="H285" s="1" t="s">
        <v>74</v>
      </c>
      <c r="I285" s="1" t="s">
        <v>2652</v>
      </c>
      <c r="J285" s="1" t="s">
        <v>2653</v>
      </c>
      <c r="K285" s="1" t="s">
        <v>74</v>
      </c>
      <c r="L285" s="1" t="s">
        <v>74</v>
      </c>
      <c r="M285" s="1" t="s">
        <v>74</v>
      </c>
      <c r="N285" s="1" t="s">
        <v>74</v>
      </c>
      <c r="O285" s="1" t="s">
        <v>74</v>
      </c>
      <c r="P285" s="1" t="s">
        <v>74</v>
      </c>
      <c r="Q285" s="1" t="s">
        <v>74</v>
      </c>
      <c r="R285" s="1" t="s">
        <v>74</v>
      </c>
      <c r="S285" s="1" t="s">
        <v>74</v>
      </c>
      <c r="T285" s="1" t="s">
        <v>74</v>
      </c>
      <c r="U285" s="1" t="s">
        <v>74</v>
      </c>
      <c r="V285" s="1" t="s">
        <v>2654</v>
      </c>
      <c r="W285" s="1" t="s">
        <v>74</v>
      </c>
      <c r="X285" s="1" t="s">
        <v>74</v>
      </c>
      <c r="Y285" s="1" t="s">
        <v>74</v>
      </c>
      <c r="Z285" s="1" t="s">
        <v>74</v>
      </c>
      <c r="AA285" s="1" t="s">
        <v>74</v>
      </c>
      <c r="AB285" s="1" t="s">
        <v>74</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2655</v>
      </c>
      <c r="AP285" s="1" t="s">
        <v>2656</v>
      </c>
      <c r="AQ285" s="1" t="s">
        <v>74</v>
      </c>
      <c r="AR285" s="1" t="s">
        <v>74</v>
      </c>
      <c r="AS285" s="1" t="s">
        <v>74</v>
      </c>
      <c r="AT285" s="1" t="s">
        <v>74</v>
      </c>
      <c r="AU285" s="1">
        <v>2023.0</v>
      </c>
      <c r="AV285" s="1">
        <v>72.0</v>
      </c>
      <c r="AW285" s="1">
        <v>183.0</v>
      </c>
      <c r="AX285" s="1" t="s">
        <v>74</v>
      </c>
      <c r="AY285" s="1" t="s">
        <v>74</v>
      </c>
      <c r="AZ285" s="1" t="s">
        <v>74</v>
      </c>
      <c r="BA285" s="1" t="s">
        <v>74</v>
      </c>
      <c r="BB285" s="1">
        <v>161.0</v>
      </c>
      <c r="BC285" s="1">
        <v>185.0</v>
      </c>
      <c r="BD285" s="1" t="s">
        <v>74</v>
      </c>
      <c r="BE285" s="1" t="s">
        <v>2657</v>
      </c>
      <c r="BF285" s="2" t="str">
        <f>HYPERLINK("http://dx.doi.org/10.15446/ideasyvalores.v73n185.93604","http://dx.doi.org/10.15446/ideasyvalores.v73n185.93604")</f>
        <v>http://dx.doi.org/10.15446/ideasyvalores.v73n185.93604</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2658</v>
      </c>
      <c r="BT285" s="1" t="str">
        <f>HYPERLINK("https%3A%2F%2Fwww.webofscience.com%2Fwos%2Fwoscc%2Ffull-record%2FWOS:001190409700008","View Full Record in Web of Science")</f>
        <v>View Full Record in Web of Science</v>
      </c>
    </row>
    <row r="286" ht="12.75" customHeight="1">
      <c r="A286" s="1" t="s">
        <v>72</v>
      </c>
      <c r="B286" s="1" t="s">
        <v>2659</v>
      </c>
      <c r="C286" s="1" t="s">
        <v>74</v>
      </c>
      <c r="D286" s="1" t="s">
        <v>74</v>
      </c>
      <c r="E286" s="1" t="s">
        <v>74</v>
      </c>
      <c r="F286" s="1" t="s">
        <v>2660</v>
      </c>
      <c r="G286" s="1" t="s">
        <v>74</v>
      </c>
      <c r="H286" s="1" t="s">
        <v>74</v>
      </c>
      <c r="I286" s="1" t="s">
        <v>2661</v>
      </c>
      <c r="J286" s="1" t="s">
        <v>2662</v>
      </c>
      <c r="K286" s="1" t="s">
        <v>74</v>
      </c>
      <c r="L286" s="1" t="s">
        <v>74</v>
      </c>
      <c r="M286" s="1" t="s">
        <v>74</v>
      </c>
      <c r="N286" s="1" t="s">
        <v>74</v>
      </c>
      <c r="O286" s="1" t="s">
        <v>74</v>
      </c>
      <c r="P286" s="1" t="s">
        <v>74</v>
      </c>
      <c r="Q286" s="1" t="s">
        <v>74</v>
      </c>
      <c r="R286" s="1" t="s">
        <v>74</v>
      </c>
      <c r="S286" s="1" t="s">
        <v>74</v>
      </c>
      <c r="T286" s="1" t="s">
        <v>74</v>
      </c>
      <c r="U286" s="1" t="s">
        <v>74</v>
      </c>
      <c r="V286" s="1" t="s">
        <v>2663</v>
      </c>
      <c r="W286" s="1" t="s">
        <v>74</v>
      </c>
      <c r="X286" s="1" t="s">
        <v>74</v>
      </c>
      <c r="Y286" s="1" t="s">
        <v>74</v>
      </c>
      <c r="Z286" s="1" t="s">
        <v>74</v>
      </c>
      <c r="AA286" s="1" t="s">
        <v>2664</v>
      </c>
      <c r="AB286" s="1" t="s">
        <v>74</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2665</v>
      </c>
      <c r="AP286" s="1" t="s">
        <v>2666</v>
      </c>
      <c r="AQ286" s="1" t="s">
        <v>74</v>
      </c>
      <c r="AR286" s="1" t="s">
        <v>74</v>
      </c>
      <c r="AS286" s="1" t="s">
        <v>74</v>
      </c>
      <c r="AT286" s="1" t="s">
        <v>2667</v>
      </c>
      <c r="AU286" s="1">
        <v>2023.0</v>
      </c>
      <c r="AV286" s="1">
        <v>330.0</v>
      </c>
      <c r="AW286" s="1" t="s">
        <v>74</v>
      </c>
      <c r="AX286" s="1" t="s">
        <v>74</v>
      </c>
      <c r="AY286" s="1" t="s">
        <v>74</v>
      </c>
      <c r="AZ286" s="1" t="s">
        <v>74</v>
      </c>
      <c r="BA286" s="1" t="s">
        <v>74</v>
      </c>
      <c r="BB286" s="1" t="s">
        <v>74</v>
      </c>
      <c r="BC286" s="1" t="s">
        <v>74</v>
      </c>
      <c r="BD286" s="1">
        <v>133389.0</v>
      </c>
      <c r="BE286" s="1" t="s">
        <v>2668</v>
      </c>
      <c r="BF286" s="2" t="str">
        <f>HYPERLINK("http://dx.doi.org/10.1016/j.matlet.2022.133389","http://dx.doi.org/10.1016/j.matlet.2022.133389")</f>
        <v>http://dx.doi.org/10.1016/j.matlet.2022.133389</v>
      </c>
      <c r="BG286" s="1" t="s">
        <v>74</v>
      </c>
      <c r="BH286" s="1" t="s">
        <v>2669</v>
      </c>
      <c r="BI286" s="1" t="s">
        <v>74</v>
      </c>
      <c r="BJ286" s="1" t="s">
        <v>74</v>
      </c>
      <c r="BK286" s="1" t="s">
        <v>74</v>
      </c>
      <c r="BL286" s="1" t="s">
        <v>74</v>
      </c>
      <c r="BM286" s="1" t="s">
        <v>74</v>
      </c>
      <c r="BN286" s="1" t="s">
        <v>74</v>
      </c>
      <c r="BO286" s="1" t="s">
        <v>74</v>
      </c>
      <c r="BP286" s="1" t="s">
        <v>74</v>
      </c>
      <c r="BQ286" s="1" t="s">
        <v>74</v>
      </c>
      <c r="BR286" s="1" t="s">
        <v>74</v>
      </c>
      <c r="BS286" s="1" t="s">
        <v>2670</v>
      </c>
      <c r="BT286" s="1" t="str">
        <f>HYPERLINK("https%3A%2F%2Fwww.webofscience.com%2Fwos%2Fwoscc%2Ffull-record%2FWOS:000878718600001","View Full Record in Web of Science")</f>
        <v>View Full Record in Web of Science</v>
      </c>
    </row>
    <row r="287" ht="12.75" customHeight="1">
      <c r="A287" s="1" t="s">
        <v>72</v>
      </c>
      <c r="B287" s="1" t="s">
        <v>2671</v>
      </c>
      <c r="C287" s="1" t="s">
        <v>74</v>
      </c>
      <c r="D287" s="1" t="s">
        <v>74</v>
      </c>
      <c r="E287" s="1" t="s">
        <v>74</v>
      </c>
      <c r="F287" s="1" t="s">
        <v>2672</v>
      </c>
      <c r="G287" s="1" t="s">
        <v>74</v>
      </c>
      <c r="H287" s="1" t="s">
        <v>74</v>
      </c>
      <c r="I287" s="1" t="s">
        <v>2673</v>
      </c>
      <c r="J287" s="1" t="s">
        <v>2566</v>
      </c>
      <c r="K287" s="1" t="s">
        <v>74</v>
      </c>
      <c r="L287" s="1" t="s">
        <v>74</v>
      </c>
      <c r="M287" s="1" t="s">
        <v>74</v>
      </c>
      <c r="N287" s="1" t="s">
        <v>74</v>
      </c>
      <c r="O287" s="1" t="s">
        <v>74</v>
      </c>
      <c r="P287" s="1" t="s">
        <v>74</v>
      </c>
      <c r="Q287" s="1" t="s">
        <v>74</v>
      </c>
      <c r="R287" s="1" t="s">
        <v>74</v>
      </c>
      <c r="S287" s="1" t="s">
        <v>74</v>
      </c>
      <c r="T287" s="1" t="s">
        <v>74</v>
      </c>
      <c r="U287" s="1" t="s">
        <v>74</v>
      </c>
      <c r="V287" s="1" t="s">
        <v>2674</v>
      </c>
      <c r="W287" s="1" t="s">
        <v>74</v>
      </c>
      <c r="X287" s="1" t="s">
        <v>74</v>
      </c>
      <c r="Y287" s="1" t="s">
        <v>74</v>
      </c>
      <c r="Z287" s="1" t="s">
        <v>74</v>
      </c>
      <c r="AA287" s="1" t="s">
        <v>74</v>
      </c>
      <c r="AB287" s="1" t="s">
        <v>2675</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74</v>
      </c>
      <c r="AP287" s="1" t="s">
        <v>2568</v>
      </c>
      <c r="AQ287" s="1" t="s">
        <v>74</v>
      </c>
      <c r="AR287" s="1" t="s">
        <v>74</v>
      </c>
      <c r="AS287" s="1" t="s">
        <v>74</v>
      </c>
      <c r="AT287" s="1" t="s">
        <v>158</v>
      </c>
      <c r="AU287" s="1">
        <v>2022.0</v>
      </c>
      <c r="AV287" s="1">
        <v>22.0</v>
      </c>
      <c r="AW287" s="1">
        <v>18.0</v>
      </c>
      <c r="AX287" s="1" t="s">
        <v>74</v>
      </c>
      <c r="AY287" s="1" t="s">
        <v>74</v>
      </c>
      <c r="AZ287" s="1" t="s">
        <v>74</v>
      </c>
      <c r="BA287" s="1" t="s">
        <v>74</v>
      </c>
      <c r="BB287" s="1" t="s">
        <v>74</v>
      </c>
      <c r="BC287" s="1" t="s">
        <v>74</v>
      </c>
      <c r="BD287" s="1">
        <v>6901.0</v>
      </c>
      <c r="BE287" s="1" t="s">
        <v>2676</v>
      </c>
      <c r="BF287" s="2" t="str">
        <f>HYPERLINK("http://dx.doi.org/10.3390/s22186901","http://dx.doi.org/10.3390/s22186901")</f>
        <v>http://dx.doi.org/10.3390/s22186901</v>
      </c>
      <c r="BG287" s="1" t="s">
        <v>74</v>
      </c>
      <c r="BH287" s="1" t="s">
        <v>74</v>
      </c>
      <c r="BI287" s="1" t="s">
        <v>74</v>
      </c>
      <c r="BJ287" s="1" t="s">
        <v>74</v>
      </c>
      <c r="BK287" s="1" t="s">
        <v>74</v>
      </c>
      <c r="BL287" s="1" t="s">
        <v>74</v>
      </c>
      <c r="BM287" s="1" t="s">
        <v>74</v>
      </c>
      <c r="BN287" s="1">
        <v>3.6146248E7</v>
      </c>
      <c r="BO287" s="1" t="s">
        <v>74</v>
      </c>
      <c r="BP287" s="1" t="s">
        <v>74</v>
      </c>
      <c r="BQ287" s="1" t="s">
        <v>74</v>
      </c>
      <c r="BR287" s="1" t="s">
        <v>74</v>
      </c>
      <c r="BS287" s="1" t="s">
        <v>2677</v>
      </c>
      <c r="BT287" s="1" t="str">
        <f>HYPERLINK("https%3A%2F%2Fwww.webofscience.com%2Fwos%2Fwoscc%2Ffull-record%2FWOS:000857104900001","View Full Record in Web of Science")</f>
        <v>View Full Record in Web of Science</v>
      </c>
    </row>
    <row r="288" ht="12.75" customHeight="1">
      <c r="A288" s="1" t="s">
        <v>72</v>
      </c>
      <c r="B288" s="1" t="s">
        <v>2678</v>
      </c>
      <c r="C288" s="1" t="s">
        <v>74</v>
      </c>
      <c r="D288" s="1" t="s">
        <v>74</v>
      </c>
      <c r="E288" s="1" t="s">
        <v>74</v>
      </c>
      <c r="F288" s="1" t="s">
        <v>2679</v>
      </c>
      <c r="G288" s="1" t="s">
        <v>74</v>
      </c>
      <c r="H288" s="1" t="s">
        <v>74</v>
      </c>
      <c r="I288" s="1" t="s">
        <v>2680</v>
      </c>
      <c r="J288" s="1" t="s">
        <v>2681</v>
      </c>
      <c r="K288" s="1" t="s">
        <v>74</v>
      </c>
      <c r="L288" s="1" t="s">
        <v>74</v>
      </c>
      <c r="M288" s="1" t="s">
        <v>74</v>
      </c>
      <c r="N288" s="1" t="s">
        <v>74</v>
      </c>
      <c r="O288" s="1" t="s">
        <v>74</v>
      </c>
      <c r="P288" s="1" t="s">
        <v>74</v>
      </c>
      <c r="Q288" s="1" t="s">
        <v>74</v>
      </c>
      <c r="R288" s="1" t="s">
        <v>74</v>
      </c>
      <c r="S288" s="1" t="s">
        <v>74</v>
      </c>
      <c r="T288" s="1" t="s">
        <v>74</v>
      </c>
      <c r="U288" s="1" t="s">
        <v>74</v>
      </c>
      <c r="V288" s="1" t="s">
        <v>2682</v>
      </c>
      <c r="W288" s="1" t="s">
        <v>74</v>
      </c>
      <c r="X288" s="1" t="s">
        <v>74</v>
      </c>
      <c r="Y288" s="1" t="s">
        <v>74</v>
      </c>
      <c r="Z288" s="1" t="s">
        <v>74</v>
      </c>
      <c r="AA288" s="1" t="s">
        <v>2683</v>
      </c>
      <c r="AB288" s="1" t="s">
        <v>2684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74</v>
      </c>
      <c r="AP288" s="1" t="s">
        <v>2685</v>
      </c>
      <c r="AQ288" s="1" t="s">
        <v>74</v>
      </c>
      <c r="AR288" s="1" t="s">
        <v>74</v>
      </c>
      <c r="AS288" s="1" t="s">
        <v>74</v>
      </c>
      <c r="AT288" s="1" t="s">
        <v>91</v>
      </c>
      <c r="AU288" s="1">
        <v>2022.0</v>
      </c>
      <c r="AV288" s="1">
        <v>14.0</v>
      </c>
      <c r="AW288" s="1">
        <v>13.0</v>
      </c>
      <c r="AX288" s="1" t="s">
        <v>74</v>
      </c>
      <c r="AY288" s="1" t="s">
        <v>74</v>
      </c>
      <c r="AZ288" s="1" t="s">
        <v>74</v>
      </c>
      <c r="BA288" s="1" t="s">
        <v>74</v>
      </c>
      <c r="BB288" s="1" t="s">
        <v>74</v>
      </c>
      <c r="BC288" s="1" t="s">
        <v>74</v>
      </c>
      <c r="BD288" s="1">
        <v>2108.0</v>
      </c>
      <c r="BE288" s="1" t="s">
        <v>2686</v>
      </c>
      <c r="BF288" s="2" t="str">
        <f>HYPERLINK("http://dx.doi.org/10.3390/w14132108","http://dx.doi.org/10.3390/w14132108")</f>
        <v>http://dx.doi.org/10.3390/w14132108</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2687</v>
      </c>
      <c r="BT288" s="1" t="str">
        <f>HYPERLINK("https%3A%2F%2Fwww.webofscience.com%2Fwos%2Fwoscc%2Ffull-record%2FWOS:000824554500001","View Full Record in Web of Science")</f>
        <v>View Full Record in Web of Science</v>
      </c>
    </row>
    <row r="289" ht="12.75" customHeight="1">
      <c r="A289" s="1" t="s">
        <v>72</v>
      </c>
      <c r="B289" s="1" t="s">
        <v>1944</v>
      </c>
      <c r="C289" s="1" t="s">
        <v>74</v>
      </c>
      <c r="D289" s="1" t="s">
        <v>74</v>
      </c>
      <c r="E289" s="1" t="s">
        <v>74</v>
      </c>
      <c r="F289" s="1" t="s">
        <v>1945</v>
      </c>
      <c r="G289" s="1" t="s">
        <v>74</v>
      </c>
      <c r="H289" s="1" t="s">
        <v>74</v>
      </c>
      <c r="I289" s="1" t="s">
        <v>2688</v>
      </c>
      <c r="J289" s="1" t="s">
        <v>1947</v>
      </c>
      <c r="K289" s="1" t="s">
        <v>74</v>
      </c>
      <c r="L289" s="1" t="s">
        <v>74</v>
      </c>
      <c r="M289" s="1" t="s">
        <v>74</v>
      </c>
      <c r="N289" s="1" t="s">
        <v>74</v>
      </c>
      <c r="O289" s="1" t="s">
        <v>74</v>
      </c>
      <c r="P289" s="1" t="s">
        <v>74</v>
      </c>
      <c r="Q289" s="1" t="s">
        <v>74</v>
      </c>
      <c r="R289" s="1" t="s">
        <v>74</v>
      </c>
      <c r="S289" s="1" t="s">
        <v>74</v>
      </c>
      <c r="T289" s="1" t="s">
        <v>74</v>
      </c>
      <c r="U289" s="1" t="s">
        <v>74</v>
      </c>
      <c r="V289" s="1" t="s">
        <v>2689</v>
      </c>
      <c r="W289" s="1" t="s">
        <v>74</v>
      </c>
      <c r="X289" s="1" t="s">
        <v>74</v>
      </c>
      <c r="Y289" s="1" t="s">
        <v>74</v>
      </c>
      <c r="Z289" s="1" t="s">
        <v>74</v>
      </c>
      <c r="AA289" s="1" t="s">
        <v>1949</v>
      </c>
      <c r="AB289" s="1" t="s">
        <v>1950</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1951</v>
      </c>
      <c r="AP289" s="1" t="s">
        <v>74</v>
      </c>
      <c r="AQ289" s="1" t="s">
        <v>74</v>
      </c>
      <c r="AR289" s="1" t="s">
        <v>74</v>
      </c>
      <c r="AS289" s="1" t="s">
        <v>74</v>
      </c>
      <c r="AT289" s="1" t="s">
        <v>2690</v>
      </c>
      <c r="AU289" s="1">
        <v>2022.0</v>
      </c>
      <c r="AV289" s="1" t="s">
        <v>74</v>
      </c>
      <c r="AW289" s="1">
        <v>1.0</v>
      </c>
      <c r="AX289" s="1" t="s">
        <v>74</v>
      </c>
      <c r="AY289" s="1" t="s">
        <v>74</v>
      </c>
      <c r="AZ289" s="1" t="s">
        <v>74</v>
      </c>
      <c r="BA289" s="1" t="s">
        <v>74</v>
      </c>
      <c r="BB289" s="1" t="s">
        <v>74</v>
      </c>
      <c r="BC289" s="1" t="s">
        <v>74</v>
      </c>
      <c r="BD289" s="1">
        <v>179.0</v>
      </c>
      <c r="BE289" s="1" t="s">
        <v>2691</v>
      </c>
      <c r="BF289" s="2" t="str">
        <f>HYPERLINK("http://dx.doi.org/10.1007/JHEP01(2022)179","http://dx.doi.org/10.1007/JHEP01(2022)179")</f>
        <v>http://dx.doi.org/10.1007/JHEP01(2022)179</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2692</v>
      </c>
      <c r="BT289" s="1" t="str">
        <f>HYPERLINK("https%3A%2F%2Fwww.webofscience.com%2Fwos%2Fwoscc%2Ffull-record%2FWOS:000748250900003","View Full Record in Web of Science")</f>
        <v>View Full Record in Web of Science</v>
      </c>
    </row>
    <row r="290" ht="12.75" customHeight="1">
      <c r="A290" s="1" t="s">
        <v>72</v>
      </c>
      <c r="B290" s="1" t="s">
        <v>1904</v>
      </c>
      <c r="C290" s="1" t="s">
        <v>74</v>
      </c>
      <c r="D290" s="1" t="s">
        <v>74</v>
      </c>
      <c r="E290" s="1" t="s">
        <v>74</v>
      </c>
      <c r="F290" s="1" t="s">
        <v>2693</v>
      </c>
      <c r="G290" s="1" t="s">
        <v>74</v>
      </c>
      <c r="H290" s="1" t="s">
        <v>74</v>
      </c>
      <c r="I290" s="1" t="s">
        <v>2694</v>
      </c>
      <c r="J290" s="1" t="s">
        <v>2695</v>
      </c>
      <c r="K290" s="1" t="s">
        <v>74</v>
      </c>
      <c r="L290" s="1" t="s">
        <v>74</v>
      </c>
      <c r="M290" s="1" t="s">
        <v>74</v>
      </c>
      <c r="N290" s="1" t="s">
        <v>74</v>
      </c>
      <c r="O290" s="1" t="s">
        <v>74</v>
      </c>
      <c r="P290" s="1" t="s">
        <v>74</v>
      </c>
      <c r="Q290" s="1" t="s">
        <v>74</v>
      </c>
      <c r="R290" s="1" t="s">
        <v>74</v>
      </c>
      <c r="S290" s="1" t="s">
        <v>74</v>
      </c>
      <c r="T290" s="1" t="s">
        <v>74</v>
      </c>
      <c r="U290" s="1" t="s">
        <v>74</v>
      </c>
      <c r="V290" s="1" t="s">
        <v>74</v>
      </c>
      <c r="W290" s="1" t="s">
        <v>74</v>
      </c>
      <c r="X290" s="1" t="s">
        <v>74</v>
      </c>
      <c r="Y290" s="1" t="s">
        <v>74</v>
      </c>
      <c r="Z290" s="1" t="s">
        <v>74</v>
      </c>
      <c r="AA290" s="1" t="s">
        <v>74</v>
      </c>
      <c r="AB290" s="1" t="s">
        <v>74</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2696</v>
      </c>
      <c r="AP290" s="1" t="s">
        <v>74</v>
      </c>
      <c r="AQ290" s="1" t="s">
        <v>74</v>
      </c>
      <c r="AR290" s="1" t="s">
        <v>74</v>
      </c>
      <c r="AS290" s="1" t="s">
        <v>74</v>
      </c>
      <c r="AT290" s="1" t="s">
        <v>203</v>
      </c>
      <c r="AU290" s="1">
        <v>2022.0</v>
      </c>
      <c r="AV290" s="1">
        <v>67.0</v>
      </c>
      <c r="AW290" s="1">
        <v>244.0</v>
      </c>
      <c r="AX290" s="1" t="s">
        <v>74</v>
      </c>
      <c r="AY290" s="1" t="s">
        <v>74</v>
      </c>
      <c r="AZ290" s="1" t="s">
        <v>74</v>
      </c>
      <c r="BA290" s="1" t="s">
        <v>74</v>
      </c>
      <c r="BB290" s="1">
        <v>553.0</v>
      </c>
      <c r="BC290" s="1">
        <v>563.0</v>
      </c>
      <c r="BD290" s="1" t="s">
        <v>74</v>
      </c>
      <c r="BE290" s="1" t="s">
        <v>2697</v>
      </c>
      <c r="BF290" s="2" t="str">
        <f>HYPERLINK("http://dx.doi.org/10.22201/fcpys.2448492xe.2022.244.80755","http://dx.doi.org/10.22201/fcpys.2448492xe.2022.244.80755")</f>
        <v>http://dx.doi.org/10.22201/fcpys.2448492xe.2022.244.80755</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2698</v>
      </c>
      <c r="BT290" s="1" t="str">
        <f>HYPERLINK("https%3A%2F%2Fwww.webofscience.com%2Fwos%2Fwoscc%2Ffull-record%2FWOS:000976336300020","View Full Record in Web of Science")</f>
        <v>View Full Record in Web of Science</v>
      </c>
    </row>
    <row r="291" ht="12.75" customHeight="1">
      <c r="A291" s="1" t="s">
        <v>72</v>
      </c>
      <c r="B291" s="1" t="s">
        <v>2699</v>
      </c>
      <c r="C291" s="1" t="s">
        <v>74</v>
      </c>
      <c r="D291" s="1" t="s">
        <v>74</v>
      </c>
      <c r="E291" s="1" t="s">
        <v>74</v>
      </c>
      <c r="F291" s="1" t="s">
        <v>2700</v>
      </c>
      <c r="G291" s="1" t="s">
        <v>74</v>
      </c>
      <c r="H291" s="1" t="s">
        <v>74</v>
      </c>
      <c r="I291" s="1" t="s">
        <v>2701</v>
      </c>
      <c r="J291" s="1" t="s">
        <v>2702</v>
      </c>
      <c r="K291" s="1" t="s">
        <v>74</v>
      </c>
      <c r="L291" s="1" t="s">
        <v>74</v>
      </c>
      <c r="M291" s="1" t="s">
        <v>74</v>
      </c>
      <c r="N291" s="1" t="s">
        <v>74</v>
      </c>
      <c r="O291" s="1" t="s">
        <v>74</v>
      </c>
      <c r="P291" s="1" t="s">
        <v>74</v>
      </c>
      <c r="Q291" s="1" t="s">
        <v>74</v>
      </c>
      <c r="R291" s="1" t="s">
        <v>74</v>
      </c>
      <c r="S291" s="1" t="s">
        <v>74</v>
      </c>
      <c r="T291" s="1" t="s">
        <v>74</v>
      </c>
      <c r="U291" s="1" t="s">
        <v>74</v>
      </c>
      <c r="V291" s="1" t="s">
        <v>2703</v>
      </c>
      <c r="W291" s="1" t="s">
        <v>74</v>
      </c>
      <c r="X291" s="1" t="s">
        <v>74</v>
      </c>
      <c r="Y291" s="1" t="s">
        <v>74</v>
      </c>
      <c r="Z291" s="1" t="s">
        <v>74</v>
      </c>
      <c r="AA291" s="1" t="s">
        <v>2281</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2704</v>
      </c>
      <c r="AP291" s="1" t="s">
        <v>74</v>
      </c>
      <c r="AQ291" s="1" t="s">
        <v>74</v>
      </c>
      <c r="AR291" s="1" t="s">
        <v>74</v>
      </c>
      <c r="AS291" s="1" t="s">
        <v>74</v>
      </c>
      <c r="AT291" s="1" t="s">
        <v>82</v>
      </c>
      <c r="AU291" s="1">
        <v>2021.0</v>
      </c>
      <c r="AV291" s="1">
        <v>45.0</v>
      </c>
      <c r="AW291" s="1" t="s">
        <v>74</v>
      </c>
      <c r="AX291" s="1" t="s">
        <v>74</v>
      </c>
      <c r="AY291" s="1" t="s">
        <v>74</v>
      </c>
      <c r="AZ291" s="1" t="s">
        <v>74</v>
      </c>
      <c r="BA291" s="1" t="s">
        <v>74</v>
      </c>
      <c r="BB291" s="1">
        <v>25.0</v>
      </c>
      <c r="BC291" s="1">
        <v>45.0</v>
      </c>
      <c r="BD291" s="1" t="s">
        <v>74</v>
      </c>
      <c r="BE291" s="1" t="s">
        <v>2705</v>
      </c>
      <c r="BF291" s="2" t="str">
        <f>HYPERLINK("http://dx.doi.org/10.5354/0717-5051.2021.61324","http://dx.doi.org/10.5354/0717-5051.2021.61324")</f>
        <v>http://dx.doi.org/10.5354/0717-5051.2021.61324</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2706</v>
      </c>
      <c r="BT291" s="1" t="str">
        <f>HYPERLINK("https%3A%2F%2Fwww.webofscience.com%2Fwos%2Fwoscc%2Ffull-record%2FWOS:000740014400003","View Full Record in Web of Science")</f>
        <v>View Full Record in Web of Science</v>
      </c>
    </row>
    <row r="292" ht="12.75" customHeight="1">
      <c r="A292" s="1" t="s">
        <v>72</v>
      </c>
      <c r="B292" s="1" t="s">
        <v>2707</v>
      </c>
      <c r="C292" s="1" t="s">
        <v>74</v>
      </c>
      <c r="D292" s="1" t="s">
        <v>74</v>
      </c>
      <c r="E292" s="1" t="s">
        <v>74</v>
      </c>
      <c r="F292" s="1" t="s">
        <v>2708</v>
      </c>
      <c r="G292" s="1" t="s">
        <v>74</v>
      </c>
      <c r="H292" s="1" t="s">
        <v>74</v>
      </c>
      <c r="I292" s="1" t="s">
        <v>2709</v>
      </c>
      <c r="J292" s="1" t="s">
        <v>981</v>
      </c>
      <c r="K292" s="1" t="s">
        <v>74</v>
      </c>
      <c r="L292" s="1" t="s">
        <v>74</v>
      </c>
      <c r="M292" s="1" t="s">
        <v>74</v>
      </c>
      <c r="N292" s="1" t="s">
        <v>74</v>
      </c>
      <c r="O292" s="1" t="s">
        <v>74</v>
      </c>
      <c r="P292" s="1" t="s">
        <v>74</v>
      </c>
      <c r="Q292" s="1" t="s">
        <v>74</v>
      </c>
      <c r="R292" s="1" t="s">
        <v>74</v>
      </c>
      <c r="S292" s="1" t="s">
        <v>74</v>
      </c>
      <c r="T292" s="1" t="s">
        <v>74</v>
      </c>
      <c r="U292" s="1" t="s">
        <v>74</v>
      </c>
      <c r="V292" s="1" t="s">
        <v>2710</v>
      </c>
      <c r="W292" s="1" t="s">
        <v>74</v>
      </c>
      <c r="X292" s="1" t="s">
        <v>74</v>
      </c>
      <c r="Y292" s="1" t="s">
        <v>74</v>
      </c>
      <c r="Z292" s="1" t="s">
        <v>74</v>
      </c>
      <c r="AA292" s="1" t="s">
        <v>2711</v>
      </c>
      <c r="AB292" s="1" t="s">
        <v>2712</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74</v>
      </c>
      <c r="AP292" s="1" t="s">
        <v>985</v>
      </c>
      <c r="AQ292" s="1" t="s">
        <v>74</v>
      </c>
      <c r="AR292" s="1" t="s">
        <v>74</v>
      </c>
      <c r="AS292" s="1" t="s">
        <v>74</v>
      </c>
      <c r="AT292" s="1" t="s">
        <v>410</v>
      </c>
      <c r="AU292" s="1">
        <v>2021.0</v>
      </c>
      <c r="AV292" s="1">
        <v>13.0</v>
      </c>
      <c r="AW292" s="1">
        <v>21.0</v>
      </c>
      <c r="AX292" s="1" t="s">
        <v>74</v>
      </c>
      <c r="AY292" s="1" t="s">
        <v>74</v>
      </c>
      <c r="AZ292" s="1" t="s">
        <v>74</v>
      </c>
      <c r="BA292" s="1" t="s">
        <v>74</v>
      </c>
      <c r="BB292" s="1" t="s">
        <v>74</v>
      </c>
      <c r="BC292" s="1" t="s">
        <v>74</v>
      </c>
      <c r="BD292" s="1">
        <v>11870.0</v>
      </c>
      <c r="BE292" s="1" t="s">
        <v>2713</v>
      </c>
      <c r="BF292" s="2" t="str">
        <f>HYPERLINK("http://dx.doi.org/10.3390/su132111870","http://dx.doi.org/10.3390/su132111870")</f>
        <v>http://dx.doi.org/10.3390/su132111870</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2714</v>
      </c>
      <c r="BT292" s="1" t="str">
        <f>HYPERLINK("https%3A%2F%2Fwww.webofscience.com%2Fwos%2Fwoscc%2Ffull-record%2FWOS:000718644300001","View Full Record in Web of Science")</f>
        <v>View Full Record in Web of Science</v>
      </c>
    </row>
    <row r="293" ht="12.75" customHeight="1">
      <c r="A293" s="1" t="s">
        <v>72</v>
      </c>
      <c r="B293" s="1" t="s">
        <v>2715</v>
      </c>
      <c r="C293" s="1" t="s">
        <v>74</v>
      </c>
      <c r="D293" s="1" t="s">
        <v>74</v>
      </c>
      <c r="E293" s="1" t="s">
        <v>74</v>
      </c>
      <c r="F293" s="1" t="s">
        <v>2716</v>
      </c>
      <c r="G293" s="1" t="s">
        <v>74</v>
      </c>
      <c r="H293" s="1" t="s">
        <v>74</v>
      </c>
      <c r="I293" s="1" t="s">
        <v>2717</v>
      </c>
      <c r="J293" s="1" t="s">
        <v>2718</v>
      </c>
      <c r="K293" s="1" t="s">
        <v>74</v>
      </c>
      <c r="L293" s="1" t="s">
        <v>74</v>
      </c>
      <c r="M293" s="1" t="s">
        <v>74</v>
      </c>
      <c r="N293" s="1" t="s">
        <v>74</v>
      </c>
      <c r="O293" s="1" t="s">
        <v>74</v>
      </c>
      <c r="P293" s="1" t="s">
        <v>74</v>
      </c>
      <c r="Q293" s="1" t="s">
        <v>74</v>
      </c>
      <c r="R293" s="1" t="s">
        <v>74</v>
      </c>
      <c r="S293" s="1" t="s">
        <v>74</v>
      </c>
      <c r="T293" s="1" t="s">
        <v>74</v>
      </c>
      <c r="U293" s="1" t="s">
        <v>74</v>
      </c>
      <c r="V293" s="1" t="s">
        <v>74</v>
      </c>
      <c r="W293" s="1" t="s">
        <v>74</v>
      </c>
      <c r="X293" s="1" t="s">
        <v>74</v>
      </c>
      <c r="Y293" s="1" t="s">
        <v>74</v>
      </c>
      <c r="Z293" s="1" t="s">
        <v>74</v>
      </c>
      <c r="AA293" s="1" t="s">
        <v>2719</v>
      </c>
      <c r="AB293" s="1" t="s">
        <v>2720</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2721</v>
      </c>
      <c r="AP293" s="1" t="s">
        <v>2722</v>
      </c>
      <c r="AQ293" s="1" t="s">
        <v>74</v>
      </c>
      <c r="AR293" s="1" t="s">
        <v>74</v>
      </c>
      <c r="AS293" s="1" t="s">
        <v>74</v>
      </c>
      <c r="AT293" s="1" t="s">
        <v>256</v>
      </c>
      <c r="AU293" s="1">
        <v>2021.0</v>
      </c>
      <c r="AV293" s="1">
        <v>59.0</v>
      </c>
      <c r="AW293" s="1">
        <v>3.0</v>
      </c>
      <c r="AX293" s="1" t="s">
        <v>74</v>
      </c>
      <c r="AY293" s="1" t="s">
        <v>74</v>
      </c>
      <c r="AZ293" s="1" t="s">
        <v>74</v>
      </c>
      <c r="BA293" s="1" t="s">
        <v>74</v>
      </c>
      <c r="BB293" s="1">
        <v>218.0</v>
      </c>
      <c r="BC293" s="1">
        <v>219.0</v>
      </c>
      <c r="BD293" s="1" t="s">
        <v>74</v>
      </c>
      <c r="BE293" s="1" t="s">
        <v>2723</v>
      </c>
      <c r="BF293" s="2" t="str">
        <f>HYPERLINK("http://dx.doi.org/10.1119/10.0003674","http://dx.doi.org/10.1119/10.0003674")</f>
        <v>http://dx.doi.org/10.1119/10.0003674</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2724</v>
      </c>
      <c r="BT293" s="1" t="str">
        <f>HYPERLINK("https%3A%2F%2Fwww.webofscience.com%2Fwos%2Fwoscc%2Ffull-record%2FWOS:000626104200025","View Full Record in Web of Science")</f>
        <v>View Full Record in Web of Science</v>
      </c>
    </row>
    <row r="294" ht="12.75" customHeight="1">
      <c r="A294" s="1" t="s">
        <v>72</v>
      </c>
      <c r="B294" s="1" t="s">
        <v>2725</v>
      </c>
      <c r="C294" s="1" t="s">
        <v>74</v>
      </c>
      <c r="D294" s="1" t="s">
        <v>74</v>
      </c>
      <c r="E294" s="1" t="s">
        <v>74</v>
      </c>
      <c r="F294" s="1" t="s">
        <v>2726</v>
      </c>
      <c r="G294" s="1" t="s">
        <v>74</v>
      </c>
      <c r="H294" s="1" t="s">
        <v>74</v>
      </c>
      <c r="I294" s="1" t="s">
        <v>2727</v>
      </c>
      <c r="J294" s="1" t="s">
        <v>2728</v>
      </c>
      <c r="K294" s="1" t="s">
        <v>74</v>
      </c>
      <c r="L294" s="1" t="s">
        <v>74</v>
      </c>
      <c r="M294" s="1" t="s">
        <v>74</v>
      </c>
      <c r="N294" s="1" t="s">
        <v>74</v>
      </c>
      <c r="O294" s="1" t="s">
        <v>74</v>
      </c>
      <c r="P294" s="1" t="s">
        <v>74</v>
      </c>
      <c r="Q294" s="1" t="s">
        <v>74</v>
      </c>
      <c r="R294" s="1" t="s">
        <v>74</v>
      </c>
      <c r="S294" s="1" t="s">
        <v>74</v>
      </c>
      <c r="T294" s="1" t="s">
        <v>74</v>
      </c>
      <c r="U294" s="1" t="s">
        <v>74</v>
      </c>
      <c r="V294" s="1" t="s">
        <v>2729</v>
      </c>
      <c r="W294" s="1" t="s">
        <v>74</v>
      </c>
      <c r="X294" s="1" t="s">
        <v>74</v>
      </c>
      <c r="Y294" s="1" t="s">
        <v>74</v>
      </c>
      <c r="Z294" s="1" t="s">
        <v>74</v>
      </c>
      <c r="AA294" s="1" t="s">
        <v>74</v>
      </c>
      <c r="AB294" s="1" t="s">
        <v>74</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2730</v>
      </c>
      <c r="AP294" s="1" t="s">
        <v>2731</v>
      </c>
      <c r="AQ294" s="1" t="s">
        <v>74</v>
      </c>
      <c r="AR294" s="1" t="s">
        <v>74</v>
      </c>
      <c r="AS294" s="1" t="s">
        <v>74</v>
      </c>
      <c r="AT294" s="1" t="s">
        <v>74</v>
      </c>
      <c r="AU294" s="1">
        <v>2021.0</v>
      </c>
      <c r="AV294" s="1">
        <v>13.0</v>
      </c>
      <c r="AW294" s="1">
        <v>1.0</v>
      </c>
      <c r="AX294" s="1" t="s">
        <v>74</v>
      </c>
      <c r="AY294" s="1" t="s">
        <v>74</v>
      </c>
      <c r="AZ294" s="1" t="s">
        <v>74</v>
      </c>
      <c r="BA294" s="1" t="s">
        <v>74</v>
      </c>
      <c r="BB294" s="1">
        <v>113.0</v>
      </c>
      <c r="BC294" s="1">
        <v>130.0</v>
      </c>
      <c r="BD294" s="1" t="s">
        <v>74</v>
      </c>
      <c r="BE294" s="1" t="s">
        <v>74</v>
      </c>
      <c r="BF294" s="1" t="s">
        <v>74</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2732</v>
      </c>
      <c r="BT294" s="1" t="str">
        <f>HYPERLINK("https%3A%2F%2Fwww.webofscience.com%2Fwos%2Fwoscc%2Ffull-record%2FWOS:000740694200007","View Full Record in Web of Science")</f>
        <v>View Full Record in Web of Science</v>
      </c>
    </row>
    <row r="295" ht="12.75" customHeight="1">
      <c r="A295" s="1" t="s">
        <v>72</v>
      </c>
      <c r="B295" s="1" t="s">
        <v>2733</v>
      </c>
      <c r="C295" s="1" t="s">
        <v>74</v>
      </c>
      <c r="D295" s="1" t="s">
        <v>74</v>
      </c>
      <c r="E295" s="1" t="s">
        <v>74</v>
      </c>
      <c r="F295" s="1" t="s">
        <v>2734</v>
      </c>
      <c r="G295" s="1" t="s">
        <v>74</v>
      </c>
      <c r="H295" s="1" t="s">
        <v>74</v>
      </c>
      <c r="I295" s="1" t="s">
        <v>2735</v>
      </c>
      <c r="J295" s="1" t="s">
        <v>2736</v>
      </c>
      <c r="K295" s="1" t="s">
        <v>74</v>
      </c>
      <c r="L295" s="1" t="s">
        <v>74</v>
      </c>
      <c r="M295" s="1" t="s">
        <v>74</v>
      </c>
      <c r="N295" s="1" t="s">
        <v>74</v>
      </c>
      <c r="O295" s="1" t="s">
        <v>74</v>
      </c>
      <c r="P295" s="1" t="s">
        <v>74</v>
      </c>
      <c r="Q295" s="1" t="s">
        <v>74</v>
      </c>
      <c r="R295" s="1" t="s">
        <v>74</v>
      </c>
      <c r="S295" s="1" t="s">
        <v>74</v>
      </c>
      <c r="T295" s="1" t="s">
        <v>74</v>
      </c>
      <c r="U295" s="1" t="s">
        <v>74</v>
      </c>
      <c r="V295" s="1" t="s">
        <v>2737</v>
      </c>
      <c r="W295" s="1" t="s">
        <v>74</v>
      </c>
      <c r="X295" s="1" t="s">
        <v>74</v>
      </c>
      <c r="Y295" s="1" t="s">
        <v>74</v>
      </c>
      <c r="Z295" s="1" t="s">
        <v>74</v>
      </c>
      <c r="AA295" s="1" t="s">
        <v>74</v>
      </c>
      <c r="AB295" s="1" t="s">
        <v>2738</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2739</v>
      </c>
      <c r="AP295" s="1" t="s">
        <v>2740</v>
      </c>
      <c r="AQ295" s="1" t="s">
        <v>74</v>
      </c>
      <c r="AR295" s="1" t="s">
        <v>74</v>
      </c>
      <c r="AS295" s="1" t="s">
        <v>74</v>
      </c>
      <c r="AT295" s="1" t="s">
        <v>2667</v>
      </c>
      <c r="AU295" s="1">
        <v>2021.0</v>
      </c>
      <c r="AV295" s="1">
        <v>19.0</v>
      </c>
      <c r="AW295" s="1">
        <v>1.0</v>
      </c>
      <c r="AX295" s="1" t="s">
        <v>74</v>
      </c>
      <c r="AY295" s="1" t="s">
        <v>74</v>
      </c>
      <c r="AZ295" s="1" t="s">
        <v>74</v>
      </c>
      <c r="BA295" s="1" t="s">
        <v>74</v>
      </c>
      <c r="BB295" s="1">
        <v>418.0</v>
      </c>
      <c r="BC295" s="1">
        <v>428.0</v>
      </c>
      <c r="BD295" s="1" t="s">
        <v>74</v>
      </c>
      <c r="BE295" s="1" t="s">
        <v>2741</v>
      </c>
      <c r="BF295" s="2" t="str">
        <f>HYPERLINK("http://dx.doi.org/10.1080/19476337.2021.1915878","http://dx.doi.org/10.1080/19476337.2021.1915878")</f>
        <v>http://dx.doi.org/10.1080/19476337.2021.1915878</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2742</v>
      </c>
      <c r="BT295" s="1" t="str">
        <f>HYPERLINK("https%3A%2F%2Fwww.webofscience.com%2Fwos%2Fwoscc%2Ffull-record%2FWOS:000646886000001","View Full Record in Web of Science")</f>
        <v>View Full Record in Web of Science</v>
      </c>
    </row>
    <row r="296" ht="12.75" customHeight="1">
      <c r="A296" s="1" t="s">
        <v>72</v>
      </c>
      <c r="B296" s="1" t="s">
        <v>2743</v>
      </c>
      <c r="C296" s="1" t="s">
        <v>74</v>
      </c>
      <c r="D296" s="1" t="s">
        <v>74</v>
      </c>
      <c r="E296" s="1" t="s">
        <v>74</v>
      </c>
      <c r="F296" s="1" t="s">
        <v>2744</v>
      </c>
      <c r="G296" s="1" t="s">
        <v>74</v>
      </c>
      <c r="H296" s="1" t="s">
        <v>74</v>
      </c>
      <c r="I296" s="1" t="s">
        <v>2745</v>
      </c>
      <c r="J296" s="1" t="s">
        <v>2746</v>
      </c>
      <c r="K296" s="1" t="s">
        <v>74</v>
      </c>
      <c r="L296" s="1" t="s">
        <v>74</v>
      </c>
      <c r="M296" s="1" t="s">
        <v>74</v>
      </c>
      <c r="N296" s="1" t="s">
        <v>74</v>
      </c>
      <c r="O296" s="1" t="s">
        <v>74</v>
      </c>
      <c r="P296" s="1" t="s">
        <v>74</v>
      </c>
      <c r="Q296" s="1" t="s">
        <v>74</v>
      </c>
      <c r="R296" s="1" t="s">
        <v>74</v>
      </c>
      <c r="S296" s="1" t="s">
        <v>74</v>
      </c>
      <c r="T296" s="1" t="s">
        <v>74</v>
      </c>
      <c r="U296" s="1" t="s">
        <v>74</v>
      </c>
      <c r="V296" s="1" t="s">
        <v>2747</v>
      </c>
      <c r="W296" s="1" t="s">
        <v>74</v>
      </c>
      <c r="X296" s="1" t="s">
        <v>74</v>
      </c>
      <c r="Y296" s="1" t="s">
        <v>74</v>
      </c>
      <c r="Z296" s="1" t="s">
        <v>74</v>
      </c>
      <c r="AA296" s="1" t="s">
        <v>2748</v>
      </c>
      <c r="AB296" s="1" t="s">
        <v>2749</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74</v>
      </c>
      <c r="AP296" s="1" t="s">
        <v>2750</v>
      </c>
      <c r="AQ296" s="1" t="s">
        <v>74</v>
      </c>
      <c r="AR296" s="1" t="s">
        <v>74</v>
      </c>
      <c r="AS296" s="1" t="s">
        <v>74</v>
      </c>
      <c r="AT296" s="1" t="s">
        <v>158</v>
      </c>
      <c r="AU296" s="1">
        <v>2020.0</v>
      </c>
      <c r="AV296" s="1">
        <v>17.0</v>
      </c>
      <c r="AW296" s="1">
        <v>18.0</v>
      </c>
      <c r="AX296" s="1" t="s">
        <v>74</v>
      </c>
      <c r="AY296" s="1" t="s">
        <v>74</v>
      </c>
      <c r="AZ296" s="1" t="s">
        <v>74</v>
      </c>
      <c r="BA296" s="1" t="s">
        <v>74</v>
      </c>
      <c r="BB296" s="1" t="s">
        <v>74</v>
      </c>
      <c r="BC296" s="1" t="s">
        <v>74</v>
      </c>
      <c r="BD296" s="1">
        <v>6546.0</v>
      </c>
      <c r="BE296" s="1" t="s">
        <v>2751</v>
      </c>
      <c r="BF296" s="2" t="str">
        <f>HYPERLINK("http://dx.doi.org/10.3390/ijerph17186546","http://dx.doi.org/10.3390/ijerph17186546")</f>
        <v>http://dx.doi.org/10.3390/ijerph17186546</v>
      </c>
      <c r="BG296" s="1" t="s">
        <v>74</v>
      </c>
      <c r="BH296" s="1" t="s">
        <v>74</v>
      </c>
      <c r="BI296" s="1" t="s">
        <v>74</v>
      </c>
      <c r="BJ296" s="1" t="s">
        <v>74</v>
      </c>
      <c r="BK296" s="1" t="s">
        <v>74</v>
      </c>
      <c r="BL296" s="1" t="s">
        <v>74</v>
      </c>
      <c r="BM296" s="1" t="s">
        <v>74</v>
      </c>
      <c r="BN296" s="1">
        <v>3.2916795E7</v>
      </c>
      <c r="BO296" s="1" t="s">
        <v>74</v>
      </c>
      <c r="BP296" s="1" t="s">
        <v>74</v>
      </c>
      <c r="BQ296" s="1" t="s">
        <v>74</v>
      </c>
      <c r="BR296" s="1" t="s">
        <v>74</v>
      </c>
      <c r="BS296" s="1" t="s">
        <v>2752</v>
      </c>
      <c r="BT296" s="1" t="str">
        <f>HYPERLINK("https%3A%2F%2Fwww.webofscience.com%2Fwos%2Fwoscc%2Ffull-record%2FWOS:000580699200001","View Full Record in Web of Science")</f>
        <v>View Full Record in Web of Science</v>
      </c>
    </row>
    <row r="297" ht="12.75" customHeight="1">
      <c r="A297" s="1" t="s">
        <v>72</v>
      </c>
      <c r="B297" s="1" t="s">
        <v>2753</v>
      </c>
      <c r="C297" s="1" t="s">
        <v>74</v>
      </c>
      <c r="D297" s="1" t="s">
        <v>74</v>
      </c>
      <c r="E297" s="1" t="s">
        <v>74</v>
      </c>
      <c r="F297" s="1" t="s">
        <v>2754</v>
      </c>
      <c r="G297" s="1" t="s">
        <v>74</v>
      </c>
      <c r="H297" s="1" t="s">
        <v>74</v>
      </c>
      <c r="I297" s="1" t="s">
        <v>2755</v>
      </c>
      <c r="J297" s="1" t="s">
        <v>2756</v>
      </c>
      <c r="K297" s="1" t="s">
        <v>74</v>
      </c>
      <c r="L297" s="1" t="s">
        <v>74</v>
      </c>
      <c r="M297" s="1" t="s">
        <v>74</v>
      </c>
      <c r="N297" s="1" t="s">
        <v>74</v>
      </c>
      <c r="O297" s="1" t="s">
        <v>74</v>
      </c>
      <c r="P297" s="1" t="s">
        <v>74</v>
      </c>
      <c r="Q297" s="1" t="s">
        <v>74</v>
      </c>
      <c r="R297" s="1" t="s">
        <v>74</v>
      </c>
      <c r="S297" s="1" t="s">
        <v>74</v>
      </c>
      <c r="T297" s="1" t="s">
        <v>74</v>
      </c>
      <c r="U297" s="1" t="s">
        <v>74</v>
      </c>
      <c r="V297" s="1" t="s">
        <v>2757</v>
      </c>
      <c r="W297" s="1" t="s">
        <v>74</v>
      </c>
      <c r="X297" s="1" t="s">
        <v>74</v>
      </c>
      <c r="Y297" s="1" t="s">
        <v>74</v>
      </c>
      <c r="Z297" s="1" t="s">
        <v>74</v>
      </c>
      <c r="AA297" s="1" t="s">
        <v>284</v>
      </c>
      <c r="AB297" s="1" t="s">
        <v>285</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2758</v>
      </c>
      <c r="AP297" s="1" t="s">
        <v>2759</v>
      </c>
      <c r="AQ297" s="1" t="s">
        <v>74</v>
      </c>
      <c r="AR297" s="1" t="s">
        <v>74</v>
      </c>
      <c r="AS297" s="1" t="s">
        <v>74</v>
      </c>
      <c r="AT297" s="1" t="s">
        <v>818</v>
      </c>
      <c r="AU297" s="1">
        <v>2021.0</v>
      </c>
      <c r="AV297" s="1">
        <v>103.0</v>
      </c>
      <c r="AW297" s="1">
        <v>1.0</v>
      </c>
      <c r="AX297" s="1" t="s">
        <v>74</v>
      </c>
      <c r="AY297" s="1" t="s">
        <v>74</v>
      </c>
      <c r="AZ297" s="1" t="s">
        <v>74</v>
      </c>
      <c r="BA297" s="1" t="s">
        <v>74</v>
      </c>
      <c r="BB297" s="1">
        <v>115.0</v>
      </c>
      <c r="BC297" s="1">
        <v>124.0</v>
      </c>
      <c r="BD297" s="1" t="s">
        <v>74</v>
      </c>
      <c r="BE297" s="1" t="s">
        <v>2760</v>
      </c>
      <c r="BF297" s="2" t="str">
        <f>HYPERLINK("http://dx.doi.org/10.1007/s00202-020-01067-7","http://dx.doi.org/10.1007/s00202-020-01067-7")</f>
        <v>http://dx.doi.org/10.1007/s00202-020-01067-7</v>
      </c>
      <c r="BG297" s="1" t="s">
        <v>74</v>
      </c>
      <c r="BH297" s="1" t="s">
        <v>2761</v>
      </c>
      <c r="BI297" s="1" t="s">
        <v>74</v>
      </c>
      <c r="BJ297" s="1" t="s">
        <v>74</v>
      </c>
      <c r="BK297" s="1" t="s">
        <v>74</v>
      </c>
      <c r="BL297" s="1" t="s">
        <v>74</v>
      </c>
      <c r="BM297" s="1" t="s">
        <v>74</v>
      </c>
      <c r="BN297" s="1" t="s">
        <v>74</v>
      </c>
      <c r="BO297" s="1" t="s">
        <v>74</v>
      </c>
      <c r="BP297" s="1" t="s">
        <v>74</v>
      </c>
      <c r="BQ297" s="1" t="s">
        <v>74</v>
      </c>
      <c r="BR297" s="1" t="s">
        <v>74</v>
      </c>
      <c r="BS297" s="1" t="s">
        <v>2762</v>
      </c>
      <c r="BT297" s="1" t="str">
        <f>HYPERLINK("https%3A%2F%2Fwww.webofscience.com%2Fwos%2Fwoscc%2Ffull-record%2FWOS:000551783200002","View Full Record in Web of Science")</f>
        <v>View Full Record in Web of Science</v>
      </c>
    </row>
    <row r="298" ht="12.75" customHeight="1">
      <c r="A298" s="1" t="s">
        <v>72</v>
      </c>
      <c r="B298" s="1" t="s">
        <v>2763</v>
      </c>
      <c r="C298" s="1" t="s">
        <v>74</v>
      </c>
      <c r="D298" s="1" t="s">
        <v>74</v>
      </c>
      <c r="E298" s="1" t="s">
        <v>74</v>
      </c>
      <c r="F298" s="1" t="s">
        <v>2764</v>
      </c>
      <c r="G298" s="1" t="s">
        <v>74</v>
      </c>
      <c r="H298" s="1" t="s">
        <v>74</v>
      </c>
      <c r="I298" s="1" t="s">
        <v>2765</v>
      </c>
      <c r="J298" s="1" t="s">
        <v>2766</v>
      </c>
      <c r="K298" s="1" t="s">
        <v>74</v>
      </c>
      <c r="L298" s="1" t="s">
        <v>74</v>
      </c>
      <c r="M298" s="1" t="s">
        <v>74</v>
      </c>
      <c r="N298" s="1" t="s">
        <v>74</v>
      </c>
      <c r="O298" s="1" t="s">
        <v>74</v>
      </c>
      <c r="P298" s="1" t="s">
        <v>74</v>
      </c>
      <c r="Q298" s="1" t="s">
        <v>74</v>
      </c>
      <c r="R298" s="1" t="s">
        <v>74</v>
      </c>
      <c r="S298" s="1" t="s">
        <v>74</v>
      </c>
      <c r="T298" s="1" t="s">
        <v>74</v>
      </c>
      <c r="U298" s="1" t="s">
        <v>74</v>
      </c>
      <c r="V298" s="1" t="s">
        <v>2767</v>
      </c>
      <c r="W298" s="1" t="s">
        <v>74</v>
      </c>
      <c r="X298" s="1" t="s">
        <v>74</v>
      </c>
      <c r="Y298" s="1" t="s">
        <v>74</v>
      </c>
      <c r="Z298" s="1" t="s">
        <v>74</v>
      </c>
      <c r="AA298" s="1" t="s">
        <v>74</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2768</v>
      </c>
      <c r="AP298" s="1" t="s">
        <v>2769</v>
      </c>
      <c r="AQ298" s="1" t="s">
        <v>74</v>
      </c>
      <c r="AR298" s="1" t="s">
        <v>74</v>
      </c>
      <c r="AS298" s="1" t="s">
        <v>74</v>
      </c>
      <c r="AT298" s="1" t="s">
        <v>91</v>
      </c>
      <c r="AU298" s="1">
        <v>2020.0</v>
      </c>
      <c r="AV298" s="1">
        <v>27.0</v>
      </c>
      <c r="AW298" s="1">
        <v>19.0</v>
      </c>
      <c r="AX298" s="1" t="s">
        <v>74</v>
      </c>
      <c r="AY298" s="1" t="s">
        <v>74</v>
      </c>
      <c r="AZ298" s="1" t="s">
        <v>159</v>
      </c>
      <c r="BA298" s="1" t="s">
        <v>74</v>
      </c>
      <c r="BB298" s="1">
        <v>23769.0</v>
      </c>
      <c r="BC298" s="1">
        <v>23782.0</v>
      </c>
      <c r="BD298" s="1" t="s">
        <v>74</v>
      </c>
      <c r="BE298" s="1" t="s">
        <v>2770</v>
      </c>
      <c r="BF298" s="2" t="str">
        <f>HYPERLINK("http://dx.doi.org/10.1007/s11356-020-08657-9","http://dx.doi.org/10.1007/s11356-020-08657-9")</f>
        <v>http://dx.doi.org/10.1007/s11356-020-08657-9</v>
      </c>
      <c r="BG298" s="1" t="s">
        <v>74</v>
      </c>
      <c r="BH298" s="1" t="s">
        <v>74</v>
      </c>
      <c r="BI298" s="1" t="s">
        <v>74</v>
      </c>
      <c r="BJ298" s="1" t="s">
        <v>74</v>
      </c>
      <c r="BK298" s="1" t="s">
        <v>74</v>
      </c>
      <c r="BL298" s="1" t="s">
        <v>74</v>
      </c>
      <c r="BM298" s="1" t="s">
        <v>74</v>
      </c>
      <c r="BN298" s="1">
        <v>3.2301075E7</v>
      </c>
      <c r="BO298" s="1" t="s">
        <v>74</v>
      </c>
      <c r="BP298" s="1" t="s">
        <v>74</v>
      </c>
      <c r="BQ298" s="1" t="s">
        <v>74</v>
      </c>
      <c r="BR298" s="1" t="s">
        <v>74</v>
      </c>
      <c r="BS298" s="1" t="s">
        <v>2771</v>
      </c>
      <c r="BT298" s="1" t="str">
        <f>HYPERLINK("https%3A%2F%2Fwww.webofscience.com%2Fwos%2Fwoscc%2Ffull-record%2FWOS:000544408800034","View Full Record in Web of Science")</f>
        <v>View Full Record in Web of Science</v>
      </c>
    </row>
    <row r="299" ht="12.75" customHeight="1">
      <c r="A299" s="1" t="s">
        <v>105</v>
      </c>
      <c r="B299" s="1" t="s">
        <v>2772</v>
      </c>
      <c r="C299" s="1" t="s">
        <v>74</v>
      </c>
      <c r="D299" s="1" t="s">
        <v>2014</v>
      </c>
      <c r="E299" s="1" t="s">
        <v>74</v>
      </c>
      <c r="F299" s="1" t="s">
        <v>2773</v>
      </c>
      <c r="G299" s="1" t="s">
        <v>74</v>
      </c>
      <c r="H299" s="1" t="s">
        <v>74</v>
      </c>
      <c r="I299" s="1" t="s">
        <v>2774</v>
      </c>
      <c r="J299" s="1" t="s">
        <v>2017</v>
      </c>
      <c r="K299" s="1" t="s">
        <v>74</v>
      </c>
      <c r="L299" s="1" t="s">
        <v>74</v>
      </c>
      <c r="M299" s="1" t="s">
        <v>74</v>
      </c>
      <c r="N299" s="1" t="s">
        <v>74</v>
      </c>
      <c r="O299" s="1" t="s">
        <v>74</v>
      </c>
      <c r="P299" s="1" t="s">
        <v>74</v>
      </c>
      <c r="Q299" s="1" t="s">
        <v>74</v>
      </c>
      <c r="R299" s="1" t="s">
        <v>74</v>
      </c>
      <c r="S299" s="1" t="s">
        <v>74</v>
      </c>
      <c r="T299" s="1" t="s">
        <v>74</v>
      </c>
      <c r="U299" s="1" t="s">
        <v>74</v>
      </c>
      <c r="V299" s="1" t="s">
        <v>2775</v>
      </c>
      <c r="W299" s="1" t="s">
        <v>74</v>
      </c>
      <c r="X299" s="1" t="s">
        <v>74</v>
      </c>
      <c r="Y299" s="1" t="s">
        <v>74</v>
      </c>
      <c r="Z299" s="1" t="s">
        <v>74</v>
      </c>
      <c r="AA299" s="1" t="s">
        <v>74</v>
      </c>
      <c r="AB299" s="1" t="s">
        <v>74</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74</v>
      </c>
      <c r="AP299" s="1" t="s">
        <v>74</v>
      </c>
      <c r="AQ299" s="1" t="s">
        <v>2019</v>
      </c>
      <c r="AR299" s="1" t="s">
        <v>74</v>
      </c>
      <c r="AS299" s="1" t="s">
        <v>74</v>
      </c>
      <c r="AT299" s="1" t="s">
        <v>74</v>
      </c>
      <c r="AU299" s="1">
        <v>2020.0</v>
      </c>
      <c r="AV299" s="1" t="s">
        <v>74</v>
      </c>
      <c r="AW299" s="1" t="s">
        <v>74</v>
      </c>
      <c r="AX299" s="1" t="s">
        <v>74</v>
      </c>
      <c r="AY299" s="1" t="s">
        <v>74</v>
      </c>
      <c r="AZ299" s="1" t="s">
        <v>74</v>
      </c>
      <c r="BA299" s="1" t="s">
        <v>74</v>
      </c>
      <c r="BB299" s="1">
        <v>164.0</v>
      </c>
      <c r="BC299" s="1">
        <v>183.0</v>
      </c>
      <c r="BD299" s="1" t="s">
        <v>74</v>
      </c>
      <c r="BE299" s="1" t="s">
        <v>74</v>
      </c>
      <c r="BF299" s="1" t="s">
        <v>74</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2776</v>
      </c>
      <c r="BT299" s="1" t="str">
        <f>HYPERLINK("https%3A%2F%2Fwww.webofscience.com%2Fwos%2Fwoscc%2Ffull-record%2FWOS:000608842500009","View Full Record in Web of Science")</f>
        <v>View Full Record in Web of Science</v>
      </c>
    </row>
    <row r="300" ht="12.75" customHeight="1">
      <c r="A300" s="1" t="s">
        <v>105</v>
      </c>
      <c r="B300" s="1" t="s">
        <v>2777</v>
      </c>
      <c r="C300" s="1" t="s">
        <v>74</v>
      </c>
      <c r="D300" s="1" t="s">
        <v>2778</v>
      </c>
      <c r="E300" s="1" t="s">
        <v>74</v>
      </c>
      <c r="F300" s="1" t="s">
        <v>2779</v>
      </c>
      <c r="G300" s="1" t="s">
        <v>74</v>
      </c>
      <c r="H300" s="1" t="s">
        <v>74</v>
      </c>
      <c r="I300" s="1" t="s">
        <v>2780</v>
      </c>
      <c r="J300" s="1" t="s">
        <v>2781</v>
      </c>
      <c r="K300" s="1" t="s">
        <v>2782</v>
      </c>
      <c r="L300" s="1" t="s">
        <v>74</v>
      </c>
      <c r="M300" s="1" t="s">
        <v>74</v>
      </c>
      <c r="N300" s="1" t="s">
        <v>74</v>
      </c>
      <c r="O300" s="1" t="s">
        <v>74</v>
      </c>
      <c r="P300" s="1" t="s">
        <v>74</v>
      </c>
      <c r="Q300" s="1" t="s">
        <v>74</v>
      </c>
      <c r="R300" s="1" t="s">
        <v>74</v>
      </c>
      <c r="S300" s="1" t="s">
        <v>74</v>
      </c>
      <c r="T300" s="1" t="s">
        <v>74</v>
      </c>
      <c r="U300" s="1" t="s">
        <v>74</v>
      </c>
      <c r="V300" s="1" t="s">
        <v>74</v>
      </c>
      <c r="W300" s="1" t="s">
        <v>74</v>
      </c>
      <c r="X300" s="1" t="s">
        <v>74</v>
      </c>
      <c r="Y300" s="1" t="s">
        <v>74</v>
      </c>
      <c r="Z300" s="1" t="s">
        <v>74</v>
      </c>
      <c r="AA300" s="1" t="s">
        <v>74</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74</v>
      </c>
      <c r="AP300" s="1" t="s">
        <v>74</v>
      </c>
      <c r="AQ300" s="1" t="s">
        <v>2783</v>
      </c>
      <c r="AR300" s="1" t="s">
        <v>74</v>
      </c>
      <c r="AS300" s="1" t="s">
        <v>74</v>
      </c>
      <c r="AT300" s="1" t="s">
        <v>74</v>
      </c>
      <c r="AU300" s="1">
        <v>2020.0</v>
      </c>
      <c r="AV300" s="1">
        <v>8.0</v>
      </c>
      <c r="AW300" s="1" t="s">
        <v>74</v>
      </c>
      <c r="AX300" s="1" t="s">
        <v>74</v>
      </c>
      <c r="AY300" s="1" t="s">
        <v>74</v>
      </c>
      <c r="AZ300" s="1" t="s">
        <v>74</v>
      </c>
      <c r="BA300" s="1" t="s">
        <v>74</v>
      </c>
      <c r="BB300" s="1">
        <v>106.0</v>
      </c>
      <c r="BC300" s="1">
        <v>109.0</v>
      </c>
      <c r="BD300" s="1" t="s">
        <v>74</v>
      </c>
      <c r="BE300" s="1" t="s">
        <v>74</v>
      </c>
      <c r="BF300" s="1" t="s">
        <v>74</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2784</v>
      </c>
      <c r="BT300" s="1" t="str">
        <f>HYPERLINK("https%3A%2F%2Fwww.webofscience.com%2Fwos%2Fwoscc%2Ffull-record%2FWOS:000608865900025","View Full Record in Web of Science")</f>
        <v>View Full Record in Web of Science</v>
      </c>
    </row>
    <row r="301" ht="12.75" customHeight="1">
      <c r="A301" s="1" t="s">
        <v>72</v>
      </c>
      <c r="B301" s="1" t="s">
        <v>319</v>
      </c>
      <c r="C301" s="1" t="s">
        <v>74</v>
      </c>
      <c r="D301" s="1" t="s">
        <v>74</v>
      </c>
      <c r="E301" s="1" t="s">
        <v>74</v>
      </c>
      <c r="F301" s="1" t="s">
        <v>320</v>
      </c>
      <c r="G301" s="1" t="s">
        <v>74</v>
      </c>
      <c r="H301" s="1" t="s">
        <v>74</v>
      </c>
      <c r="I301" s="1" t="s">
        <v>2785</v>
      </c>
      <c r="J301" s="1" t="s">
        <v>322</v>
      </c>
      <c r="K301" s="1" t="s">
        <v>74</v>
      </c>
      <c r="L301" s="1" t="s">
        <v>74</v>
      </c>
      <c r="M301" s="1" t="s">
        <v>74</v>
      </c>
      <c r="N301" s="1" t="s">
        <v>74</v>
      </c>
      <c r="O301" s="1" t="s">
        <v>74</v>
      </c>
      <c r="P301" s="1" t="s">
        <v>74</v>
      </c>
      <c r="Q301" s="1" t="s">
        <v>74</v>
      </c>
      <c r="R301" s="1" t="s">
        <v>74</v>
      </c>
      <c r="S301" s="1" t="s">
        <v>74</v>
      </c>
      <c r="T301" s="1" t="s">
        <v>74</v>
      </c>
      <c r="U301" s="1" t="s">
        <v>74</v>
      </c>
      <c r="V301" s="1" t="s">
        <v>2786</v>
      </c>
      <c r="W301" s="1" t="s">
        <v>74</v>
      </c>
      <c r="X301" s="1" t="s">
        <v>74</v>
      </c>
      <c r="Y301" s="1" t="s">
        <v>74</v>
      </c>
      <c r="Z301" s="1" t="s">
        <v>74</v>
      </c>
      <c r="AA301" s="1" t="s">
        <v>74</v>
      </c>
      <c r="AB301" s="1" t="s">
        <v>2787</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324</v>
      </c>
      <c r="AP301" s="1" t="s">
        <v>325</v>
      </c>
      <c r="AQ301" s="1" t="s">
        <v>74</v>
      </c>
      <c r="AR301" s="1" t="s">
        <v>74</v>
      </c>
      <c r="AS301" s="1" t="s">
        <v>74</v>
      </c>
      <c r="AT301" s="1" t="s">
        <v>2788</v>
      </c>
      <c r="AU301" s="1">
        <v>2019.0</v>
      </c>
      <c r="AV301" s="1">
        <v>34.0</v>
      </c>
      <c r="AW301" s="1">
        <v>34.0</v>
      </c>
      <c r="AX301" s="1" t="s">
        <v>74</v>
      </c>
      <c r="AY301" s="1" t="s">
        <v>74</v>
      </c>
      <c r="AZ301" s="1" t="s">
        <v>74</v>
      </c>
      <c r="BA301" s="1" t="s">
        <v>74</v>
      </c>
      <c r="BB301" s="1" t="s">
        <v>74</v>
      </c>
      <c r="BC301" s="1" t="s">
        <v>74</v>
      </c>
      <c r="BD301" s="1">
        <v>1950284.0</v>
      </c>
      <c r="BE301" s="1" t="s">
        <v>2789</v>
      </c>
      <c r="BF301" s="2" t="str">
        <f>HYPERLINK("http://dx.doi.org/10.1142/S0217732319502845","http://dx.doi.org/10.1142/S0217732319502845")</f>
        <v>http://dx.doi.org/10.1142/S0217732319502845</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2790</v>
      </c>
      <c r="BT301" s="1" t="str">
        <f>HYPERLINK("https%3A%2F%2Fwww.webofscience.com%2Fwos%2Fwoscc%2Ffull-record%2FWOS:000495398300009","View Full Record in Web of Science")</f>
        <v>View Full Record in Web of Science</v>
      </c>
    </row>
    <row r="302" ht="12.75" customHeight="1">
      <c r="A302" s="1" t="s">
        <v>72</v>
      </c>
      <c r="B302" s="1" t="s">
        <v>1005</v>
      </c>
      <c r="C302" s="1" t="s">
        <v>74</v>
      </c>
      <c r="D302" s="1" t="s">
        <v>74</v>
      </c>
      <c r="E302" s="1" t="s">
        <v>74</v>
      </c>
      <c r="F302" s="1" t="s">
        <v>1294</v>
      </c>
      <c r="G302" s="1" t="s">
        <v>74</v>
      </c>
      <c r="H302" s="1" t="s">
        <v>74</v>
      </c>
      <c r="I302" s="1" t="s">
        <v>2791</v>
      </c>
      <c r="J302" s="1" t="s">
        <v>2792</v>
      </c>
      <c r="K302" s="1" t="s">
        <v>74</v>
      </c>
      <c r="L302" s="1" t="s">
        <v>74</v>
      </c>
      <c r="M302" s="1" t="s">
        <v>74</v>
      </c>
      <c r="N302" s="1" t="s">
        <v>74</v>
      </c>
      <c r="O302" s="1" t="s">
        <v>74</v>
      </c>
      <c r="P302" s="1" t="s">
        <v>74</v>
      </c>
      <c r="Q302" s="1" t="s">
        <v>74</v>
      </c>
      <c r="R302" s="1" t="s">
        <v>74</v>
      </c>
      <c r="S302" s="1" t="s">
        <v>74</v>
      </c>
      <c r="T302" s="1" t="s">
        <v>74</v>
      </c>
      <c r="U302" s="1" t="s">
        <v>74</v>
      </c>
      <c r="V302" s="1" t="s">
        <v>74</v>
      </c>
      <c r="W302" s="1" t="s">
        <v>74</v>
      </c>
      <c r="X302" s="1" t="s">
        <v>74</v>
      </c>
      <c r="Y302" s="1" t="s">
        <v>74</v>
      </c>
      <c r="Z302" s="1" t="s">
        <v>74</v>
      </c>
      <c r="AA302" s="1" t="s">
        <v>74</v>
      </c>
      <c r="AB302" s="1" t="s">
        <v>1010</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2793</v>
      </c>
      <c r="AP302" s="1" t="s">
        <v>2794</v>
      </c>
      <c r="AQ302" s="1" t="s">
        <v>74</v>
      </c>
      <c r="AR302" s="1" t="s">
        <v>74</v>
      </c>
      <c r="AS302" s="1" t="s">
        <v>74</v>
      </c>
      <c r="AT302" s="1" t="s">
        <v>74</v>
      </c>
      <c r="AU302" s="1">
        <v>2019.0</v>
      </c>
      <c r="AV302" s="1">
        <v>76.0</v>
      </c>
      <c r="AW302" s="1" t="s">
        <v>74</v>
      </c>
      <c r="AX302" s="1" t="s">
        <v>74</v>
      </c>
      <c r="AY302" s="1" t="s">
        <v>74</v>
      </c>
      <c r="AZ302" s="1" t="s">
        <v>74</v>
      </c>
      <c r="BA302" s="1" t="s">
        <v>74</v>
      </c>
      <c r="BB302" s="1">
        <v>245.0</v>
      </c>
      <c r="BC302" s="1">
        <v>250.0</v>
      </c>
      <c r="BD302" s="1" t="s">
        <v>74</v>
      </c>
      <c r="BE302" s="1" t="s">
        <v>74</v>
      </c>
      <c r="BF302" s="1" t="s">
        <v>74</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2795</v>
      </c>
      <c r="BT302" s="1" t="str">
        <f>HYPERLINK("https%3A%2F%2Fwww.webofscience.com%2Fwos%2Fwoscc%2Ffull-record%2FWOS:000594488700020","View Full Record in Web of Science")</f>
        <v>View Full Record in Web of Science</v>
      </c>
    </row>
    <row r="303" ht="12.75" customHeight="1">
      <c r="A303" s="1" t="s">
        <v>72</v>
      </c>
      <c r="B303" s="1" t="s">
        <v>2796</v>
      </c>
      <c r="C303" s="1" t="s">
        <v>74</v>
      </c>
      <c r="D303" s="1" t="s">
        <v>74</v>
      </c>
      <c r="E303" s="1" t="s">
        <v>74</v>
      </c>
      <c r="F303" s="1" t="s">
        <v>2797</v>
      </c>
      <c r="G303" s="1" t="s">
        <v>74</v>
      </c>
      <c r="H303" s="1" t="s">
        <v>74</v>
      </c>
      <c r="I303" s="1" t="s">
        <v>2798</v>
      </c>
      <c r="J303" s="1" t="s">
        <v>2799</v>
      </c>
      <c r="K303" s="1" t="s">
        <v>74</v>
      </c>
      <c r="L303" s="1" t="s">
        <v>74</v>
      </c>
      <c r="M303" s="1" t="s">
        <v>74</v>
      </c>
      <c r="N303" s="1" t="s">
        <v>74</v>
      </c>
      <c r="O303" s="1" t="s">
        <v>74</v>
      </c>
      <c r="P303" s="1" t="s">
        <v>74</v>
      </c>
      <c r="Q303" s="1" t="s">
        <v>74</v>
      </c>
      <c r="R303" s="1" t="s">
        <v>74</v>
      </c>
      <c r="S303" s="1" t="s">
        <v>74</v>
      </c>
      <c r="T303" s="1" t="s">
        <v>74</v>
      </c>
      <c r="U303" s="1" t="s">
        <v>74</v>
      </c>
      <c r="V303" s="1" t="s">
        <v>2800</v>
      </c>
      <c r="W303" s="1" t="s">
        <v>74</v>
      </c>
      <c r="X303" s="1" t="s">
        <v>74</v>
      </c>
      <c r="Y303" s="1" t="s">
        <v>74</v>
      </c>
      <c r="Z303" s="1" t="s">
        <v>74</v>
      </c>
      <c r="AA303" s="1" t="s">
        <v>2801</v>
      </c>
      <c r="AB303" s="1" t="s">
        <v>2802</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2803</v>
      </c>
      <c r="AP303" s="1" t="s">
        <v>74</v>
      </c>
      <c r="AQ303" s="1" t="s">
        <v>74</v>
      </c>
      <c r="AR303" s="1" t="s">
        <v>74</v>
      </c>
      <c r="AS303" s="1" t="s">
        <v>74</v>
      </c>
      <c r="AT303" s="1" t="s">
        <v>74</v>
      </c>
      <c r="AU303" s="1">
        <v>2019.0</v>
      </c>
      <c r="AV303" s="1">
        <v>14.0</v>
      </c>
      <c r="AW303" s="1" t="s">
        <v>74</v>
      </c>
      <c r="AX303" s="1" t="s">
        <v>74</v>
      </c>
      <c r="AY303" s="1" t="s">
        <v>74</v>
      </c>
      <c r="AZ303" s="1" t="s">
        <v>74</v>
      </c>
      <c r="BA303" s="1" t="s">
        <v>74</v>
      </c>
      <c r="BB303" s="1">
        <v>2433.0</v>
      </c>
      <c r="BC303" s="1">
        <v>2447.0</v>
      </c>
      <c r="BD303" s="1" t="s">
        <v>74</v>
      </c>
      <c r="BE303" s="1" t="s">
        <v>2804</v>
      </c>
      <c r="BF303" s="2" t="str">
        <f>HYPERLINK("http://dx.doi.org/10.2147/IJN.S192925","http://dx.doi.org/10.2147/IJN.S192925")</f>
        <v>http://dx.doi.org/10.2147/IJN.S192925</v>
      </c>
      <c r="BG303" s="1" t="s">
        <v>74</v>
      </c>
      <c r="BH303" s="1" t="s">
        <v>74</v>
      </c>
      <c r="BI303" s="1" t="s">
        <v>74</v>
      </c>
      <c r="BJ303" s="1" t="s">
        <v>74</v>
      </c>
      <c r="BK303" s="1" t="s">
        <v>74</v>
      </c>
      <c r="BL303" s="1" t="s">
        <v>74</v>
      </c>
      <c r="BM303" s="1" t="s">
        <v>74</v>
      </c>
      <c r="BN303" s="1">
        <v>3.1040666E7</v>
      </c>
      <c r="BO303" s="1" t="s">
        <v>74</v>
      </c>
      <c r="BP303" s="1" t="s">
        <v>74</v>
      </c>
      <c r="BQ303" s="1" t="s">
        <v>74</v>
      </c>
      <c r="BR303" s="1" t="s">
        <v>74</v>
      </c>
      <c r="BS303" s="1" t="s">
        <v>2805</v>
      </c>
      <c r="BT303" s="1" t="str">
        <f>HYPERLINK("https%3A%2F%2Fwww.webofscience.com%2Fwos%2Fwoscc%2Ffull-record%2FWOS:000463728200003","View Full Record in Web of Science")</f>
        <v>View Full Record in Web of Science</v>
      </c>
    </row>
    <row r="304" ht="12.75" customHeight="1">
      <c r="A304" s="1" t="s">
        <v>72</v>
      </c>
      <c r="B304" s="1" t="s">
        <v>1403</v>
      </c>
      <c r="C304" s="1" t="s">
        <v>74</v>
      </c>
      <c r="D304" s="1" t="s">
        <v>74</v>
      </c>
      <c r="E304" s="1" t="s">
        <v>74</v>
      </c>
      <c r="F304" s="1" t="s">
        <v>1404</v>
      </c>
      <c r="G304" s="1" t="s">
        <v>74</v>
      </c>
      <c r="H304" s="1" t="s">
        <v>74</v>
      </c>
      <c r="I304" s="1" t="s">
        <v>2806</v>
      </c>
      <c r="J304" s="1" t="s">
        <v>2807</v>
      </c>
      <c r="K304" s="1" t="s">
        <v>74</v>
      </c>
      <c r="L304" s="1" t="s">
        <v>74</v>
      </c>
      <c r="M304" s="1" t="s">
        <v>74</v>
      </c>
      <c r="N304" s="1" t="s">
        <v>74</v>
      </c>
      <c r="O304" s="1" t="s">
        <v>74</v>
      </c>
      <c r="P304" s="1" t="s">
        <v>74</v>
      </c>
      <c r="Q304" s="1" t="s">
        <v>74</v>
      </c>
      <c r="R304" s="1" t="s">
        <v>74</v>
      </c>
      <c r="S304" s="1" t="s">
        <v>74</v>
      </c>
      <c r="T304" s="1" t="s">
        <v>74</v>
      </c>
      <c r="U304" s="1" t="s">
        <v>74</v>
      </c>
      <c r="V304" s="1" t="s">
        <v>74</v>
      </c>
      <c r="W304" s="1" t="s">
        <v>74</v>
      </c>
      <c r="X304" s="1" t="s">
        <v>74</v>
      </c>
      <c r="Y304" s="1" t="s">
        <v>74</v>
      </c>
      <c r="Z304" s="1" t="s">
        <v>74</v>
      </c>
      <c r="AA304" s="1" t="s">
        <v>74</v>
      </c>
      <c r="AB304" s="1" t="s">
        <v>1408</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2808</v>
      </c>
      <c r="AP304" s="1" t="s">
        <v>2809</v>
      </c>
      <c r="AQ304" s="1" t="s">
        <v>74</v>
      </c>
      <c r="AR304" s="1" t="s">
        <v>74</v>
      </c>
      <c r="AS304" s="1" t="s">
        <v>74</v>
      </c>
      <c r="AT304" s="1" t="s">
        <v>974</v>
      </c>
      <c r="AU304" s="1">
        <v>2018.0</v>
      </c>
      <c r="AV304" s="1">
        <v>70.0</v>
      </c>
      <c r="AW304" s="1" t="s">
        <v>74</v>
      </c>
      <c r="AX304" s="1" t="s">
        <v>74</v>
      </c>
      <c r="AY304" s="1" t="s">
        <v>74</v>
      </c>
      <c r="AZ304" s="1" t="s">
        <v>74</v>
      </c>
      <c r="BA304" s="1" t="s">
        <v>74</v>
      </c>
      <c r="BB304" s="1">
        <v>29.0</v>
      </c>
      <c r="BC304" s="1">
        <v>32.0</v>
      </c>
      <c r="BD304" s="1" t="s">
        <v>74</v>
      </c>
      <c r="BE304" s="1" t="s">
        <v>2810</v>
      </c>
      <c r="BF304" s="2" t="str">
        <f>HYPERLINK("http://dx.doi.org/10.1016/j.shpsc.2018.05.010","http://dx.doi.org/10.1016/j.shpsc.2018.05.010")</f>
        <v>http://dx.doi.org/10.1016/j.shpsc.2018.05.010</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2811</v>
      </c>
      <c r="BT304" s="1" t="str">
        <f>HYPERLINK("https%3A%2F%2Fwww.webofscience.com%2Fwos%2Fwoscc%2Ffull-record%2FWOS:000441624400004","View Full Record in Web of Science")</f>
        <v>View Full Record in Web of Science</v>
      </c>
    </row>
    <row r="305" ht="12.75" customHeight="1">
      <c r="A305" s="1" t="s">
        <v>72</v>
      </c>
      <c r="B305" s="1" t="s">
        <v>2812</v>
      </c>
      <c r="C305" s="1" t="s">
        <v>74</v>
      </c>
      <c r="D305" s="1" t="s">
        <v>74</v>
      </c>
      <c r="E305" s="1" t="s">
        <v>74</v>
      </c>
      <c r="F305" s="1" t="s">
        <v>2813</v>
      </c>
      <c r="G305" s="1" t="s">
        <v>74</v>
      </c>
      <c r="H305" s="1" t="s">
        <v>74</v>
      </c>
      <c r="I305" s="1" t="s">
        <v>2814</v>
      </c>
      <c r="J305" s="1" t="s">
        <v>2815</v>
      </c>
      <c r="K305" s="1" t="s">
        <v>74</v>
      </c>
      <c r="L305" s="1" t="s">
        <v>74</v>
      </c>
      <c r="M305" s="1" t="s">
        <v>74</v>
      </c>
      <c r="N305" s="1" t="s">
        <v>74</v>
      </c>
      <c r="O305" s="1" t="s">
        <v>74</v>
      </c>
      <c r="P305" s="1" t="s">
        <v>74</v>
      </c>
      <c r="Q305" s="1" t="s">
        <v>74</v>
      </c>
      <c r="R305" s="1" t="s">
        <v>74</v>
      </c>
      <c r="S305" s="1" t="s">
        <v>74</v>
      </c>
      <c r="T305" s="1" t="s">
        <v>74</v>
      </c>
      <c r="U305" s="1" t="s">
        <v>74</v>
      </c>
      <c r="V305" s="1" t="s">
        <v>2816</v>
      </c>
      <c r="W305" s="1" t="s">
        <v>74</v>
      </c>
      <c r="X305" s="1" t="s">
        <v>74</v>
      </c>
      <c r="Y305" s="1" t="s">
        <v>74</v>
      </c>
      <c r="Z305" s="1" t="s">
        <v>74</v>
      </c>
      <c r="AA305" s="1" t="s">
        <v>74</v>
      </c>
      <c r="AB305" s="1" t="s">
        <v>74</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2817</v>
      </c>
      <c r="AP305" s="1" t="s">
        <v>2818</v>
      </c>
      <c r="AQ305" s="1" t="s">
        <v>74</v>
      </c>
      <c r="AR305" s="1" t="s">
        <v>74</v>
      </c>
      <c r="AS305" s="1" t="s">
        <v>74</v>
      </c>
      <c r="AT305" s="1" t="s">
        <v>2819</v>
      </c>
      <c r="AU305" s="1">
        <v>2018.0</v>
      </c>
      <c r="AV305" s="1">
        <v>22.0</v>
      </c>
      <c r="AW305" s="1">
        <v>2.0</v>
      </c>
      <c r="AX305" s="1" t="s">
        <v>74</v>
      </c>
      <c r="AY305" s="1" t="s">
        <v>74</v>
      </c>
      <c r="AZ305" s="1" t="s">
        <v>74</v>
      </c>
      <c r="BA305" s="1" t="s">
        <v>74</v>
      </c>
      <c r="BB305" s="1">
        <v>290.0</v>
      </c>
      <c r="BC305" s="1">
        <v>302.0</v>
      </c>
      <c r="BD305" s="1" t="s">
        <v>74</v>
      </c>
      <c r="BE305" s="1" t="s">
        <v>2820</v>
      </c>
      <c r="BF305" s="2" t="str">
        <f>HYPERLINK("http://dx.doi.org/10.4013/htu.2018.222.12","http://dx.doi.org/10.4013/htu.2018.222.12")</f>
        <v>http://dx.doi.org/10.4013/htu.2018.222.12</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2821</v>
      </c>
      <c r="BT305" s="1" t="str">
        <f>HYPERLINK("https%3A%2F%2Fwww.webofscience.com%2Fwos%2Fwoscc%2Ffull-record%2FWOS:000442681100013","View Full Record in Web of Science")</f>
        <v>View Full Record in Web of Science</v>
      </c>
    </row>
    <row r="306" ht="12.75" customHeight="1">
      <c r="A306" s="1" t="s">
        <v>72</v>
      </c>
      <c r="B306" s="1" t="s">
        <v>2822</v>
      </c>
      <c r="C306" s="1" t="s">
        <v>74</v>
      </c>
      <c r="D306" s="1" t="s">
        <v>74</v>
      </c>
      <c r="E306" s="1" t="s">
        <v>74</v>
      </c>
      <c r="F306" s="1" t="s">
        <v>2823</v>
      </c>
      <c r="G306" s="1" t="s">
        <v>74</v>
      </c>
      <c r="H306" s="1" t="s">
        <v>74</v>
      </c>
      <c r="I306" s="1" t="s">
        <v>2824</v>
      </c>
      <c r="J306" s="1" t="s">
        <v>2825</v>
      </c>
      <c r="K306" s="1" t="s">
        <v>74</v>
      </c>
      <c r="L306" s="1" t="s">
        <v>74</v>
      </c>
      <c r="M306" s="1" t="s">
        <v>74</v>
      </c>
      <c r="N306" s="1" t="s">
        <v>74</v>
      </c>
      <c r="O306" s="1" t="s">
        <v>74</v>
      </c>
      <c r="P306" s="1" t="s">
        <v>74</v>
      </c>
      <c r="Q306" s="1" t="s">
        <v>74</v>
      </c>
      <c r="R306" s="1" t="s">
        <v>74</v>
      </c>
      <c r="S306" s="1" t="s">
        <v>74</v>
      </c>
      <c r="T306" s="1" t="s">
        <v>74</v>
      </c>
      <c r="U306" s="1" t="s">
        <v>74</v>
      </c>
      <c r="V306" s="1" t="s">
        <v>2826</v>
      </c>
      <c r="W306" s="1" t="s">
        <v>74</v>
      </c>
      <c r="X306" s="1" t="s">
        <v>74</v>
      </c>
      <c r="Y306" s="1" t="s">
        <v>74</v>
      </c>
      <c r="Z306" s="1" t="s">
        <v>74</v>
      </c>
      <c r="AA306" s="1" t="s">
        <v>2827</v>
      </c>
      <c r="AB306" s="1" t="s">
        <v>2828</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2829</v>
      </c>
      <c r="AP306" s="1" t="s">
        <v>2830</v>
      </c>
      <c r="AQ306" s="1" t="s">
        <v>74</v>
      </c>
      <c r="AR306" s="1" t="s">
        <v>74</v>
      </c>
      <c r="AS306" s="1" t="s">
        <v>74</v>
      </c>
      <c r="AT306" s="1" t="s">
        <v>193</v>
      </c>
      <c r="AU306" s="1">
        <v>2018.0</v>
      </c>
      <c r="AV306" s="1">
        <v>32.0</v>
      </c>
      <c r="AW306" s="1">
        <v>2.0</v>
      </c>
      <c r="AX306" s="1" t="s">
        <v>74</v>
      </c>
      <c r="AY306" s="1" t="s">
        <v>74</v>
      </c>
      <c r="AZ306" s="1" t="s">
        <v>74</v>
      </c>
      <c r="BA306" s="1" t="s">
        <v>74</v>
      </c>
      <c r="BB306" s="1">
        <v>518.0</v>
      </c>
      <c r="BC306" s="1">
        <v>540.0</v>
      </c>
      <c r="BD306" s="1" t="s">
        <v>74</v>
      </c>
      <c r="BE306" s="1" t="s">
        <v>2831</v>
      </c>
      <c r="BF306" s="2" t="str">
        <f>HYPERLINK("http://dx.doi.org/10.1111/joes.12202","http://dx.doi.org/10.1111/joes.12202")</f>
        <v>http://dx.doi.org/10.1111/joes.12202</v>
      </c>
      <c r="BG306" s="1" t="s">
        <v>74</v>
      </c>
      <c r="BH306" s="1" t="s">
        <v>74</v>
      </c>
      <c r="BI306" s="1" t="s">
        <v>74</v>
      </c>
      <c r="BJ306" s="1" t="s">
        <v>74</v>
      </c>
      <c r="BK306" s="1" t="s">
        <v>74</v>
      </c>
      <c r="BL306" s="1" t="s">
        <v>74</v>
      </c>
      <c r="BM306" s="1" t="s">
        <v>74</v>
      </c>
      <c r="BN306" s="1" t="s">
        <v>74</v>
      </c>
      <c r="BO306" s="1" t="s">
        <v>74</v>
      </c>
      <c r="BP306" s="1" t="s">
        <v>74</v>
      </c>
      <c r="BQ306" s="1" t="s">
        <v>74</v>
      </c>
      <c r="BR306" s="1" t="s">
        <v>74</v>
      </c>
      <c r="BS306" s="1" t="s">
        <v>2832</v>
      </c>
      <c r="BT306" s="1" t="str">
        <f>HYPERLINK("https%3A%2F%2Fwww.webofscience.com%2Fwos%2Fwoscc%2Ffull-record%2FWOS:000427123800010","View Full Record in Web of Science")</f>
        <v>View Full Record in Web of Science</v>
      </c>
    </row>
    <row r="307" ht="12.75" customHeight="1">
      <c r="A307" s="1" t="s">
        <v>72</v>
      </c>
      <c r="B307" s="1" t="s">
        <v>2833</v>
      </c>
      <c r="C307" s="1" t="s">
        <v>74</v>
      </c>
      <c r="D307" s="1" t="s">
        <v>74</v>
      </c>
      <c r="E307" s="1" t="s">
        <v>74</v>
      </c>
      <c r="F307" s="1" t="s">
        <v>2834</v>
      </c>
      <c r="G307" s="1" t="s">
        <v>74</v>
      </c>
      <c r="H307" s="1" t="s">
        <v>74</v>
      </c>
      <c r="I307" s="1" t="s">
        <v>2835</v>
      </c>
      <c r="J307" s="1" t="s">
        <v>2836</v>
      </c>
      <c r="K307" s="1" t="s">
        <v>74</v>
      </c>
      <c r="L307" s="1" t="s">
        <v>74</v>
      </c>
      <c r="M307" s="1" t="s">
        <v>74</v>
      </c>
      <c r="N307" s="1" t="s">
        <v>74</v>
      </c>
      <c r="O307" s="1" t="s">
        <v>74</v>
      </c>
      <c r="P307" s="1" t="s">
        <v>74</v>
      </c>
      <c r="Q307" s="1" t="s">
        <v>74</v>
      </c>
      <c r="R307" s="1" t="s">
        <v>74</v>
      </c>
      <c r="S307" s="1" t="s">
        <v>74</v>
      </c>
      <c r="T307" s="1" t="s">
        <v>74</v>
      </c>
      <c r="U307" s="1" t="s">
        <v>74</v>
      </c>
      <c r="V307" s="1" t="s">
        <v>2837</v>
      </c>
      <c r="W307" s="1" t="s">
        <v>74</v>
      </c>
      <c r="X307" s="1" t="s">
        <v>74</v>
      </c>
      <c r="Y307" s="1" t="s">
        <v>74</v>
      </c>
      <c r="Z307" s="1" t="s">
        <v>74</v>
      </c>
      <c r="AA307" s="1" t="s">
        <v>2838</v>
      </c>
      <c r="AB307" s="1" t="s">
        <v>74</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2839</v>
      </c>
      <c r="AP307" s="1" t="s">
        <v>74</v>
      </c>
      <c r="AQ307" s="1" t="s">
        <v>74</v>
      </c>
      <c r="AR307" s="1" t="s">
        <v>74</v>
      </c>
      <c r="AS307" s="1" t="s">
        <v>74</v>
      </c>
      <c r="AT307" s="1" t="s">
        <v>148</v>
      </c>
      <c r="AU307" s="1">
        <v>2017.0</v>
      </c>
      <c r="AV307" s="1">
        <v>33.0</v>
      </c>
      <c r="AW307" s="1" t="s">
        <v>945</v>
      </c>
      <c r="AX307" s="1" t="s">
        <v>74</v>
      </c>
      <c r="AY307" s="1" t="s">
        <v>74</v>
      </c>
      <c r="AZ307" s="1" t="s">
        <v>74</v>
      </c>
      <c r="BA307" s="1" t="s">
        <v>74</v>
      </c>
      <c r="BB307" s="1">
        <v>179.0</v>
      </c>
      <c r="BC307" s="1">
        <v>187.0</v>
      </c>
      <c r="BD307" s="1" t="s">
        <v>74</v>
      </c>
      <c r="BE307" s="1" t="s">
        <v>2840</v>
      </c>
      <c r="BF307" s="2" t="str">
        <f>HYPERLINK("http://dx.doi.org/10.1016/j.rimni.2016.04.007","http://dx.doi.org/10.1016/j.rimni.2016.04.007")</f>
        <v>http://dx.doi.org/10.1016/j.rimni.2016.04.007</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2841</v>
      </c>
      <c r="BT307" s="1" t="str">
        <f>HYPERLINK("https%3A%2F%2Fwww.webofscience.com%2Fwos%2Fwoscc%2Ffull-record%2FWOS:000402446200004","View Full Record in Web of Science")</f>
        <v>View Full Record in Web of Science</v>
      </c>
    </row>
    <row r="308" ht="12.75" customHeight="1">
      <c r="A308" s="1" t="s">
        <v>72</v>
      </c>
      <c r="B308" s="1" t="s">
        <v>2842</v>
      </c>
      <c r="C308" s="1" t="s">
        <v>74</v>
      </c>
      <c r="D308" s="1" t="s">
        <v>74</v>
      </c>
      <c r="E308" s="1" t="s">
        <v>74</v>
      </c>
      <c r="F308" s="1" t="s">
        <v>2843</v>
      </c>
      <c r="G308" s="1" t="s">
        <v>74</v>
      </c>
      <c r="H308" s="1" t="s">
        <v>74</v>
      </c>
      <c r="I308" s="1" t="s">
        <v>2844</v>
      </c>
      <c r="J308" s="1" t="s">
        <v>2845</v>
      </c>
      <c r="K308" s="1" t="s">
        <v>74</v>
      </c>
      <c r="L308" s="1" t="s">
        <v>74</v>
      </c>
      <c r="M308" s="1" t="s">
        <v>74</v>
      </c>
      <c r="N308" s="1" t="s">
        <v>74</v>
      </c>
      <c r="O308" s="1" t="s">
        <v>74</v>
      </c>
      <c r="P308" s="1" t="s">
        <v>74</v>
      </c>
      <c r="Q308" s="1" t="s">
        <v>74</v>
      </c>
      <c r="R308" s="1" t="s">
        <v>74</v>
      </c>
      <c r="S308" s="1" t="s">
        <v>74</v>
      </c>
      <c r="T308" s="1" t="s">
        <v>74</v>
      </c>
      <c r="U308" s="1" t="s">
        <v>74</v>
      </c>
      <c r="V308" s="1" t="s">
        <v>2846</v>
      </c>
      <c r="W308" s="1" t="s">
        <v>74</v>
      </c>
      <c r="X308" s="1" t="s">
        <v>74</v>
      </c>
      <c r="Y308" s="1" t="s">
        <v>74</v>
      </c>
      <c r="Z308" s="1" t="s">
        <v>74</v>
      </c>
      <c r="AA308" s="1" t="s">
        <v>2847</v>
      </c>
      <c r="AB308" s="1" t="s">
        <v>2848</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2849</v>
      </c>
      <c r="AP308" s="1" t="s">
        <v>2850</v>
      </c>
      <c r="AQ308" s="1" t="s">
        <v>74</v>
      </c>
      <c r="AR308" s="1" t="s">
        <v>74</v>
      </c>
      <c r="AS308" s="1" t="s">
        <v>74</v>
      </c>
      <c r="AT308" s="1" t="s">
        <v>2851</v>
      </c>
      <c r="AU308" s="1">
        <v>2016.0</v>
      </c>
      <c r="AV308" s="1">
        <v>76.0</v>
      </c>
      <c r="AW308" s="1">
        <v>11.0</v>
      </c>
      <c r="AX308" s="1" t="s">
        <v>74</v>
      </c>
      <c r="AY308" s="1" t="s">
        <v>74</v>
      </c>
      <c r="AZ308" s="1" t="s">
        <v>74</v>
      </c>
      <c r="BA308" s="1" t="s">
        <v>74</v>
      </c>
      <c r="BB308" s="1" t="s">
        <v>74</v>
      </c>
      <c r="BC308" s="1" t="s">
        <v>74</v>
      </c>
      <c r="BD308" s="1">
        <v>622.0</v>
      </c>
      <c r="BE308" s="1" t="s">
        <v>2852</v>
      </c>
      <c r="BF308" s="2" t="str">
        <f>HYPERLINK("http://dx.doi.org/10.1140/epjc/s10052-016-4483-0","http://dx.doi.org/10.1140/epjc/s10052-016-4483-0")</f>
        <v>http://dx.doi.org/10.1140/epjc/s10052-016-4483-0</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2853</v>
      </c>
      <c r="BT308" s="1" t="str">
        <f>HYPERLINK("https%3A%2F%2Fwww.webofscience.com%2Fwos%2Fwoscc%2Ffull-record%2FWOS:000388680400002","View Full Record in Web of Science")</f>
        <v>View Full Record in Web of Science</v>
      </c>
    </row>
    <row r="309" ht="12.75" customHeight="1">
      <c r="A309" s="1" t="s">
        <v>72</v>
      </c>
      <c r="B309" s="1" t="s">
        <v>2854</v>
      </c>
      <c r="C309" s="1" t="s">
        <v>74</v>
      </c>
      <c r="D309" s="1" t="s">
        <v>74</v>
      </c>
      <c r="E309" s="1" t="s">
        <v>74</v>
      </c>
      <c r="F309" s="1" t="s">
        <v>2855</v>
      </c>
      <c r="G309" s="1" t="s">
        <v>74</v>
      </c>
      <c r="H309" s="1" t="s">
        <v>74</v>
      </c>
      <c r="I309" s="1" t="s">
        <v>2856</v>
      </c>
      <c r="J309" s="1" t="s">
        <v>2857</v>
      </c>
      <c r="K309" s="1" t="s">
        <v>74</v>
      </c>
      <c r="L309" s="1" t="s">
        <v>74</v>
      </c>
      <c r="M309" s="1" t="s">
        <v>74</v>
      </c>
      <c r="N309" s="1" t="s">
        <v>74</v>
      </c>
      <c r="O309" s="1" t="s">
        <v>74</v>
      </c>
      <c r="P309" s="1" t="s">
        <v>74</v>
      </c>
      <c r="Q309" s="1" t="s">
        <v>74</v>
      </c>
      <c r="R309" s="1" t="s">
        <v>74</v>
      </c>
      <c r="S309" s="1" t="s">
        <v>74</v>
      </c>
      <c r="T309" s="1" t="s">
        <v>74</v>
      </c>
      <c r="U309" s="1" t="s">
        <v>74</v>
      </c>
      <c r="V309" s="1" t="s">
        <v>74</v>
      </c>
      <c r="W309" s="1" t="s">
        <v>74</v>
      </c>
      <c r="X309" s="1" t="s">
        <v>74</v>
      </c>
      <c r="Y309" s="1" t="s">
        <v>74</v>
      </c>
      <c r="Z309" s="1" t="s">
        <v>74</v>
      </c>
      <c r="AA309" s="1" t="s">
        <v>74</v>
      </c>
      <c r="AB309" s="1" t="s">
        <v>74</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2858</v>
      </c>
      <c r="AP309" s="1" t="s">
        <v>2859</v>
      </c>
      <c r="AQ309" s="1" t="s">
        <v>74</v>
      </c>
      <c r="AR309" s="1" t="s">
        <v>74</v>
      </c>
      <c r="AS309" s="1" t="s">
        <v>74</v>
      </c>
      <c r="AT309" s="1" t="s">
        <v>974</v>
      </c>
      <c r="AU309" s="1">
        <v>2016.0</v>
      </c>
      <c r="AV309" s="1">
        <v>96.0</v>
      </c>
      <c r="AW309" s="1">
        <v>3.0</v>
      </c>
      <c r="AX309" s="1" t="s">
        <v>74</v>
      </c>
      <c r="AY309" s="1" t="s">
        <v>74</v>
      </c>
      <c r="AZ309" s="1" t="s">
        <v>159</v>
      </c>
      <c r="BA309" s="1" t="s">
        <v>74</v>
      </c>
      <c r="BB309" s="1">
        <v>589.0</v>
      </c>
      <c r="BC309" s="1">
        <v>590.0</v>
      </c>
      <c r="BD309" s="1" t="s">
        <v>74</v>
      </c>
      <c r="BE309" s="1" t="s">
        <v>2860</v>
      </c>
      <c r="BF309" s="2" t="str">
        <f>HYPERLINK("http://dx.doi.org/10.1215/00182168-3601910","http://dx.doi.org/10.1215/00182168-3601910")</f>
        <v>http://dx.doi.org/10.1215/00182168-3601910</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2861</v>
      </c>
      <c r="BT309" s="1" t="str">
        <f>HYPERLINK("https%3A%2F%2Fwww.webofscience.com%2Fwos%2Fwoscc%2Ffull-record%2FWOS:000383376100026","View Full Record in Web of Science")</f>
        <v>View Full Record in Web of Science</v>
      </c>
    </row>
    <row r="310" ht="12.75" customHeight="1">
      <c r="A310" s="1" t="s">
        <v>72</v>
      </c>
      <c r="B310" s="1" t="s">
        <v>2862</v>
      </c>
      <c r="C310" s="1" t="s">
        <v>74</v>
      </c>
      <c r="D310" s="1" t="s">
        <v>74</v>
      </c>
      <c r="E310" s="1" t="s">
        <v>74</v>
      </c>
      <c r="F310" s="1" t="s">
        <v>2863</v>
      </c>
      <c r="G310" s="1" t="s">
        <v>74</v>
      </c>
      <c r="H310" s="1" t="s">
        <v>74</v>
      </c>
      <c r="I310" s="1" t="s">
        <v>2864</v>
      </c>
      <c r="J310" s="1" t="s">
        <v>574</v>
      </c>
      <c r="K310" s="1" t="s">
        <v>74</v>
      </c>
      <c r="L310" s="1" t="s">
        <v>74</v>
      </c>
      <c r="M310" s="1" t="s">
        <v>74</v>
      </c>
      <c r="N310" s="1" t="s">
        <v>74</v>
      </c>
      <c r="O310" s="1" t="s">
        <v>74</v>
      </c>
      <c r="P310" s="1" t="s">
        <v>74</v>
      </c>
      <c r="Q310" s="1" t="s">
        <v>74</v>
      </c>
      <c r="R310" s="1" t="s">
        <v>74</v>
      </c>
      <c r="S310" s="1" t="s">
        <v>74</v>
      </c>
      <c r="T310" s="1" t="s">
        <v>74</v>
      </c>
      <c r="U310" s="1" t="s">
        <v>74</v>
      </c>
      <c r="V310" s="1" t="s">
        <v>2865</v>
      </c>
      <c r="W310" s="1" t="s">
        <v>74</v>
      </c>
      <c r="X310" s="1" t="s">
        <v>74</v>
      </c>
      <c r="Y310" s="1" t="s">
        <v>74</v>
      </c>
      <c r="Z310" s="1" t="s">
        <v>74</v>
      </c>
      <c r="AA310" s="1" t="s">
        <v>2866</v>
      </c>
      <c r="AB310" s="1" t="s">
        <v>2867</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1748</v>
      </c>
      <c r="AP310" s="1" t="s">
        <v>1749</v>
      </c>
      <c r="AQ310" s="1" t="s">
        <v>74</v>
      </c>
      <c r="AR310" s="1" t="s">
        <v>74</v>
      </c>
      <c r="AS310" s="1" t="s">
        <v>74</v>
      </c>
      <c r="AT310" s="1" t="s">
        <v>2868</v>
      </c>
      <c r="AU310" s="1">
        <v>2016.0</v>
      </c>
      <c r="AV310" s="1">
        <v>93.0</v>
      </c>
      <c r="AW310" s="1">
        <v>10.0</v>
      </c>
      <c r="AX310" s="1" t="s">
        <v>74</v>
      </c>
      <c r="AY310" s="1" t="s">
        <v>74</v>
      </c>
      <c r="AZ310" s="1" t="s">
        <v>74</v>
      </c>
      <c r="BA310" s="1" t="s">
        <v>74</v>
      </c>
      <c r="BB310" s="1" t="s">
        <v>74</v>
      </c>
      <c r="BC310" s="1" t="s">
        <v>74</v>
      </c>
      <c r="BD310" s="1">
        <v>105023.0</v>
      </c>
      <c r="BE310" s="1" t="s">
        <v>2869</v>
      </c>
      <c r="BF310" s="2" t="str">
        <f>HYPERLINK("http://dx.doi.org/10.1103/PhysRevD.93.105023","http://dx.doi.org/10.1103/PhysRevD.93.105023")</f>
        <v>http://dx.doi.org/10.1103/PhysRevD.93.105023</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2870</v>
      </c>
      <c r="BT310" s="1" t="str">
        <f>HYPERLINK("https%3A%2F%2Fwww.webofscience.com%2Fwos%2Fwoscc%2Ffull-record%2FWOS:000376256900008","View Full Record in Web of Science")</f>
        <v>View Full Record in Web of Science</v>
      </c>
    </row>
    <row r="311" ht="12.75" customHeight="1">
      <c r="A311" s="1" t="s">
        <v>72</v>
      </c>
      <c r="B311" s="1" t="s">
        <v>2871</v>
      </c>
      <c r="C311" s="1" t="s">
        <v>74</v>
      </c>
      <c r="D311" s="1" t="s">
        <v>74</v>
      </c>
      <c r="E311" s="1" t="s">
        <v>74</v>
      </c>
      <c r="F311" s="1" t="s">
        <v>2872</v>
      </c>
      <c r="G311" s="1" t="s">
        <v>74</v>
      </c>
      <c r="H311" s="1" t="s">
        <v>74</v>
      </c>
      <c r="I311" s="1" t="s">
        <v>2873</v>
      </c>
      <c r="J311" s="1" t="s">
        <v>2874</v>
      </c>
      <c r="K311" s="1" t="s">
        <v>74</v>
      </c>
      <c r="L311" s="1" t="s">
        <v>74</v>
      </c>
      <c r="M311" s="1" t="s">
        <v>74</v>
      </c>
      <c r="N311" s="1" t="s">
        <v>74</v>
      </c>
      <c r="O311" s="1" t="s">
        <v>74</v>
      </c>
      <c r="P311" s="1" t="s">
        <v>74</v>
      </c>
      <c r="Q311" s="1" t="s">
        <v>74</v>
      </c>
      <c r="R311" s="1" t="s">
        <v>74</v>
      </c>
      <c r="S311" s="1" t="s">
        <v>74</v>
      </c>
      <c r="T311" s="1" t="s">
        <v>74</v>
      </c>
      <c r="U311" s="1" t="s">
        <v>74</v>
      </c>
      <c r="V311" s="1" t="s">
        <v>2875</v>
      </c>
      <c r="W311" s="1" t="s">
        <v>74</v>
      </c>
      <c r="X311" s="1" t="s">
        <v>74</v>
      </c>
      <c r="Y311" s="1" t="s">
        <v>74</v>
      </c>
      <c r="Z311" s="1" t="s">
        <v>74</v>
      </c>
      <c r="AA311" s="1" t="s">
        <v>2876</v>
      </c>
      <c r="AB311" s="1" t="s">
        <v>2877</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2878</v>
      </c>
      <c r="AP311" s="1" t="s">
        <v>2879</v>
      </c>
      <c r="AQ311" s="1" t="s">
        <v>74</v>
      </c>
      <c r="AR311" s="1" t="s">
        <v>74</v>
      </c>
      <c r="AS311" s="1" t="s">
        <v>74</v>
      </c>
      <c r="AT311" s="1" t="s">
        <v>2880</v>
      </c>
      <c r="AU311" s="1">
        <v>2016.0</v>
      </c>
      <c r="AV311" s="1">
        <v>136.0</v>
      </c>
      <c r="AW311" s="1" t="s">
        <v>74</v>
      </c>
      <c r="AX311" s="1" t="s">
        <v>74</v>
      </c>
      <c r="AY311" s="1" t="s">
        <v>74</v>
      </c>
      <c r="AZ311" s="1" t="s">
        <v>74</v>
      </c>
      <c r="BA311" s="1" t="s">
        <v>74</v>
      </c>
      <c r="BB311" s="1">
        <v>1052.0</v>
      </c>
      <c r="BC311" s="1">
        <v>1060.0</v>
      </c>
      <c r="BD311" s="1" t="s">
        <v>74</v>
      </c>
      <c r="BE311" s="1" t="s">
        <v>2881</v>
      </c>
      <c r="BF311" s="2" t="str">
        <f>HYPERLINK("http://dx.doi.org/10.1016/j.carbpol.2015.10.013","http://dx.doi.org/10.1016/j.carbpol.2015.10.013")</f>
        <v>http://dx.doi.org/10.1016/j.carbpol.2015.10.013</v>
      </c>
      <c r="BG311" s="1" t="s">
        <v>74</v>
      </c>
      <c r="BH311" s="1" t="s">
        <v>74</v>
      </c>
      <c r="BI311" s="1" t="s">
        <v>74</v>
      </c>
      <c r="BJ311" s="1" t="s">
        <v>74</v>
      </c>
      <c r="BK311" s="1" t="s">
        <v>74</v>
      </c>
      <c r="BL311" s="1" t="s">
        <v>74</v>
      </c>
      <c r="BM311" s="1" t="s">
        <v>74</v>
      </c>
      <c r="BN311" s="1">
        <v>2.6572446E7</v>
      </c>
      <c r="BO311" s="1" t="s">
        <v>74</v>
      </c>
      <c r="BP311" s="1" t="s">
        <v>74</v>
      </c>
      <c r="BQ311" s="1" t="s">
        <v>74</v>
      </c>
      <c r="BR311" s="1" t="s">
        <v>74</v>
      </c>
      <c r="BS311" s="1" t="s">
        <v>2882</v>
      </c>
      <c r="BT311" s="1" t="str">
        <f>HYPERLINK("https%3A%2F%2Fwww.webofscience.com%2Fwos%2Fwoscc%2Ffull-record%2FWOS:000365972000125","View Full Record in Web of Science")</f>
        <v>View Full Record in Web of Science</v>
      </c>
    </row>
    <row r="312" ht="12.75" customHeight="1">
      <c r="A312" s="1" t="s">
        <v>126</v>
      </c>
      <c r="B312" s="1" t="s">
        <v>2883</v>
      </c>
      <c r="C312" s="1" t="s">
        <v>74</v>
      </c>
      <c r="D312" s="1" t="s">
        <v>2884</v>
      </c>
      <c r="E312" s="1" t="s">
        <v>74</v>
      </c>
      <c r="F312" s="1" t="s">
        <v>2885</v>
      </c>
      <c r="G312" s="1" t="s">
        <v>74</v>
      </c>
      <c r="H312" s="1" t="s">
        <v>74</v>
      </c>
      <c r="I312" s="1" t="s">
        <v>2886</v>
      </c>
      <c r="J312" s="1" t="s">
        <v>2887</v>
      </c>
      <c r="K312" s="1" t="s">
        <v>1226</v>
      </c>
      <c r="L312" s="1" t="s">
        <v>74</v>
      </c>
      <c r="M312" s="1" t="s">
        <v>74</v>
      </c>
      <c r="N312" s="1" t="s">
        <v>74</v>
      </c>
      <c r="O312" s="1" t="s">
        <v>2888</v>
      </c>
      <c r="P312" s="1" t="s">
        <v>2889</v>
      </c>
      <c r="Q312" s="1" t="s">
        <v>2890</v>
      </c>
      <c r="R312" s="1" t="s">
        <v>74</v>
      </c>
      <c r="S312" s="1" t="s">
        <v>74</v>
      </c>
      <c r="T312" s="1" t="s">
        <v>74</v>
      </c>
      <c r="U312" s="1" t="s">
        <v>74</v>
      </c>
      <c r="V312" s="1" t="s">
        <v>2891</v>
      </c>
      <c r="W312" s="1" t="s">
        <v>74</v>
      </c>
      <c r="X312" s="1" t="s">
        <v>74</v>
      </c>
      <c r="Y312" s="1" t="s">
        <v>74</v>
      </c>
      <c r="Z312" s="1" t="s">
        <v>74</v>
      </c>
      <c r="AA312" s="1" t="s">
        <v>2892</v>
      </c>
      <c r="AB312" s="1" t="s">
        <v>2893</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1235</v>
      </c>
      <c r="AP312" s="1" t="s">
        <v>1236</v>
      </c>
      <c r="AQ312" s="1" t="s">
        <v>74</v>
      </c>
      <c r="AR312" s="1" t="s">
        <v>74</v>
      </c>
      <c r="AS312" s="1" t="s">
        <v>74</v>
      </c>
      <c r="AT312" s="1" t="s">
        <v>74</v>
      </c>
      <c r="AU312" s="1">
        <v>2016.0</v>
      </c>
      <c r="AV312" s="1">
        <v>720.0</v>
      </c>
      <c r="AW312" s="1" t="s">
        <v>74</v>
      </c>
      <c r="AX312" s="1" t="s">
        <v>74</v>
      </c>
      <c r="AY312" s="1" t="s">
        <v>74</v>
      </c>
      <c r="AZ312" s="1" t="s">
        <v>74</v>
      </c>
      <c r="BA312" s="1" t="s">
        <v>74</v>
      </c>
      <c r="BB312" s="1" t="s">
        <v>74</v>
      </c>
      <c r="BC312" s="1" t="s">
        <v>74</v>
      </c>
      <c r="BD312" s="1">
        <v>12014.0</v>
      </c>
      <c r="BE312" s="1" t="s">
        <v>2894</v>
      </c>
      <c r="BF312" s="2" t="str">
        <f>HYPERLINK("http://dx.doi.org/10.1088/1742-6596/720/1/012014","http://dx.doi.org/10.1088/1742-6596/720/1/012014")</f>
        <v>http://dx.doi.org/10.1088/1742-6596/720/1/012014</v>
      </c>
      <c r="BG312" s="1" t="s">
        <v>74</v>
      </c>
      <c r="BH312" s="1" t="s">
        <v>74</v>
      </c>
      <c r="BI312" s="1" t="s">
        <v>74</v>
      </c>
      <c r="BJ312" s="1" t="s">
        <v>74</v>
      </c>
      <c r="BK312" s="1" t="s">
        <v>74</v>
      </c>
      <c r="BL312" s="1" t="s">
        <v>74</v>
      </c>
      <c r="BM312" s="1" t="s">
        <v>74</v>
      </c>
      <c r="BN312" s="1" t="s">
        <v>74</v>
      </c>
      <c r="BO312" s="1" t="s">
        <v>74</v>
      </c>
      <c r="BP312" s="1" t="s">
        <v>74</v>
      </c>
      <c r="BQ312" s="1" t="s">
        <v>74</v>
      </c>
      <c r="BR312" s="1" t="s">
        <v>74</v>
      </c>
      <c r="BS312" s="1" t="s">
        <v>2895</v>
      </c>
      <c r="BT312" s="1" t="str">
        <f>HYPERLINK("https%3A%2F%2Fwww.webofscience.com%2Fwos%2Fwoscc%2Ffull-record%2FWOS:000443419700014","View Full Record in Web of Science")</f>
        <v>View Full Record in Web of Science</v>
      </c>
    </row>
    <row r="313" ht="12.75" customHeight="1">
      <c r="A313" s="1" t="s">
        <v>638</v>
      </c>
      <c r="B313" s="1" t="s">
        <v>2896</v>
      </c>
      <c r="C313" s="1" t="s">
        <v>74</v>
      </c>
      <c r="D313" s="1" t="s">
        <v>2897</v>
      </c>
      <c r="E313" s="1" t="s">
        <v>74</v>
      </c>
      <c r="F313" s="1" t="s">
        <v>2898</v>
      </c>
      <c r="G313" s="1" t="s">
        <v>74</v>
      </c>
      <c r="H313" s="1" t="s">
        <v>74</v>
      </c>
      <c r="I313" s="1" t="s">
        <v>2899</v>
      </c>
      <c r="J313" s="1" t="s">
        <v>2900</v>
      </c>
      <c r="K313" s="1" t="s">
        <v>2901</v>
      </c>
      <c r="L313" s="1" t="s">
        <v>74</v>
      </c>
      <c r="M313" s="1" t="s">
        <v>74</v>
      </c>
      <c r="N313" s="1" t="s">
        <v>74</v>
      </c>
      <c r="O313" s="1" t="s">
        <v>74</v>
      </c>
      <c r="P313" s="1" t="s">
        <v>74</v>
      </c>
      <c r="Q313" s="1" t="s">
        <v>74</v>
      </c>
      <c r="R313" s="1" t="s">
        <v>74</v>
      </c>
      <c r="S313" s="1" t="s">
        <v>74</v>
      </c>
      <c r="T313" s="1" t="s">
        <v>74</v>
      </c>
      <c r="U313" s="1" t="s">
        <v>74</v>
      </c>
      <c r="V313" s="1" t="s">
        <v>2902</v>
      </c>
      <c r="W313" s="1" t="s">
        <v>74</v>
      </c>
      <c r="X313" s="1" t="s">
        <v>74</v>
      </c>
      <c r="Y313" s="1" t="s">
        <v>74</v>
      </c>
      <c r="Z313" s="1" t="s">
        <v>74</v>
      </c>
      <c r="AA313" s="1" t="s">
        <v>2903</v>
      </c>
      <c r="AB313" s="1" t="s">
        <v>2904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2905</v>
      </c>
      <c r="AP313" s="1" t="s">
        <v>2906</v>
      </c>
      <c r="AQ313" s="1" t="s">
        <v>2907</v>
      </c>
      <c r="AR313" s="1" t="s">
        <v>74</v>
      </c>
      <c r="AS313" s="1" t="s">
        <v>74</v>
      </c>
      <c r="AT313" s="1" t="s">
        <v>74</v>
      </c>
      <c r="AU313" s="1">
        <v>2016.0</v>
      </c>
      <c r="AV313" s="1">
        <v>949.0</v>
      </c>
      <c r="AW313" s="1" t="s">
        <v>74</v>
      </c>
      <c r="AX313" s="1" t="s">
        <v>74</v>
      </c>
      <c r="AY313" s="1" t="s">
        <v>74</v>
      </c>
      <c r="AZ313" s="1" t="s">
        <v>74</v>
      </c>
      <c r="BA313" s="1" t="s">
        <v>74</v>
      </c>
      <c r="BB313" s="1">
        <v>109.0</v>
      </c>
      <c r="BC313" s="1">
        <v>145.0</v>
      </c>
      <c r="BD313" s="1" t="s">
        <v>74</v>
      </c>
      <c r="BE313" s="1" t="s">
        <v>2908</v>
      </c>
      <c r="BF313" s="2" t="str">
        <f>HYPERLINK("http://dx.doi.org/10.1007/978-3-319-40764-7_6","http://dx.doi.org/10.1007/978-3-319-40764-7_6")</f>
        <v>http://dx.doi.org/10.1007/978-3-319-40764-7_6</v>
      </c>
      <c r="BG313" s="1" t="s">
        <v>2909</v>
      </c>
      <c r="BH313" s="1" t="s">
        <v>74</v>
      </c>
      <c r="BI313" s="1" t="s">
        <v>74</v>
      </c>
      <c r="BJ313" s="1" t="s">
        <v>74</v>
      </c>
      <c r="BK313" s="1" t="s">
        <v>74</v>
      </c>
      <c r="BL313" s="1" t="s">
        <v>74</v>
      </c>
      <c r="BM313" s="1" t="s">
        <v>74</v>
      </c>
      <c r="BN313" s="1">
        <v>2.7714687E7</v>
      </c>
      <c r="BO313" s="1" t="s">
        <v>74</v>
      </c>
      <c r="BP313" s="1" t="s">
        <v>74</v>
      </c>
      <c r="BQ313" s="1" t="s">
        <v>74</v>
      </c>
      <c r="BR313" s="1" t="s">
        <v>74</v>
      </c>
      <c r="BS313" s="1" t="s">
        <v>2910</v>
      </c>
      <c r="BT313" s="1" t="str">
        <f>HYPERLINK("https%3A%2F%2Fwww.webofscience.com%2Fwos%2Fwoscc%2Ffull-record%2FWOS:000400932800006","View Full Record in Web of Science")</f>
        <v>View Full Record in Web of Science</v>
      </c>
    </row>
    <row r="314" ht="12.75" customHeight="1">
      <c r="A314" s="1" t="s">
        <v>126</v>
      </c>
      <c r="B314" s="1" t="s">
        <v>2911</v>
      </c>
      <c r="C314" s="1" t="s">
        <v>74</v>
      </c>
      <c r="D314" s="1" t="s">
        <v>2912</v>
      </c>
      <c r="E314" s="1" t="s">
        <v>74</v>
      </c>
      <c r="F314" s="1" t="s">
        <v>2913</v>
      </c>
      <c r="G314" s="1" t="s">
        <v>74</v>
      </c>
      <c r="H314" s="1" t="s">
        <v>74</v>
      </c>
      <c r="I314" s="1" t="s">
        <v>2914</v>
      </c>
      <c r="J314" s="1" t="s">
        <v>2915</v>
      </c>
      <c r="K314" s="1" t="s">
        <v>2916</v>
      </c>
      <c r="L314" s="1" t="s">
        <v>74</v>
      </c>
      <c r="M314" s="1" t="s">
        <v>74</v>
      </c>
      <c r="N314" s="1" t="s">
        <v>74</v>
      </c>
      <c r="O314" s="1" t="s">
        <v>2917</v>
      </c>
      <c r="P314" s="1" t="s">
        <v>2918</v>
      </c>
      <c r="Q314" s="1" t="s">
        <v>2919</v>
      </c>
      <c r="R314" s="1" t="s">
        <v>2920</v>
      </c>
      <c r="S314" s="1" t="s">
        <v>2921</v>
      </c>
      <c r="T314" s="1" t="s">
        <v>74</v>
      </c>
      <c r="U314" s="1" t="s">
        <v>74</v>
      </c>
      <c r="V314" s="1" t="s">
        <v>2922</v>
      </c>
      <c r="W314" s="1" t="s">
        <v>74</v>
      </c>
      <c r="X314" s="1" t="s">
        <v>74</v>
      </c>
      <c r="Y314" s="1" t="s">
        <v>74</v>
      </c>
      <c r="Z314" s="1" t="s">
        <v>74</v>
      </c>
      <c r="AA314" s="1" t="s">
        <v>2923</v>
      </c>
      <c r="AB314" s="1" t="s">
        <v>74</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2924</v>
      </c>
      <c r="AP314" s="1" t="s">
        <v>74</v>
      </c>
      <c r="AQ314" s="1" t="s">
        <v>2925</v>
      </c>
      <c r="AR314" s="1" t="s">
        <v>74</v>
      </c>
      <c r="AS314" s="1" t="s">
        <v>74</v>
      </c>
      <c r="AT314" s="1" t="s">
        <v>74</v>
      </c>
      <c r="AU314" s="1">
        <v>2016.0</v>
      </c>
      <c r="AV314" s="1" t="s">
        <v>74</v>
      </c>
      <c r="AW314" s="1" t="s">
        <v>74</v>
      </c>
      <c r="AX314" s="1" t="s">
        <v>74</v>
      </c>
      <c r="AY314" s="1" t="s">
        <v>74</v>
      </c>
      <c r="AZ314" s="1" t="s">
        <v>74</v>
      </c>
      <c r="BA314" s="1" t="s">
        <v>74</v>
      </c>
      <c r="BB314" s="1">
        <v>100.0</v>
      </c>
      <c r="BC314" s="1">
        <v>107.0</v>
      </c>
      <c r="BD314" s="1" t="s">
        <v>74</v>
      </c>
      <c r="BE314" s="1" t="s">
        <v>74</v>
      </c>
      <c r="BF314" s="1" t="s">
        <v>74</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2926</v>
      </c>
      <c r="BT314" s="1" t="str">
        <f>HYPERLINK("https%3A%2F%2Fwww.webofscience.com%2Fwos%2Fwoscc%2Ffull-record%2FWOS:000406047200012","View Full Record in Web of Science")</f>
        <v>View Full Record in Web of Science</v>
      </c>
    </row>
    <row r="315" ht="12.75" customHeight="1">
      <c r="A315" s="1" t="s">
        <v>72</v>
      </c>
      <c r="B315" s="1" t="s">
        <v>2927</v>
      </c>
      <c r="C315" s="1" t="s">
        <v>74</v>
      </c>
      <c r="D315" s="1" t="s">
        <v>74</v>
      </c>
      <c r="E315" s="1" t="s">
        <v>74</v>
      </c>
      <c r="F315" s="1" t="s">
        <v>2928</v>
      </c>
      <c r="G315" s="1" t="s">
        <v>74</v>
      </c>
      <c r="H315" s="1" t="s">
        <v>74</v>
      </c>
      <c r="I315" s="1" t="s">
        <v>2929</v>
      </c>
      <c r="J315" s="1" t="s">
        <v>2930</v>
      </c>
      <c r="K315" s="1" t="s">
        <v>74</v>
      </c>
      <c r="L315" s="1" t="s">
        <v>74</v>
      </c>
      <c r="M315" s="1" t="s">
        <v>74</v>
      </c>
      <c r="N315" s="1" t="s">
        <v>74</v>
      </c>
      <c r="O315" s="1" t="s">
        <v>74</v>
      </c>
      <c r="P315" s="1" t="s">
        <v>74</v>
      </c>
      <c r="Q315" s="1" t="s">
        <v>74</v>
      </c>
      <c r="R315" s="1" t="s">
        <v>74</v>
      </c>
      <c r="S315" s="1" t="s">
        <v>74</v>
      </c>
      <c r="T315" s="1" t="s">
        <v>74</v>
      </c>
      <c r="U315" s="1" t="s">
        <v>74</v>
      </c>
      <c r="V315" s="1" t="s">
        <v>74</v>
      </c>
      <c r="W315" s="1" t="s">
        <v>74</v>
      </c>
      <c r="X315" s="1" t="s">
        <v>74</v>
      </c>
      <c r="Y315" s="1" t="s">
        <v>74</v>
      </c>
      <c r="Z315" s="1" t="s">
        <v>74</v>
      </c>
      <c r="AA315" s="1" t="s">
        <v>2931</v>
      </c>
      <c r="AB315" s="1" t="s">
        <v>74</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2932</v>
      </c>
      <c r="AP315" s="1" t="s">
        <v>2933</v>
      </c>
      <c r="AQ315" s="1" t="s">
        <v>74</v>
      </c>
      <c r="AR315" s="1" t="s">
        <v>74</v>
      </c>
      <c r="AS315" s="1" t="s">
        <v>74</v>
      </c>
      <c r="AT315" s="1" t="s">
        <v>1193</v>
      </c>
      <c r="AU315" s="1">
        <v>2015.0</v>
      </c>
      <c r="AV315" s="1">
        <v>83.0</v>
      </c>
      <c r="AW315" s="1">
        <v>4.0</v>
      </c>
      <c r="AX315" s="1" t="s">
        <v>74</v>
      </c>
      <c r="AY315" s="1" t="s">
        <v>74</v>
      </c>
      <c r="AZ315" s="1" t="s">
        <v>74</v>
      </c>
      <c r="BA315" s="1" t="s">
        <v>74</v>
      </c>
      <c r="BB315" s="1">
        <v>423.0</v>
      </c>
      <c r="BC315" s="1">
        <v>443.0</v>
      </c>
      <c r="BD315" s="1" t="s">
        <v>74</v>
      </c>
      <c r="BE315" s="1" t="s">
        <v>2934</v>
      </c>
      <c r="BF315" s="2" t="str">
        <f>HYPERLINK("http://dx.doi.org/10.1353/hir.2015.0036","http://dx.doi.org/10.1353/hir.2015.0036")</f>
        <v>http://dx.doi.org/10.1353/hir.2015.0036</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2935</v>
      </c>
      <c r="BT315" s="1" t="str">
        <f>HYPERLINK("https%3A%2F%2Fwww.webofscience.com%2Fwos%2Fwoscc%2Ffull-record%2FWOS:000368418200003","View Full Record in Web of Science")</f>
        <v>View Full Record in Web of Science</v>
      </c>
    </row>
    <row r="316" ht="12.75" customHeight="1">
      <c r="A316" s="1" t="s">
        <v>72</v>
      </c>
      <c r="B316" s="1" t="s">
        <v>2936</v>
      </c>
      <c r="C316" s="1" t="s">
        <v>74</v>
      </c>
      <c r="D316" s="1" t="s">
        <v>74</v>
      </c>
      <c r="E316" s="1" t="s">
        <v>74</v>
      </c>
      <c r="F316" s="1" t="s">
        <v>2937</v>
      </c>
      <c r="G316" s="1" t="s">
        <v>74</v>
      </c>
      <c r="H316" s="1" t="s">
        <v>74</v>
      </c>
      <c r="I316" s="1" t="s">
        <v>2938</v>
      </c>
      <c r="J316" s="1" t="s">
        <v>2939</v>
      </c>
      <c r="K316" s="1" t="s">
        <v>74</v>
      </c>
      <c r="L316" s="1" t="s">
        <v>74</v>
      </c>
      <c r="M316" s="1" t="s">
        <v>74</v>
      </c>
      <c r="N316" s="1" t="s">
        <v>74</v>
      </c>
      <c r="O316" s="1" t="s">
        <v>74</v>
      </c>
      <c r="P316" s="1" t="s">
        <v>74</v>
      </c>
      <c r="Q316" s="1" t="s">
        <v>74</v>
      </c>
      <c r="R316" s="1" t="s">
        <v>74</v>
      </c>
      <c r="S316" s="1" t="s">
        <v>74</v>
      </c>
      <c r="T316" s="1" t="s">
        <v>74</v>
      </c>
      <c r="U316" s="1" t="s">
        <v>74</v>
      </c>
      <c r="V316" s="1" t="s">
        <v>2940</v>
      </c>
      <c r="W316" s="1" t="s">
        <v>74</v>
      </c>
      <c r="X316" s="1" t="s">
        <v>74</v>
      </c>
      <c r="Y316" s="1" t="s">
        <v>74</v>
      </c>
      <c r="Z316" s="1" t="s">
        <v>74</v>
      </c>
      <c r="AA316" s="1" t="s">
        <v>74</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2941</v>
      </c>
      <c r="AP316" s="1" t="s">
        <v>74</v>
      </c>
      <c r="AQ316" s="1" t="s">
        <v>74</v>
      </c>
      <c r="AR316" s="1" t="s">
        <v>74</v>
      </c>
      <c r="AS316" s="1" t="s">
        <v>74</v>
      </c>
      <c r="AT316" s="1" t="s">
        <v>74</v>
      </c>
      <c r="AU316" s="1">
        <v>2015.0</v>
      </c>
      <c r="AV316" s="1">
        <v>15.0</v>
      </c>
      <c r="AW316" s="1">
        <v>4.0</v>
      </c>
      <c r="AX316" s="1" t="s">
        <v>74</v>
      </c>
      <c r="AY316" s="1" t="s">
        <v>74</v>
      </c>
      <c r="AZ316" s="1" t="s">
        <v>74</v>
      </c>
      <c r="BA316" s="1" t="s">
        <v>74</v>
      </c>
      <c r="BB316" s="1">
        <v>2195.0</v>
      </c>
      <c r="BC316" s="1">
        <v>2237.0</v>
      </c>
      <c r="BD316" s="1" t="s">
        <v>74</v>
      </c>
      <c r="BE316" s="1" t="s">
        <v>2942</v>
      </c>
      <c r="BF316" s="2" t="str">
        <f>HYPERLINK("http://dx.doi.org/10.2140/agt.2015.15.2195","http://dx.doi.org/10.2140/agt.2015.15.2195")</f>
        <v>http://dx.doi.org/10.2140/agt.2015.15.2195</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2943</v>
      </c>
      <c r="BT316" s="1" t="str">
        <f>HYPERLINK("https%3A%2F%2Fwww.webofscience.com%2Fwos%2Fwoscc%2Ffull-record%2FWOS:000361976100009","View Full Record in Web of Science")</f>
        <v>View Full Record in Web of Science</v>
      </c>
    </row>
    <row r="317" ht="12.75" customHeight="1">
      <c r="A317" s="1" t="s">
        <v>126</v>
      </c>
      <c r="B317" s="1" t="s">
        <v>2944</v>
      </c>
      <c r="C317" s="1" t="s">
        <v>74</v>
      </c>
      <c r="D317" s="1" t="s">
        <v>1372</v>
      </c>
      <c r="E317" s="1" t="s">
        <v>74</v>
      </c>
      <c r="F317" s="1" t="s">
        <v>2945</v>
      </c>
      <c r="G317" s="1" t="s">
        <v>74</v>
      </c>
      <c r="H317" s="1" t="s">
        <v>74</v>
      </c>
      <c r="I317" s="1" t="s">
        <v>2946</v>
      </c>
      <c r="J317" s="1" t="s">
        <v>1375</v>
      </c>
      <c r="K317" s="1" t="s">
        <v>1376</v>
      </c>
      <c r="L317" s="1" t="s">
        <v>74</v>
      </c>
      <c r="M317" s="1" t="s">
        <v>74</v>
      </c>
      <c r="N317" s="1" t="s">
        <v>74</v>
      </c>
      <c r="O317" s="1" t="s">
        <v>1377</v>
      </c>
      <c r="P317" s="1" t="s">
        <v>1378</v>
      </c>
      <c r="Q317" s="1" t="s">
        <v>1379</v>
      </c>
      <c r="R317" s="1" t="s">
        <v>1380</v>
      </c>
      <c r="S317" s="1" t="s">
        <v>74</v>
      </c>
      <c r="T317" s="1" t="s">
        <v>74</v>
      </c>
      <c r="U317" s="1" t="s">
        <v>74</v>
      </c>
      <c r="V317" s="1" t="s">
        <v>2947</v>
      </c>
      <c r="W317" s="1" t="s">
        <v>74</v>
      </c>
      <c r="X317" s="1" t="s">
        <v>74</v>
      </c>
      <c r="Y317" s="1" t="s">
        <v>74</v>
      </c>
      <c r="Z317" s="1" t="s">
        <v>74</v>
      </c>
      <c r="AA317" s="1" t="s">
        <v>2948</v>
      </c>
      <c r="AB317" s="1" t="s">
        <v>2949</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1384</v>
      </c>
      <c r="AP317" s="1" t="s">
        <v>74</v>
      </c>
      <c r="AQ317" s="1" t="s">
        <v>74</v>
      </c>
      <c r="AR317" s="1" t="s">
        <v>74</v>
      </c>
      <c r="AS317" s="1" t="s">
        <v>74</v>
      </c>
      <c r="AT317" s="1" t="s">
        <v>74</v>
      </c>
      <c r="AU317" s="1">
        <v>2015.0</v>
      </c>
      <c r="AV317" s="1">
        <v>55.0</v>
      </c>
      <c r="AW317" s="1" t="s">
        <v>74</v>
      </c>
      <c r="AX317" s="1" t="s">
        <v>74</v>
      </c>
      <c r="AY317" s="1" t="s">
        <v>74</v>
      </c>
      <c r="AZ317" s="1" t="s">
        <v>74</v>
      </c>
      <c r="BA317" s="1" t="s">
        <v>74</v>
      </c>
      <c r="BB317" s="1">
        <v>632.0</v>
      </c>
      <c r="BC317" s="1">
        <v>641.0</v>
      </c>
      <c r="BD317" s="1" t="s">
        <v>74</v>
      </c>
      <c r="BE317" s="1" t="s">
        <v>2950</v>
      </c>
      <c r="BF317" s="2" t="str">
        <f>HYPERLINK("http://dx.doi.org/10.1016/j.procs.2015.07.055","http://dx.doi.org/10.1016/j.procs.2015.07.055")</f>
        <v>http://dx.doi.org/10.1016/j.procs.2015.07.055</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2951</v>
      </c>
      <c r="BT317" s="1" t="str">
        <f>HYPERLINK("https%3A%2F%2Fwww.webofscience.com%2Fwos%2Fwoscc%2Ffull-record%2FWOS:000360101400070","View Full Record in Web of Science")</f>
        <v>View Full Record in Web of Science</v>
      </c>
    </row>
    <row r="318" ht="12.75" customHeight="1">
      <c r="A318" s="1" t="s">
        <v>72</v>
      </c>
      <c r="B318" s="1" t="s">
        <v>2952</v>
      </c>
      <c r="C318" s="1" t="s">
        <v>74</v>
      </c>
      <c r="D318" s="1" t="s">
        <v>74</v>
      </c>
      <c r="E318" s="1" t="s">
        <v>74</v>
      </c>
      <c r="F318" s="1" t="s">
        <v>2953</v>
      </c>
      <c r="G318" s="1" t="s">
        <v>74</v>
      </c>
      <c r="H318" s="1" t="s">
        <v>74</v>
      </c>
      <c r="I318" s="1" t="s">
        <v>2954</v>
      </c>
      <c r="J318" s="1" t="s">
        <v>2955</v>
      </c>
      <c r="K318" s="1" t="s">
        <v>74</v>
      </c>
      <c r="L318" s="1" t="s">
        <v>74</v>
      </c>
      <c r="M318" s="1" t="s">
        <v>74</v>
      </c>
      <c r="N318" s="1" t="s">
        <v>74</v>
      </c>
      <c r="O318" s="1" t="s">
        <v>74</v>
      </c>
      <c r="P318" s="1" t="s">
        <v>74</v>
      </c>
      <c r="Q318" s="1" t="s">
        <v>74</v>
      </c>
      <c r="R318" s="1" t="s">
        <v>74</v>
      </c>
      <c r="S318" s="1" t="s">
        <v>74</v>
      </c>
      <c r="T318" s="1" t="s">
        <v>74</v>
      </c>
      <c r="U318" s="1" t="s">
        <v>74</v>
      </c>
      <c r="V318" s="1" t="s">
        <v>2956</v>
      </c>
      <c r="W318" s="1" t="s">
        <v>74</v>
      </c>
      <c r="X318" s="1" t="s">
        <v>74</v>
      </c>
      <c r="Y318" s="1" t="s">
        <v>74</v>
      </c>
      <c r="Z318" s="1" t="s">
        <v>74</v>
      </c>
      <c r="AA318" s="1" t="s">
        <v>74</v>
      </c>
      <c r="AB318" s="1" t="s">
        <v>74</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2957</v>
      </c>
      <c r="AP318" s="1" t="s">
        <v>2958</v>
      </c>
      <c r="AQ318" s="1" t="s">
        <v>74</v>
      </c>
      <c r="AR318" s="1" t="s">
        <v>74</v>
      </c>
      <c r="AS318" s="1" t="s">
        <v>74</v>
      </c>
      <c r="AT318" s="1" t="s">
        <v>2959</v>
      </c>
      <c r="AU318" s="1">
        <v>2014.0</v>
      </c>
      <c r="AV318" s="1">
        <v>62.0</v>
      </c>
      <c r="AW318" s="1">
        <v>48.0</v>
      </c>
      <c r="AX318" s="1" t="s">
        <v>74</v>
      </c>
      <c r="AY318" s="1" t="s">
        <v>74</v>
      </c>
      <c r="AZ318" s="1" t="s">
        <v>74</v>
      </c>
      <c r="BA318" s="1" t="s">
        <v>74</v>
      </c>
      <c r="BB318" s="1">
        <v>11666.0</v>
      </c>
      <c r="BC318" s="1">
        <v>11671.0</v>
      </c>
      <c r="BD318" s="1" t="s">
        <v>74</v>
      </c>
      <c r="BE318" s="1" t="s">
        <v>2960</v>
      </c>
      <c r="BF318" s="2" t="str">
        <f>HYPERLINK("http://dx.doi.org/10.1021/jf504957c","http://dx.doi.org/10.1021/jf504957c")</f>
        <v>http://dx.doi.org/10.1021/jf504957c</v>
      </c>
      <c r="BG318" s="1" t="s">
        <v>74</v>
      </c>
      <c r="BH318" s="1" t="s">
        <v>74</v>
      </c>
      <c r="BI318" s="1" t="s">
        <v>74</v>
      </c>
      <c r="BJ318" s="1" t="s">
        <v>74</v>
      </c>
      <c r="BK318" s="1" t="s">
        <v>74</v>
      </c>
      <c r="BL318" s="1" t="s">
        <v>74</v>
      </c>
      <c r="BM318" s="1" t="s">
        <v>74</v>
      </c>
      <c r="BN318" s="1">
        <v>2.5390544E7</v>
      </c>
      <c r="BO318" s="1" t="s">
        <v>74</v>
      </c>
      <c r="BP318" s="1" t="s">
        <v>74</v>
      </c>
      <c r="BQ318" s="1" t="s">
        <v>74</v>
      </c>
      <c r="BR318" s="1" t="s">
        <v>74</v>
      </c>
      <c r="BS318" s="1" t="s">
        <v>2961</v>
      </c>
      <c r="BT318" s="1" t="str">
        <f>HYPERLINK("https%3A%2F%2Fwww.webofscience.com%2Fwos%2Fwoscc%2Ffull-record%2FWOS:000345883800007","View Full Record in Web of Science")</f>
        <v>View Full Record in Web of Science</v>
      </c>
    </row>
    <row r="319" ht="12.75" customHeight="1">
      <c r="A319" s="1" t="s">
        <v>72</v>
      </c>
      <c r="B319" s="1" t="s">
        <v>2962</v>
      </c>
      <c r="C319" s="1" t="s">
        <v>74</v>
      </c>
      <c r="D319" s="1" t="s">
        <v>74</v>
      </c>
      <c r="E319" s="1" t="s">
        <v>74</v>
      </c>
      <c r="F319" s="1" t="s">
        <v>2963</v>
      </c>
      <c r="G319" s="1" t="s">
        <v>74</v>
      </c>
      <c r="H319" s="1" t="s">
        <v>74</v>
      </c>
      <c r="I319" s="1" t="s">
        <v>2964</v>
      </c>
      <c r="J319" s="1" t="s">
        <v>2203</v>
      </c>
      <c r="K319" s="1" t="s">
        <v>74</v>
      </c>
      <c r="L319" s="1" t="s">
        <v>74</v>
      </c>
      <c r="M319" s="1" t="s">
        <v>74</v>
      </c>
      <c r="N319" s="1" t="s">
        <v>74</v>
      </c>
      <c r="O319" s="1" t="s">
        <v>74</v>
      </c>
      <c r="P319" s="1" t="s">
        <v>74</v>
      </c>
      <c r="Q319" s="1" t="s">
        <v>74</v>
      </c>
      <c r="R319" s="1" t="s">
        <v>74</v>
      </c>
      <c r="S319" s="1" t="s">
        <v>74</v>
      </c>
      <c r="T319" s="1" t="s">
        <v>74</v>
      </c>
      <c r="U319" s="1" t="s">
        <v>74</v>
      </c>
      <c r="V319" s="1" t="s">
        <v>2965</v>
      </c>
      <c r="W319" s="1" t="s">
        <v>74</v>
      </c>
      <c r="X319" s="1" t="s">
        <v>74</v>
      </c>
      <c r="Y319" s="1" t="s">
        <v>74</v>
      </c>
      <c r="Z319" s="1" t="s">
        <v>74</v>
      </c>
      <c r="AA319" s="1" t="s">
        <v>2966</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2207</v>
      </c>
      <c r="AP319" s="1" t="s">
        <v>74</v>
      </c>
      <c r="AQ319" s="1" t="s">
        <v>74</v>
      </c>
      <c r="AR319" s="1" t="s">
        <v>74</v>
      </c>
      <c r="AS319" s="1" t="s">
        <v>74</v>
      </c>
      <c r="AT319" s="1" t="s">
        <v>82</v>
      </c>
      <c r="AU319" s="1">
        <v>2014.0</v>
      </c>
      <c r="AV319" s="1">
        <v>13.0</v>
      </c>
      <c r="AW319" s="1">
        <v>5.0</v>
      </c>
      <c r="AX319" s="1" t="s">
        <v>74</v>
      </c>
      <c r="AY319" s="1" t="s">
        <v>74</v>
      </c>
      <c r="AZ319" s="1" t="s">
        <v>159</v>
      </c>
      <c r="BA319" s="1" t="s">
        <v>74</v>
      </c>
      <c r="BB319" s="1">
        <v>1847.0</v>
      </c>
      <c r="BC319" s="1">
        <v>1867.0</v>
      </c>
      <c r="BD319" s="1" t="s">
        <v>74</v>
      </c>
      <c r="BE319" s="1" t="s">
        <v>74</v>
      </c>
      <c r="BF319" s="1" t="s">
        <v>74</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2967</v>
      </c>
      <c r="BT319" s="1" t="str">
        <f>HYPERLINK("https%3A%2F%2Fwww.webofscience.com%2Fwos%2Fwoscc%2Ffull-record%2FWOS:000362271500015","View Full Record in Web of Science")</f>
        <v>View Full Record in Web of Science</v>
      </c>
    </row>
    <row r="320" ht="12.75" customHeight="1">
      <c r="A320" s="1" t="s">
        <v>72</v>
      </c>
      <c r="B320" s="1" t="s">
        <v>269</v>
      </c>
      <c r="C320" s="1" t="s">
        <v>74</v>
      </c>
      <c r="D320" s="1" t="s">
        <v>74</v>
      </c>
      <c r="E320" s="1" t="s">
        <v>74</v>
      </c>
      <c r="F320" s="1" t="s">
        <v>270</v>
      </c>
      <c r="G320" s="1" t="s">
        <v>74</v>
      </c>
      <c r="H320" s="1" t="s">
        <v>74</v>
      </c>
      <c r="I320" s="1" t="s">
        <v>2968</v>
      </c>
      <c r="J320" s="1" t="s">
        <v>97</v>
      </c>
      <c r="K320" s="1" t="s">
        <v>74</v>
      </c>
      <c r="L320" s="1" t="s">
        <v>74</v>
      </c>
      <c r="M320" s="1" t="s">
        <v>74</v>
      </c>
      <c r="N320" s="1" t="s">
        <v>74</v>
      </c>
      <c r="O320" s="1" t="s">
        <v>74</v>
      </c>
      <c r="P320" s="1" t="s">
        <v>74</v>
      </c>
      <c r="Q320" s="1" t="s">
        <v>74</v>
      </c>
      <c r="R320" s="1" t="s">
        <v>74</v>
      </c>
      <c r="S320" s="1" t="s">
        <v>74</v>
      </c>
      <c r="T320" s="1" t="s">
        <v>74</v>
      </c>
      <c r="U320" s="1" t="s">
        <v>74</v>
      </c>
      <c r="V320" s="1" t="s">
        <v>2969</v>
      </c>
      <c r="W320" s="1" t="s">
        <v>74</v>
      </c>
      <c r="X320" s="1" t="s">
        <v>74</v>
      </c>
      <c r="Y320" s="1" t="s">
        <v>74</v>
      </c>
      <c r="Z320" s="1" t="s">
        <v>74</v>
      </c>
      <c r="AA320" s="1" t="s">
        <v>74</v>
      </c>
      <c r="AB320" s="1" t="s">
        <v>2970</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101</v>
      </c>
      <c r="AP320" s="1" t="s">
        <v>102</v>
      </c>
      <c r="AQ320" s="1" t="s">
        <v>74</v>
      </c>
      <c r="AR320" s="1" t="s">
        <v>74</v>
      </c>
      <c r="AS320" s="1" t="s">
        <v>74</v>
      </c>
      <c r="AT320" s="1" t="s">
        <v>74</v>
      </c>
      <c r="AU320" s="1">
        <v>2014.0</v>
      </c>
      <c r="AV320" s="1">
        <v>8.0</v>
      </c>
      <c r="AW320" s="1">
        <v>3.0</v>
      </c>
      <c r="AX320" s="1" t="s">
        <v>74</v>
      </c>
      <c r="AY320" s="1" t="s">
        <v>74</v>
      </c>
      <c r="AZ320" s="1" t="s">
        <v>74</v>
      </c>
      <c r="BA320" s="1" t="s">
        <v>74</v>
      </c>
      <c r="BB320" s="1">
        <v>863.0</v>
      </c>
      <c r="BC320" s="1">
        <v>882.0</v>
      </c>
      <c r="BD320" s="1" t="s">
        <v>74</v>
      </c>
      <c r="BE320" s="1" t="s">
        <v>2971</v>
      </c>
      <c r="BF320" s="2" t="str">
        <f>HYPERLINK("http://dx.doi.org/10.4171/GGD/251","http://dx.doi.org/10.4171/GGD/251")</f>
        <v>http://dx.doi.org/10.4171/GGD/251</v>
      </c>
      <c r="BG320" s="1" t="s">
        <v>74</v>
      </c>
      <c r="BH320" s="1" t="s">
        <v>74</v>
      </c>
      <c r="BI320" s="1" t="s">
        <v>74</v>
      </c>
      <c r="BJ320" s="1" t="s">
        <v>74</v>
      </c>
      <c r="BK320" s="1" t="s">
        <v>74</v>
      </c>
      <c r="BL320" s="1" t="s">
        <v>74</v>
      </c>
      <c r="BM320" s="1" t="s">
        <v>74</v>
      </c>
      <c r="BN320" s="1" t="s">
        <v>74</v>
      </c>
      <c r="BO320" s="1" t="s">
        <v>74</v>
      </c>
      <c r="BP320" s="1" t="s">
        <v>74</v>
      </c>
      <c r="BQ320" s="1" t="s">
        <v>74</v>
      </c>
      <c r="BR320" s="1" t="s">
        <v>74</v>
      </c>
      <c r="BS320" s="1" t="s">
        <v>2972</v>
      </c>
      <c r="BT320" s="1" t="str">
        <f>HYPERLINK("https%3A%2F%2Fwww.webofscience.com%2Fwos%2Fwoscc%2Ffull-record%2FWOS:000345957800012","View Full Record in Web of Science")</f>
        <v>View Full Record in Web of Science</v>
      </c>
    </row>
    <row r="321" ht="12.75" customHeight="1">
      <c r="A321" s="1" t="s">
        <v>72</v>
      </c>
      <c r="B321" s="1" t="s">
        <v>2973</v>
      </c>
      <c r="C321" s="1" t="s">
        <v>74</v>
      </c>
      <c r="D321" s="1" t="s">
        <v>74</v>
      </c>
      <c r="E321" s="1" t="s">
        <v>74</v>
      </c>
      <c r="F321" s="1" t="s">
        <v>2974</v>
      </c>
      <c r="G321" s="1" t="s">
        <v>74</v>
      </c>
      <c r="H321" s="1" t="s">
        <v>74</v>
      </c>
      <c r="I321" s="1" t="s">
        <v>2975</v>
      </c>
      <c r="J321" s="1" t="s">
        <v>2048</v>
      </c>
      <c r="K321" s="1" t="s">
        <v>74</v>
      </c>
      <c r="L321" s="1" t="s">
        <v>74</v>
      </c>
      <c r="M321" s="1" t="s">
        <v>74</v>
      </c>
      <c r="N321" s="1" t="s">
        <v>74</v>
      </c>
      <c r="O321" s="1" t="s">
        <v>74</v>
      </c>
      <c r="P321" s="1" t="s">
        <v>74</v>
      </c>
      <c r="Q321" s="1" t="s">
        <v>74</v>
      </c>
      <c r="R321" s="1" t="s">
        <v>74</v>
      </c>
      <c r="S321" s="1" t="s">
        <v>74</v>
      </c>
      <c r="T321" s="1" t="s">
        <v>74</v>
      </c>
      <c r="U321" s="1" t="s">
        <v>74</v>
      </c>
      <c r="V321" s="1" t="s">
        <v>74</v>
      </c>
      <c r="W321" s="1" t="s">
        <v>74</v>
      </c>
      <c r="X321" s="1" t="s">
        <v>74</v>
      </c>
      <c r="Y321" s="1" t="s">
        <v>74</v>
      </c>
      <c r="Z321" s="1" t="s">
        <v>74</v>
      </c>
      <c r="AA321" s="1" t="s">
        <v>2976</v>
      </c>
      <c r="AB321" s="1" t="s">
        <v>2977</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2050</v>
      </c>
      <c r="AP321" s="1" t="s">
        <v>74</v>
      </c>
      <c r="AQ321" s="1" t="s">
        <v>74</v>
      </c>
      <c r="AR321" s="1" t="s">
        <v>74</v>
      </c>
      <c r="AS321" s="1" t="s">
        <v>74</v>
      </c>
      <c r="AT321" s="1" t="s">
        <v>256</v>
      </c>
      <c r="AU321" s="1">
        <v>2013.0</v>
      </c>
      <c r="AV321" s="1">
        <v>12.0</v>
      </c>
      <c r="AW321" s="1">
        <v>2.0</v>
      </c>
      <c r="AX321" s="1" t="s">
        <v>74</v>
      </c>
      <c r="AY321" s="1" t="s">
        <v>74</v>
      </c>
      <c r="AZ321" s="1" t="s">
        <v>74</v>
      </c>
      <c r="BA321" s="1" t="s">
        <v>74</v>
      </c>
      <c r="BB321" s="1">
        <v>117.0</v>
      </c>
      <c r="BC321" s="1">
        <v>118.0</v>
      </c>
      <c r="BD321" s="1" t="s">
        <v>74</v>
      </c>
      <c r="BE321" s="1" t="s">
        <v>74</v>
      </c>
      <c r="BF321" s="1" t="s">
        <v>74</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2978</v>
      </c>
      <c r="BT321" s="1" t="str">
        <f>HYPERLINK("https%3A%2F%2Fwww.webofscience.com%2Fwos%2Fwoscc%2Ffull-record%2FWOS:000316942700001","View Full Record in Web of Science")</f>
        <v>View Full Record in Web of Science</v>
      </c>
    </row>
    <row r="322" ht="12.75" customHeight="1">
      <c r="A322" s="1" t="s">
        <v>72</v>
      </c>
      <c r="B322" s="1" t="s">
        <v>2979</v>
      </c>
      <c r="C322" s="1" t="s">
        <v>74</v>
      </c>
      <c r="D322" s="1" t="s">
        <v>74</v>
      </c>
      <c r="E322" s="1" t="s">
        <v>74</v>
      </c>
      <c r="F322" s="1" t="s">
        <v>2980</v>
      </c>
      <c r="G322" s="1" t="s">
        <v>74</v>
      </c>
      <c r="H322" s="1" t="s">
        <v>74</v>
      </c>
      <c r="I322" s="1" t="s">
        <v>2981</v>
      </c>
      <c r="J322" s="1" t="s">
        <v>2048</v>
      </c>
      <c r="K322" s="1" t="s">
        <v>74</v>
      </c>
      <c r="L322" s="1" t="s">
        <v>74</v>
      </c>
      <c r="M322" s="1" t="s">
        <v>74</v>
      </c>
      <c r="N322" s="1" t="s">
        <v>74</v>
      </c>
      <c r="O322" s="1" t="s">
        <v>74</v>
      </c>
      <c r="P322" s="1" t="s">
        <v>74</v>
      </c>
      <c r="Q322" s="1" t="s">
        <v>74</v>
      </c>
      <c r="R322" s="1" t="s">
        <v>74</v>
      </c>
      <c r="S322" s="1" t="s">
        <v>74</v>
      </c>
      <c r="T322" s="1" t="s">
        <v>74</v>
      </c>
      <c r="U322" s="1" t="s">
        <v>74</v>
      </c>
      <c r="V322" s="1" t="s">
        <v>74</v>
      </c>
      <c r="W322" s="1" t="s">
        <v>74</v>
      </c>
      <c r="X322" s="1" t="s">
        <v>74</v>
      </c>
      <c r="Y322" s="1" t="s">
        <v>74</v>
      </c>
      <c r="Z322" s="1" t="s">
        <v>74</v>
      </c>
      <c r="AA322" s="1" t="s">
        <v>2976</v>
      </c>
      <c r="AB322" s="1" t="s">
        <v>2982</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2050</v>
      </c>
      <c r="AP322" s="1" t="s">
        <v>74</v>
      </c>
      <c r="AQ322" s="1" t="s">
        <v>74</v>
      </c>
      <c r="AR322" s="1" t="s">
        <v>74</v>
      </c>
      <c r="AS322" s="1" t="s">
        <v>74</v>
      </c>
      <c r="AT322" s="1" t="s">
        <v>256</v>
      </c>
      <c r="AU322" s="1">
        <v>2012.0</v>
      </c>
      <c r="AV322" s="1">
        <v>11.0</v>
      </c>
      <c r="AW322" s="1">
        <v>2.0</v>
      </c>
      <c r="AX322" s="1" t="s">
        <v>74</v>
      </c>
      <c r="AY322" s="1" t="s">
        <v>74</v>
      </c>
      <c r="AZ322" s="1" t="s">
        <v>74</v>
      </c>
      <c r="BA322" s="1" t="s">
        <v>74</v>
      </c>
      <c r="BB322" s="1">
        <v>103.0</v>
      </c>
      <c r="BC322" s="1">
        <v>103.0</v>
      </c>
      <c r="BD322" s="1" t="s">
        <v>74</v>
      </c>
      <c r="BE322" s="1" t="s">
        <v>74</v>
      </c>
      <c r="BF322" s="1" t="s">
        <v>74</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2983</v>
      </c>
      <c r="BT322" s="1" t="str">
        <f>HYPERLINK("https%3A%2F%2Fwww.webofscience.com%2Fwos%2Fwoscc%2Ffull-record%2FWOS:000304712600001","View Full Record in Web of Science")</f>
        <v>View Full Record in Web of Science</v>
      </c>
    </row>
    <row r="323" ht="12.75" customHeight="1">
      <c r="A323" s="1" t="s">
        <v>72</v>
      </c>
      <c r="B323" s="1" t="s">
        <v>2984</v>
      </c>
      <c r="C323" s="1" t="s">
        <v>74</v>
      </c>
      <c r="D323" s="1" t="s">
        <v>74</v>
      </c>
      <c r="E323" s="1" t="s">
        <v>74</v>
      </c>
      <c r="F323" s="1" t="s">
        <v>2985</v>
      </c>
      <c r="G323" s="1" t="s">
        <v>74</v>
      </c>
      <c r="H323" s="1" t="s">
        <v>74</v>
      </c>
      <c r="I323" s="1" t="s">
        <v>2986</v>
      </c>
      <c r="J323" s="1" t="s">
        <v>2079</v>
      </c>
      <c r="K323" s="1" t="s">
        <v>74</v>
      </c>
      <c r="L323" s="1" t="s">
        <v>74</v>
      </c>
      <c r="M323" s="1" t="s">
        <v>74</v>
      </c>
      <c r="N323" s="1" t="s">
        <v>74</v>
      </c>
      <c r="O323" s="1" t="s">
        <v>74</v>
      </c>
      <c r="P323" s="1" t="s">
        <v>74</v>
      </c>
      <c r="Q323" s="1" t="s">
        <v>74</v>
      </c>
      <c r="R323" s="1" t="s">
        <v>74</v>
      </c>
      <c r="S323" s="1" t="s">
        <v>74</v>
      </c>
      <c r="T323" s="1" t="s">
        <v>74</v>
      </c>
      <c r="U323" s="1" t="s">
        <v>74</v>
      </c>
      <c r="V323" s="1" t="s">
        <v>2987</v>
      </c>
      <c r="W323" s="1" t="s">
        <v>74</v>
      </c>
      <c r="X323" s="1" t="s">
        <v>74</v>
      </c>
      <c r="Y323" s="1" t="s">
        <v>74</v>
      </c>
      <c r="Z323" s="1" t="s">
        <v>74</v>
      </c>
      <c r="AA323" s="1" t="s">
        <v>2988</v>
      </c>
      <c r="AB323" s="1" t="s">
        <v>2989</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2083</v>
      </c>
      <c r="AP323" s="1" t="s">
        <v>2084</v>
      </c>
      <c r="AQ323" s="1" t="s">
        <v>74</v>
      </c>
      <c r="AR323" s="1" t="s">
        <v>74</v>
      </c>
      <c r="AS323" s="1" t="s">
        <v>74</v>
      </c>
      <c r="AT323" s="1" t="s">
        <v>818</v>
      </c>
      <c r="AU323" s="1">
        <v>2012.0</v>
      </c>
      <c r="AV323" s="1">
        <v>32.0</v>
      </c>
      <c r="AW323" s="1">
        <v>2.0</v>
      </c>
      <c r="AX323" s="1" t="s">
        <v>74</v>
      </c>
      <c r="AY323" s="1" t="s">
        <v>74</v>
      </c>
      <c r="AZ323" s="1" t="s">
        <v>74</v>
      </c>
      <c r="BA323" s="1" t="s">
        <v>74</v>
      </c>
      <c r="BB323" s="1">
        <v>291.0</v>
      </c>
      <c r="BC323" s="1">
        <v>300.0</v>
      </c>
      <c r="BD323" s="1" t="s">
        <v>74</v>
      </c>
      <c r="BE323" s="1" t="s">
        <v>2990</v>
      </c>
      <c r="BF323" s="2" t="str">
        <f>HYPERLINK("http://dx.doi.org/10.1016/j.fsi.2011.11.018","http://dx.doi.org/10.1016/j.fsi.2011.11.018")</f>
        <v>http://dx.doi.org/10.1016/j.fsi.2011.11.018</v>
      </c>
      <c r="BG323" s="1" t="s">
        <v>74</v>
      </c>
      <c r="BH323" s="1" t="s">
        <v>74</v>
      </c>
      <c r="BI323" s="1" t="s">
        <v>74</v>
      </c>
      <c r="BJ323" s="1" t="s">
        <v>74</v>
      </c>
      <c r="BK323" s="1" t="s">
        <v>74</v>
      </c>
      <c r="BL323" s="1" t="s">
        <v>74</v>
      </c>
      <c r="BM323" s="1" t="s">
        <v>74</v>
      </c>
      <c r="BN323" s="1">
        <v>2.2142704E7</v>
      </c>
      <c r="BO323" s="1" t="s">
        <v>74</v>
      </c>
      <c r="BP323" s="1" t="s">
        <v>74</v>
      </c>
      <c r="BQ323" s="1" t="s">
        <v>74</v>
      </c>
      <c r="BR323" s="1" t="s">
        <v>74</v>
      </c>
      <c r="BS323" s="1" t="s">
        <v>2991</v>
      </c>
      <c r="BT323" s="1" t="str">
        <f>HYPERLINK("https%3A%2F%2Fwww.webofscience.com%2Fwos%2Fwoscc%2Ffull-record%2FWOS:000300751800007","View Full Record in Web of Science")</f>
        <v>View Full Record in Web of Science</v>
      </c>
    </row>
    <row r="324" ht="12.75" customHeight="1">
      <c r="A324" s="1" t="s">
        <v>126</v>
      </c>
      <c r="B324" s="1" t="s">
        <v>2992</v>
      </c>
      <c r="C324" s="1" t="s">
        <v>74</v>
      </c>
      <c r="D324" s="1" t="s">
        <v>74</v>
      </c>
      <c r="E324" s="1" t="s">
        <v>458</v>
      </c>
      <c r="F324" s="1" t="s">
        <v>2993</v>
      </c>
      <c r="G324" s="1" t="s">
        <v>74</v>
      </c>
      <c r="H324" s="1" t="s">
        <v>74</v>
      </c>
      <c r="I324" s="1" t="s">
        <v>2994</v>
      </c>
      <c r="J324" s="1" t="s">
        <v>461</v>
      </c>
      <c r="K324" s="1" t="s">
        <v>74</v>
      </c>
      <c r="L324" s="1" t="s">
        <v>74</v>
      </c>
      <c r="M324" s="1" t="s">
        <v>74</v>
      </c>
      <c r="N324" s="1" t="s">
        <v>74</v>
      </c>
      <c r="O324" s="1" t="s">
        <v>462</v>
      </c>
      <c r="P324" s="1" t="s">
        <v>463</v>
      </c>
      <c r="Q324" s="1" t="s">
        <v>464</v>
      </c>
      <c r="R324" s="1" t="s">
        <v>465</v>
      </c>
      <c r="S324" s="1" t="s">
        <v>74</v>
      </c>
      <c r="T324" s="1" t="s">
        <v>74</v>
      </c>
      <c r="U324" s="1" t="s">
        <v>74</v>
      </c>
      <c r="V324" s="1" t="s">
        <v>2995</v>
      </c>
      <c r="W324" s="1" t="s">
        <v>74</v>
      </c>
      <c r="X324" s="1" t="s">
        <v>74</v>
      </c>
      <c r="Y324" s="1" t="s">
        <v>74</v>
      </c>
      <c r="Z324" s="1" t="s">
        <v>74</v>
      </c>
      <c r="AA324" s="1" t="s">
        <v>1527</v>
      </c>
      <c r="AB324" s="1" t="s">
        <v>74</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74</v>
      </c>
      <c r="AP324" s="1" t="s">
        <v>74</v>
      </c>
      <c r="AQ324" s="1" t="s">
        <v>467</v>
      </c>
      <c r="AR324" s="1" t="s">
        <v>74</v>
      </c>
      <c r="AS324" s="1" t="s">
        <v>74</v>
      </c>
      <c r="AT324" s="1" t="s">
        <v>74</v>
      </c>
      <c r="AU324" s="1">
        <v>2012.0</v>
      </c>
      <c r="AV324" s="1" t="s">
        <v>74</v>
      </c>
      <c r="AW324" s="1" t="s">
        <v>74</v>
      </c>
      <c r="AX324" s="1" t="s">
        <v>74</v>
      </c>
      <c r="AY324" s="1" t="s">
        <v>74</v>
      </c>
      <c r="AZ324" s="1" t="s">
        <v>74</v>
      </c>
      <c r="BA324" s="1" t="s">
        <v>74</v>
      </c>
      <c r="BB324" s="1">
        <v>1417.0</v>
      </c>
      <c r="BC324" s="1">
        <v>1422.0</v>
      </c>
      <c r="BD324" s="1" t="s">
        <v>74</v>
      </c>
      <c r="BE324" s="1" t="s">
        <v>74</v>
      </c>
      <c r="BF324" s="1" t="s">
        <v>74</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2996</v>
      </c>
      <c r="BT324" s="1" t="str">
        <f>HYPERLINK("https%3A%2F%2Fwww.webofscience.com%2Fwos%2Fwoscc%2Ffull-record%2FWOS:000320625900161","View Full Record in Web of Science")</f>
        <v>View Full Record in Web of Science</v>
      </c>
    </row>
    <row r="325" ht="12.75" customHeight="1">
      <c r="A325" s="1" t="s">
        <v>105</v>
      </c>
      <c r="B325" s="1" t="s">
        <v>2997</v>
      </c>
      <c r="C325" s="1" t="s">
        <v>74</v>
      </c>
      <c r="D325" s="1" t="s">
        <v>2998</v>
      </c>
      <c r="E325" s="1" t="s">
        <v>74</v>
      </c>
      <c r="F325" s="1" t="s">
        <v>2999</v>
      </c>
      <c r="G325" s="1" t="s">
        <v>74</v>
      </c>
      <c r="H325" s="1" t="s">
        <v>74</v>
      </c>
      <c r="I325" s="1" t="s">
        <v>3000</v>
      </c>
      <c r="J325" s="1" t="s">
        <v>3001</v>
      </c>
      <c r="K325" s="1" t="s">
        <v>74</v>
      </c>
      <c r="L325" s="1" t="s">
        <v>74</v>
      </c>
      <c r="M325" s="1" t="s">
        <v>74</v>
      </c>
      <c r="N325" s="1" t="s">
        <v>74</v>
      </c>
      <c r="O325" s="1" t="s">
        <v>74</v>
      </c>
      <c r="P325" s="1" t="s">
        <v>74</v>
      </c>
      <c r="Q325" s="1" t="s">
        <v>74</v>
      </c>
      <c r="R325" s="1" t="s">
        <v>74</v>
      </c>
      <c r="S325" s="1" t="s">
        <v>74</v>
      </c>
      <c r="T325" s="1" t="s">
        <v>74</v>
      </c>
      <c r="U325" s="1" t="s">
        <v>74</v>
      </c>
      <c r="V325" s="1" t="s">
        <v>3002</v>
      </c>
      <c r="W325" s="1" t="s">
        <v>74</v>
      </c>
      <c r="X325" s="1" t="s">
        <v>74</v>
      </c>
      <c r="Y325" s="1" t="s">
        <v>74</v>
      </c>
      <c r="Z325" s="1" t="s">
        <v>74</v>
      </c>
      <c r="AA325" s="1" t="s">
        <v>3003</v>
      </c>
      <c r="AB325" s="1" t="s">
        <v>3004</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74</v>
      </c>
      <c r="AP325" s="1" t="s">
        <v>74</v>
      </c>
      <c r="AQ325" s="1" t="s">
        <v>3005</v>
      </c>
      <c r="AR325" s="1" t="s">
        <v>74</v>
      </c>
      <c r="AS325" s="1" t="s">
        <v>74</v>
      </c>
      <c r="AT325" s="1" t="s">
        <v>74</v>
      </c>
      <c r="AU325" s="1">
        <v>2012.0</v>
      </c>
      <c r="AV325" s="1" t="s">
        <v>74</v>
      </c>
      <c r="AW325" s="1" t="s">
        <v>74</v>
      </c>
      <c r="AX325" s="1" t="s">
        <v>74</v>
      </c>
      <c r="AY325" s="1" t="s">
        <v>74</v>
      </c>
      <c r="AZ325" s="1" t="s">
        <v>74</v>
      </c>
      <c r="BA325" s="1" t="s">
        <v>74</v>
      </c>
      <c r="BB325" s="1">
        <v>25.0</v>
      </c>
      <c r="BC325" s="1">
        <v>41.0</v>
      </c>
      <c r="BD325" s="1" t="s">
        <v>74</v>
      </c>
      <c r="BE325" s="1" t="s">
        <v>74</v>
      </c>
      <c r="BF325" s="1" t="s">
        <v>74</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3006</v>
      </c>
      <c r="BT325" s="1" t="str">
        <f>HYPERLINK("https%3A%2F%2Fwww.webofscience.com%2Fwos%2Fwoscc%2Ffull-record%2FWOS:000314304500003","View Full Record in Web of Science")</f>
        <v>View Full Record in Web of Science</v>
      </c>
    </row>
    <row r="326" ht="12.75" customHeight="1">
      <c r="A326" s="1" t="s">
        <v>72</v>
      </c>
      <c r="B326" s="1" t="s">
        <v>3007</v>
      </c>
      <c r="C326" s="1" t="s">
        <v>74</v>
      </c>
      <c r="D326" s="1" t="s">
        <v>74</v>
      </c>
      <c r="E326" s="1" t="s">
        <v>74</v>
      </c>
      <c r="F326" s="1" t="s">
        <v>3008</v>
      </c>
      <c r="G326" s="1" t="s">
        <v>74</v>
      </c>
      <c r="H326" s="1" t="s">
        <v>74</v>
      </c>
      <c r="I326" s="1" t="s">
        <v>3009</v>
      </c>
      <c r="J326" s="1" t="s">
        <v>3010</v>
      </c>
      <c r="K326" s="1" t="s">
        <v>74</v>
      </c>
      <c r="L326" s="1" t="s">
        <v>74</v>
      </c>
      <c r="M326" s="1" t="s">
        <v>74</v>
      </c>
      <c r="N326" s="1" t="s">
        <v>74</v>
      </c>
      <c r="O326" s="1" t="s">
        <v>74</v>
      </c>
      <c r="P326" s="1" t="s">
        <v>74</v>
      </c>
      <c r="Q326" s="1" t="s">
        <v>74</v>
      </c>
      <c r="R326" s="1" t="s">
        <v>74</v>
      </c>
      <c r="S326" s="1" t="s">
        <v>74</v>
      </c>
      <c r="T326" s="1" t="s">
        <v>74</v>
      </c>
      <c r="U326" s="1" t="s">
        <v>74</v>
      </c>
      <c r="V326" s="1" t="s">
        <v>3011</v>
      </c>
      <c r="W326" s="1" t="s">
        <v>74</v>
      </c>
      <c r="X326" s="1" t="s">
        <v>74</v>
      </c>
      <c r="Y326" s="1" t="s">
        <v>74</v>
      </c>
      <c r="Z326" s="1" t="s">
        <v>74</v>
      </c>
      <c r="AA326" s="1" t="s">
        <v>3012</v>
      </c>
      <c r="AB326" s="1" t="s">
        <v>3013</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3014</v>
      </c>
      <c r="AP326" s="1" t="s">
        <v>3015</v>
      </c>
      <c r="AQ326" s="1" t="s">
        <v>74</v>
      </c>
      <c r="AR326" s="1" t="s">
        <v>74</v>
      </c>
      <c r="AS326" s="1" t="s">
        <v>74</v>
      </c>
      <c r="AT326" s="1" t="s">
        <v>1125</v>
      </c>
      <c r="AU326" s="1">
        <v>2011.0</v>
      </c>
      <c r="AV326" s="1">
        <v>363.0</v>
      </c>
      <c r="AW326" s="1">
        <v>1.0</v>
      </c>
      <c r="AX326" s="1" t="s">
        <v>74</v>
      </c>
      <c r="AY326" s="1" t="s">
        <v>74</v>
      </c>
      <c r="AZ326" s="1" t="s">
        <v>74</v>
      </c>
      <c r="BA326" s="1" t="s">
        <v>74</v>
      </c>
      <c r="BB326" s="1">
        <v>261.0</v>
      </c>
      <c r="BC326" s="1">
        <v>267.0</v>
      </c>
      <c r="BD326" s="1" t="s">
        <v>74</v>
      </c>
      <c r="BE326" s="1" t="s">
        <v>3016</v>
      </c>
      <c r="BF326" s="2" t="str">
        <f>HYPERLINK("http://dx.doi.org/10.1016/j.jcis.2011.06.066","http://dx.doi.org/10.1016/j.jcis.2011.06.066")</f>
        <v>http://dx.doi.org/10.1016/j.jcis.2011.06.066</v>
      </c>
      <c r="BG326" s="1" t="s">
        <v>74</v>
      </c>
      <c r="BH326" s="1" t="s">
        <v>74</v>
      </c>
      <c r="BI326" s="1" t="s">
        <v>74</v>
      </c>
      <c r="BJ326" s="1" t="s">
        <v>74</v>
      </c>
      <c r="BK326" s="1" t="s">
        <v>74</v>
      </c>
      <c r="BL326" s="1" t="s">
        <v>74</v>
      </c>
      <c r="BM326" s="1" t="s">
        <v>74</v>
      </c>
      <c r="BN326" s="1">
        <v>2.1820124E7</v>
      </c>
      <c r="BO326" s="1" t="s">
        <v>74</v>
      </c>
      <c r="BP326" s="1" t="s">
        <v>74</v>
      </c>
      <c r="BQ326" s="1" t="s">
        <v>74</v>
      </c>
      <c r="BR326" s="1" t="s">
        <v>74</v>
      </c>
      <c r="BS326" s="1" t="s">
        <v>3017</v>
      </c>
      <c r="BT326" s="1" t="str">
        <f>HYPERLINK("https%3A%2F%2Fwww.webofscience.com%2Fwos%2Fwoscc%2Ffull-record%2FWOS:000294740400031","View Full Record in Web of Science")</f>
        <v>View Full Record in Web of Science</v>
      </c>
    </row>
    <row r="327" ht="12.75" customHeight="1">
      <c r="A327" s="1" t="s">
        <v>72</v>
      </c>
      <c r="B327" s="1" t="s">
        <v>3018</v>
      </c>
      <c r="C327" s="1" t="s">
        <v>74</v>
      </c>
      <c r="D327" s="1" t="s">
        <v>74</v>
      </c>
      <c r="E327" s="1" t="s">
        <v>74</v>
      </c>
      <c r="F327" s="1" t="s">
        <v>3019</v>
      </c>
      <c r="G327" s="1" t="s">
        <v>74</v>
      </c>
      <c r="H327" s="1" t="s">
        <v>74</v>
      </c>
      <c r="I327" s="1" t="s">
        <v>3020</v>
      </c>
      <c r="J327" s="1" t="s">
        <v>2079</v>
      </c>
      <c r="K327" s="1" t="s">
        <v>74</v>
      </c>
      <c r="L327" s="1" t="s">
        <v>74</v>
      </c>
      <c r="M327" s="1" t="s">
        <v>74</v>
      </c>
      <c r="N327" s="1" t="s">
        <v>74</v>
      </c>
      <c r="O327" s="1" t="s">
        <v>74</v>
      </c>
      <c r="P327" s="1" t="s">
        <v>74</v>
      </c>
      <c r="Q327" s="1" t="s">
        <v>74</v>
      </c>
      <c r="R327" s="1" t="s">
        <v>74</v>
      </c>
      <c r="S327" s="1" t="s">
        <v>74</v>
      </c>
      <c r="T327" s="1" t="s">
        <v>74</v>
      </c>
      <c r="U327" s="1" t="s">
        <v>74</v>
      </c>
      <c r="V327" s="1" t="s">
        <v>3021</v>
      </c>
      <c r="W327" s="1" t="s">
        <v>74</v>
      </c>
      <c r="X327" s="1" t="s">
        <v>74</v>
      </c>
      <c r="Y327" s="1" t="s">
        <v>74</v>
      </c>
      <c r="Z327" s="1" t="s">
        <v>74</v>
      </c>
      <c r="AA327" s="1" t="s">
        <v>3022</v>
      </c>
      <c r="AB327" s="1" t="s">
        <v>3023</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2083</v>
      </c>
      <c r="AP327" s="1" t="s">
        <v>2084</v>
      </c>
      <c r="AQ327" s="1" t="s">
        <v>74</v>
      </c>
      <c r="AR327" s="1" t="s">
        <v>74</v>
      </c>
      <c r="AS327" s="1" t="s">
        <v>74</v>
      </c>
      <c r="AT327" s="1" t="s">
        <v>410</v>
      </c>
      <c r="AU327" s="1">
        <v>2011.0</v>
      </c>
      <c r="AV327" s="1">
        <v>31.0</v>
      </c>
      <c r="AW327" s="1">
        <v>5.0</v>
      </c>
      <c r="AX327" s="1" t="s">
        <v>74</v>
      </c>
      <c r="AY327" s="1" t="s">
        <v>74</v>
      </c>
      <c r="AZ327" s="1" t="s">
        <v>159</v>
      </c>
      <c r="BA327" s="1" t="s">
        <v>74</v>
      </c>
      <c r="BB327" s="1">
        <v>663.0</v>
      </c>
      <c r="BC327" s="1">
        <v>672.0</v>
      </c>
      <c r="BD327" s="1" t="s">
        <v>74</v>
      </c>
      <c r="BE327" s="1" t="s">
        <v>3024</v>
      </c>
      <c r="BF327" s="2" t="str">
        <f>HYPERLINK("http://dx.doi.org/10.1016/j.fsi.2010.08.001","http://dx.doi.org/10.1016/j.fsi.2010.08.001")</f>
        <v>http://dx.doi.org/10.1016/j.fsi.2010.08.001</v>
      </c>
      <c r="BG327" s="1" t="s">
        <v>74</v>
      </c>
      <c r="BH327" s="1" t="s">
        <v>74</v>
      </c>
      <c r="BI327" s="1" t="s">
        <v>74</v>
      </c>
      <c r="BJ327" s="1" t="s">
        <v>74</v>
      </c>
      <c r="BK327" s="1" t="s">
        <v>74</v>
      </c>
      <c r="BL327" s="1" t="s">
        <v>74</v>
      </c>
      <c r="BM327" s="1" t="s">
        <v>74</v>
      </c>
      <c r="BN327" s="1">
        <v>2.0723604E7</v>
      </c>
      <c r="BO327" s="1" t="s">
        <v>74</v>
      </c>
      <c r="BP327" s="1" t="s">
        <v>74</v>
      </c>
      <c r="BQ327" s="1" t="s">
        <v>74</v>
      </c>
      <c r="BR327" s="1" t="s">
        <v>74</v>
      </c>
      <c r="BS327" s="1" t="s">
        <v>3025</v>
      </c>
      <c r="BT327" s="1" t="str">
        <f>HYPERLINK("https%3A%2F%2Fwww.webofscience.com%2Fwos%2Fwoscc%2Ffull-record%2FWOS:000296126100007","View Full Record in Web of Science")</f>
        <v>View Full Record in Web of Science</v>
      </c>
    </row>
    <row r="328" ht="12.75" customHeight="1">
      <c r="A328" s="1" t="s">
        <v>72</v>
      </c>
      <c r="B328" s="1" t="s">
        <v>3026</v>
      </c>
      <c r="C328" s="1" t="s">
        <v>74</v>
      </c>
      <c r="D328" s="1" t="s">
        <v>74</v>
      </c>
      <c r="E328" s="1" t="s">
        <v>74</v>
      </c>
      <c r="F328" s="1" t="s">
        <v>3027</v>
      </c>
      <c r="G328" s="1" t="s">
        <v>74</v>
      </c>
      <c r="H328" s="1" t="s">
        <v>74</v>
      </c>
      <c r="I328" s="1" t="s">
        <v>3028</v>
      </c>
      <c r="J328" s="1" t="s">
        <v>3029</v>
      </c>
      <c r="K328" s="1" t="s">
        <v>74</v>
      </c>
      <c r="L328" s="1" t="s">
        <v>74</v>
      </c>
      <c r="M328" s="1" t="s">
        <v>74</v>
      </c>
      <c r="N328" s="1" t="s">
        <v>74</v>
      </c>
      <c r="O328" s="1" t="s">
        <v>74</v>
      </c>
      <c r="P328" s="1" t="s">
        <v>74</v>
      </c>
      <c r="Q328" s="1" t="s">
        <v>74</v>
      </c>
      <c r="R328" s="1" t="s">
        <v>74</v>
      </c>
      <c r="S328" s="1" t="s">
        <v>74</v>
      </c>
      <c r="T328" s="1" t="s">
        <v>74</v>
      </c>
      <c r="U328" s="1" t="s">
        <v>74</v>
      </c>
      <c r="V328" s="1" t="s">
        <v>3030</v>
      </c>
      <c r="W328" s="1" t="s">
        <v>74</v>
      </c>
      <c r="X328" s="1" t="s">
        <v>74</v>
      </c>
      <c r="Y328" s="1" t="s">
        <v>74</v>
      </c>
      <c r="Z328" s="1" t="s">
        <v>74</v>
      </c>
      <c r="AA328" s="1" t="s">
        <v>74</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3031</v>
      </c>
      <c r="AP328" s="1" t="s">
        <v>3032</v>
      </c>
      <c r="AQ328" s="1" t="s">
        <v>74</v>
      </c>
      <c r="AR328" s="1" t="s">
        <v>74</v>
      </c>
      <c r="AS328" s="1" t="s">
        <v>74</v>
      </c>
      <c r="AT328" s="1" t="s">
        <v>74</v>
      </c>
      <c r="AU328" s="1">
        <v>2011.0</v>
      </c>
      <c r="AV328" s="1">
        <v>7.0</v>
      </c>
      <c r="AW328" s="1">
        <v>2.0</v>
      </c>
      <c r="AX328" s="1" t="s">
        <v>74</v>
      </c>
      <c r="AY328" s="1" t="s">
        <v>74</v>
      </c>
      <c r="AZ328" s="1" t="s">
        <v>74</v>
      </c>
      <c r="BA328" s="1" t="s">
        <v>74</v>
      </c>
      <c r="BB328" s="1" t="s">
        <v>74</v>
      </c>
      <c r="BC328" s="1" t="s">
        <v>74</v>
      </c>
      <c r="BD328" s="1">
        <v>14.0</v>
      </c>
      <c r="BE328" s="1" t="s">
        <v>3033</v>
      </c>
      <c r="BF328" s="2" t="str">
        <f>HYPERLINK("http://dx.doi.org/10.2202/1556-3758.2181","http://dx.doi.org/10.2202/1556-3758.2181")</f>
        <v>http://dx.doi.org/10.2202/1556-3758.2181</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3034</v>
      </c>
      <c r="BT328" s="1" t="str">
        <f>HYPERLINK("https%3A%2F%2Fwww.webofscience.com%2Fwos%2Fwoscc%2Ffull-record%2FWOS:000289119300006","View Full Record in Web of Science")</f>
        <v>View Full Record in Web of Science</v>
      </c>
    </row>
    <row r="329" ht="12.75" customHeight="1">
      <c r="A329" s="1" t="s">
        <v>126</v>
      </c>
      <c r="B329" s="1" t="s">
        <v>3035</v>
      </c>
      <c r="C329" s="1" t="s">
        <v>74</v>
      </c>
      <c r="D329" s="1" t="s">
        <v>74</v>
      </c>
      <c r="E329" s="1" t="s">
        <v>128</v>
      </c>
      <c r="F329" s="1" t="s">
        <v>3036</v>
      </c>
      <c r="G329" s="1" t="s">
        <v>74</v>
      </c>
      <c r="H329" s="1" t="s">
        <v>74</v>
      </c>
      <c r="I329" s="1" t="s">
        <v>3037</v>
      </c>
      <c r="J329" s="1" t="s">
        <v>3038</v>
      </c>
      <c r="K329" s="1" t="s">
        <v>3039</v>
      </c>
      <c r="L329" s="1" t="s">
        <v>74</v>
      </c>
      <c r="M329" s="1" t="s">
        <v>74</v>
      </c>
      <c r="N329" s="1" t="s">
        <v>74</v>
      </c>
      <c r="O329" s="1" t="s">
        <v>3040</v>
      </c>
      <c r="P329" s="1" t="s">
        <v>3041</v>
      </c>
      <c r="Q329" s="1" t="s">
        <v>3042</v>
      </c>
      <c r="R329" s="1" t="s">
        <v>3043</v>
      </c>
      <c r="S329" s="1" t="s">
        <v>74</v>
      </c>
      <c r="T329" s="1" t="s">
        <v>74</v>
      </c>
      <c r="U329" s="1" t="s">
        <v>74</v>
      </c>
      <c r="V329" s="1" t="s">
        <v>3044</v>
      </c>
      <c r="W329" s="1" t="s">
        <v>74</v>
      </c>
      <c r="X329" s="1" t="s">
        <v>74</v>
      </c>
      <c r="Y329" s="1" t="s">
        <v>74</v>
      </c>
      <c r="Z329" s="1" t="s">
        <v>74</v>
      </c>
      <c r="AA329" s="1" t="s">
        <v>3045</v>
      </c>
      <c r="AB329" s="1" t="s">
        <v>74</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3046</v>
      </c>
      <c r="AP329" s="1" t="s">
        <v>74</v>
      </c>
      <c r="AQ329" s="1" t="s">
        <v>3047</v>
      </c>
      <c r="AR329" s="1" t="s">
        <v>74</v>
      </c>
      <c r="AS329" s="1" t="s">
        <v>74</v>
      </c>
      <c r="AT329" s="1" t="s">
        <v>74</v>
      </c>
      <c r="AU329" s="1">
        <v>2011.0</v>
      </c>
      <c r="AV329" s="1" t="s">
        <v>74</v>
      </c>
      <c r="AW329" s="1" t="s">
        <v>74</v>
      </c>
      <c r="AX329" s="1" t="s">
        <v>74</v>
      </c>
      <c r="AY329" s="1" t="s">
        <v>74</v>
      </c>
      <c r="AZ329" s="1" t="s">
        <v>74</v>
      </c>
      <c r="BA329" s="1" t="s">
        <v>74</v>
      </c>
      <c r="BB329" s="1">
        <v>2541.0</v>
      </c>
      <c r="BC329" s="1">
        <v>2544.0</v>
      </c>
      <c r="BD329" s="1" t="s">
        <v>74</v>
      </c>
      <c r="BE329" s="1" t="s">
        <v>74</v>
      </c>
      <c r="BF329" s="1" t="s">
        <v>74</v>
      </c>
      <c r="BG329" s="1" t="s">
        <v>74</v>
      </c>
      <c r="BH329" s="1" t="s">
        <v>74</v>
      </c>
      <c r="BI329" s="1" t="s">
        <v>74</v>
      </c>
      <c r="BJ329" s="1" t="s">
        <v>74</v>
      </c>
      <c r="BK329" s="1" t="s">
        <v>74</v>
      </c>
      <c r="BL329" s="1" t="s">
        <v>74</v>
      </c>
      <c r="BM329" s="1" t="s">
        <v>74</v>
      </c>
      <c r="BN329" s="1" t="s">
        <v>74</v>
      </c>
      <c r="BO329" s="1" t="s">
        <v>74</v>
      </c>
      <c r="BP329" s="1" t="s">
        <v>74</v>
      </c>
      <c r="BQ329" s="1" t="s">
        <v>74</v>
      </c>
      <c r="BR329" s="1" t="s">
        <v>74</v>
      </c>
      <c r="BS329" s="1" t="s">
        <v>3048</v>
      </c>
      <c r="BT329" s="1" t="str">
        <f>HYPERLINK("https%3A%2F%2Fwww.webofscience.com%2Fwos%2Fwoscc%2Ffull-record%2FWOS:000304755602159","View Full Record in Web of Science")</f>
        <v>View Full Record in Web of Science</v>
      </c>
    </row>
    <row r="330" ht="12.75" customHeight="1">
      <c r="A330" s="1" t="s">
        <v>72</v>
      </c>
      <c r="B330" s="1" t="s">
        <v>3049</v>
      </c>
      <c r="C330" s="1" t="s">
        <v>74</v>
      </c>
      <c r="D330" s="1" t="s">
        <v>74</v>
      </c>
      <c r="E330" s="1" t="s">
        <v>74</v>
      </c>
      <c r="F330" s="1" t="s">
        <v>3050</v>
      </c>
      <c r="G330" s="1" t="s">
        <v>74</v>
      </c>
      <c r="H330" s="1" t="s">
        <v>74</v>
      </c>
      <c r="I330" s="1" t="s">
        <v>3051</v>
      </c>
      <c r="J330" s="1" t="s">
        <v>1544</v>
      </c>
      <c r="K330" s="1" t="s">
        <v>74</v>
      </c>
      <c r="L330" s="1" t="s">
        <v>74</v>
      </c>
      <c r="M330" s="1" t="s">
        <v>74</v>
      </c>
      <c r="N330" s="1" t="s">
        <v>74</v>
      </c>
      <c r="O330" s="1" t="s">
        <v>74</v>
      </c>
      <c r="P330" s="1" t="s">
        <v>74</v>
      </c>
      <c r="Q330" s="1" t="s">
        <v>74</v>
      </c>
      <c r="R330" s="1" t="s">
        <v>74</v>
      </c>
      <c r="S330" s="1" t="s">
        <v>74</v>
      </c>
      <c r="T330" s="1" t="s">
        <v>74</v>
      </c>
      <c r="U330" s="1" t="s">
        <v>74</v>
      </c>
      <c r="V330" s="1" t="s">
        <v>3052</v>
      </c>
      <c r="W330" s="1" t="s">
        <v>74</v>
      </c>
      <c r="X330" s="1" t="s">
        <v>74</v>
      </c>
      <c r="Y330" s="1" t="s">
        <v>74</v>
      </c>
      <c r="Z330" s="1" t="s">
        <v>74</v>
      </c>
      <c r="AA330" s="1" t="s">
        <v>3053</v>
      </c>
      <c r="AB330" s="1" t="s">
        <v>74</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1548</v>
      </c>
      <c r="AP330" s="1" t="s">
        <v>1549</v>
      </c>
      <c r="AQ330" s="1" t="s">
        <v>74</v>
      </c>
      <c r="AR330" s="1" t="s">
        <v>74</v>
      </c>
      <c r="AS330" s="1" t="s">
        <v>74</v>
      </c>
      <c r="AT330" s="1" t="s">
        <v>410</v>
      </c>
      <c r="AU330" s="1">
        <v>2010.0</v>
      </c>
      <c r="AV330" s="1">
        <v>192.0</v>
      </c>
      <c r="AW330" s="1">
        <v>11.0</v>
      </c>
      <c r="AX330" s="1" t="s">
        <v>74</v>
      </c>
      <c r="AY330" s="1" t="s">
        <v>74</v>
      </c>
      <c r="AZ330" s="1" t="s">
        <v>74</v>
      </c>
      <c r="BA330" s="1" t="s">
        <v>74</v>
      </c>
      <c r="BB330" s="1">
        <v>969.0</v>
      </c>
      <c r="BC330" s="1">
        <v>973.0</v>
      </c>
      <c r="BD330" s="1" t="s">
        <v>74</v>
      </c>
      <c r="BE330" s="1" t="s">
        <v>3054</v>
      </c>
      <c r="BF330" s="2" t="str">
        <f>HYPERLINK("http://dx.doi.org/10.1007/s00203-010-0624-2","http://dx.doi.org/10.1007/s00203-010-0624-2")</f>
        <v>http://dx.doi.org/10.1007/s00203-010-0624-2</v>
      </c>
      <c r="BG330" s="1" t="s">
        <v>74</v>
      </c>
      <c r="BH330" s="1" t="s">
        <v>74</v>
      </c>
      <c r="BI330" s="1" t="s">
        <v>74</v>
      </c>
      <c r="BJ330" s="1" t="s">
        <v>74</v>
      </c>
      <c r="BK330" s="1" t="s">
        <v>74</v>
      </c>
      <c r="BL330" s="1" t="s">
        <v>74</v>
      </c>
      <c r="BM330" s="1" t="s">
        <v>74</v>
      </c>
      <c r="BN330" s="1">
        <v>2.0821193E7</v>
      </c>
      <c r="BO330" s="1" t="s">
        <v>74</v>
      </c>
      <c r="BP330" s="1" t="s">
        <v>74</v>
      </c>
      <c r="BQ330" s="1" t="s">
        <v>74</v>
      </c>
      <c r="BR330" s="1" t="s">
        <v>74</v>
      </c>
      <c r="BS330" s="1" t="s">
        <v>3055</v>
      </c>
      <c r="BT330" s="1" t="str">
        <f>HYPERLINK("https%3A%2F%2Fwww.webofscience.com%2Fwos%2Fwoscc%2Ffull-record%2FWOS:000283089800010","View Full Record in Web of Science")</f>
        <v>View Full Record in Web of Science</v>
      </c>
    </row>
    <row r="331" ht="12.75" customHeight="1">
      <c r="A331" s="1" t="s">
        <v>72</v>
      </c>
      <c r="B331" s="1" t="s">
        <v>3056</v>
      </c>
      <c r="C331" s="1" t="s">
        <v>74</v>
      </c>
      <c r="D331" s="1" t="s">
        <v>74</v>
      </c>
      <c r="E331" s="1" t="s">
        <v>74</v>
      </c>
      <c r="F331" s="1" t="s">
        <v>3057</v>
      </c>
      <c r="G331" s="1" t="s">
        <v>74</v>
      </c>
      <c r="H331" s="1" t="s">
        <v>74</v>
      </c>
      <c r="I331" s="1" t="s">
        <v>3058</v>
      </c>
      <c r="J331" s="1" t="s">
        <v>3059</v>
      </c>
      <c r="K331" s="1" t="s">
        <v>74</v>
      </c>
      <c r="L331" s="1" t="s">
        <v>74</v>
      </c>
      <c r="M331" s="1" t="s">
        <v>74</v>
      </c>
      <c r="N331" s="1" t="s">
        <v>74</v>
      </c>
      <c r="O331" s="1" t="s">
        <v>74</v>
      </c>
      <c r="P331" s="1" t="s">
        <v>74</v>
      </c>
      <c r="Q331" s="1" t="s">
        <v>74</v>
      </c>
      <c r="R331" s="1" t="s">
        <v>74</v>
      </c>
      <c r="S331" s="1" t="s">
        <v>74</v>
      </c>
      <c r="T331" s="1" t="s">
        <v>74</v>
      </c>
      <c r="U331" s="1" t="s">
        <v>74</v>
      </c>
      <c r="V331" s="1" t="s">
        <v>3060</v>
      </c>
      <c r="W331" s="1" t="s">
        <v>74</v>
      </c>
      <c r="X331" s="1" t="s">
        <v>74</v>
      </c>
      <c r="Y331" s="1" t="s">
        <v>74</v>
      </c>
      <c r="Z331" s="1" t="s">
        <v>74</v>
      </c>
      <c r="AA331" s="1" t="s">
        <v>74</v>
      </c>
      <c r="AB331" s="1" t="s">
        <v>74</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3061</v>
      </c>
      <c r="AP331" s="1" t="s">
        <v>3062</v>
      </c>
      <c r="AQ331" s="1" t="s">
        <v>74</v>
      </c>
      <c r="AR331" s="1" t="s">
        <v>74</v>
      </c>
      <c r="AS331" s="1" t="s">
        <v>74</v>
      </c>
      <c r="AT331" s="1" t="s">
        <v>158</v>
      </c>
      <c r="AU331" s="1">
        <v>2010.0</v>
      </c>
      <c r="AV331" s="1">
        <v>60.0</v>
      </c>
      <c r="AW331" s="1">
        <v>3.0</v>
      </c>
      <c r="AX331" s="1" t="s">
        <v>74</v>
      </c>
      <c r="AY331" s="1" t="s">
        <v>74</v>
      </c>
      <c r="AZ331" s="1" t="s">
        <v>74</v>
      </c>
      <c r="BA331" s="1" t="s">
        <v>74</v>
      </c>
      <c r="BB331" s="1">
        <v>306.0</v>
      </c>
      <c r="BC331" s="1">
        <v>311.0</v>
      </c>
      <c r="BD331" s="1" t="s">
        <v>74</v>
      </c>
      <c r="BE331" s="1" t="s">
        <v>74</v>
      </c>
      <c r="BF331" s="1" t="s">
        <v>74</v>
      </c>
      <c r="BG331" s="1" t="s">
        <v>74</v>
      </c>
      <c r="BH331" s="1" t="s">
        <v>74</v>
      </c>
      <c r="BI331" s="1" t="s">
        <v>74</v>
      </c>
      <c r="BJ331" s="1" t="s">
        <v>74</v>
      </c>
      <c r="BK331" s="1" t="s">
        <v>74</v>
      </c>
      <c r="BL331" s="1" t="s">
        <v>74</v>
      </c>
      <c r="BM331" s="1" t="s">
        <v>74</v>
      </c>
      <c r="BN331" s="1">
        <v>2.1614827E7</v>
      </c>
      <c r="BO331" s="1" t="s">
        <v>74</v>
      </c>
      <c r="BP331" s="1" t="s">
        <v>74</v>
      </c>
      <c r="BQ331" s="1" t="s">
        <v>74</v>
      </c>
      <c r="BR331" s="1" t="s">
        <v>74</v>
      </c>
      <c r="BS331" s="1" t="s">
        <v>3063</v>
      </c>
      <c r="BT331" s="1" t="str">
        <f>HYPERLINK("https%3A%2F%2Fwww.webofscience.com%2Fwos%2Fwoscc%2Ffull-record%2FWOS:000290743300014","View Full Record in Web of Science")</f>
        <v>View Full Record in Web of Science</v>
      </c>
    </row>
    <row r="332" ht="12.75" customHeight="1">
      <c r="A332" s="1" t="s">
        <v>72</v>
      </c>
      <c r="B332" s="1" t="s">
        <v>3064</v>
      </c>
      <c r="C332" s="1" t="s">
        <v>74</v>
      </c>
      <c r="D332" s="1" t="s">
        <v>74</v>
      </c>
      <c r="E332" s="1" t="s">
        <v>74</v>
      </c>
      <c r="F332" s="1" t="s">
        <v>3065</v>
      </c>
      <c r="G332" s="1" t="s">
        <v>74</v>
      </c>
      <c r="H332" s="1" t="s">
        <v>74</v>
      </c>
      <c r="I332" s="1" t="s">
        <v>3066</v>
      </c>
      <c r="J332" s="1" t="s">
        <v>759</v>
      </c>
      <c r="K332" s="1" t="s">
        <v>74</v>
      </c>
      <c r="L332" s="1" t="s">
        <v>74</v>
      </c>
      <c r="M332" s="1" t="s">
        <v>74</v>
      </c>
      <c r="N332" s="1" t="s">
        <v>74</v>
      </c>
      <c r="O332" s="1" t="s">
        <v>74</v>
      </c>
      <c r="P332" s="1" t="s">
        <v>74</v>
      </c>
      <c r="Q332" s="1" t="s">
        <v>74</v>
      </c>
      <c r="R332" s="1" t="s">
        <v>74</v>
      </c>
      <c r="S332" s="1" t="s">
        <v>74</v>
      </c>
      <c r="T332" s="1" t="s">
        <v>74</v>
      </c>
      <c r="U332" s="1" t="s">
        <v>74</v>
      </c>
      <c r="V332" s="1" t="s">
        <v>3067</v>
      </c>
      <c r="W332" s="1" t="s">
        <v>74</v>
      </c>
      <c r="X332" s="1" t="s">
        <v>74</v>
      </c>
      <c r="Y332" s="1" t="s">
        <v>74</v>
      </c>
      <c r="Z332" s="1" t="s">
        <v>74</v>
      </c>
      <c r="AA332" s="1" t="s">
        <v>390</v>
      </c>
      <c r="AB332" s="1" t="s">
        <v>391</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760</v>
      </c>
      <c r="AP332" s="1" t="s">
        <v>3068</v>
      </c>
      <c r="AQ332" s="1" t="s">
        <v>74</v>
      </c>
      <c r="AR332" s="1" t="s">
        <v>74</v>
      </c>
      <c r="AS332" s="1" t="s">
        <v>74</v>
      </c>
      <c r="AT332" s="1" t="s">
        <v>1769</v>
      </c>
      <c r="AU332" s="1">
        <v>2010.0</v>
      </c>
      <c r="AV332" s="1">
        <v>72.0</v>
      </c>
      <c r="AW332" s="1">
        <v>11.0</v>
      </c>
      <c r="AX332" s="1" t="s">
        <v>74</v>
      </c>
      <c r="AY332" s="1" t="s">
        <v>74</v>
      </c>
      <c r="AZ332" s="1" t="s">
        <v>74</v>
      </c>
      <c r="BA332" s="1" t="s">
        <v>74</v>
      </c>
      <c r="BB332" s="1">
        <v>3976.0</v>
      </c>
      <c r="BC332" s="1">
        <v>3983.0</v>
      </c>
      <c r="BD332" s="1" t="s">
        <v>74</v>
      </c>
      <c r="BE332" s="1" t="s">
        <v>3069</v>
      </c>
      <c r="BF332" s="2" t="str">
        <f>HYPERLINK("http://dx.doi.org/10.1016/j.na.2010.01.029","http://dx.doi.org/10.1016/j.na.2010.01.029")</f>
        <v>http://dx.doi.org/10.1016/j.na.2010.01.029</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3070</v>
      </c>
      <c r="BT332" s="1" t="str">
        <f>HYPERLINK("https%3A%2F%2Fwww.webofscience.com%2Fwos%2Fwoscc%2Ffull-record%2FWOS:000277277500008","View Full Record in Web of Science")</f>
        <v>View Full Record in Web of Science</v>
      </c>
    </row>
    <row r="333" ht="12.75" customHeight="1">
      <c r="A333" s="1" t="s">
        <v>72</v>
      </c>
      <c r="B333" s="1" t="s">
        <v>3071</v>
      </c>
      <c r="C333" s="1" t="s">
        <v>74</v>
      </c>
      <c r="D333" s="1" t="s">
        <v>74</v>
      </c>
      <c r="E333" s="1" t="s">
        <v>74</v>
      </c>
      <c r="F333" s="1" t="s">
        <v>3072</v>
      </c>
      <c r="G333" s="1" t="s">
        <v>74</v>
      </c>
      <c r="H333" s="1" t="s">
        <v>74</v>
      </c>
      <c r="I333" s="1" t="s">
        <v>3073</v>
      </c>
      <c r="J333" s="1" t="s">
        <v>3074</v>
      </c>
      <c r="K333" s="1" t="s">
        <v>74</v>
      </c>
      <c r="L333" s="1" t="s">
        <v>74</v>
      </c>
      <c r="M333" s="1" t="s">
        <v>74</v>
      </c>
      <c r="N333" s="1" t="s">
        <v>74</v>
      </c>
      <c r="O333" s="1" t="s">
        <v>74</v>
      </c>
      <c r="P333" s="1" t="s">
        <v>74</v>
      </c>
      <c r="Q333" s="1" t="s">
        <v>74</v>
      </c>
      <c r="R333" s="1" t="s">
        <v>74</v>
      </c>
      <c r="S333" s="1" t="s">
        <v>74</v>
      </c>
      <c r="T333" s="1" t="s">
        <v>74</v>
      </c>
      <c r="U333" s="1" t="s">
        <v>74</v>
      </c>
      <c r="V333" s="1" t="s">
        <v>3075</v>
      </c>
      <c r="W333" s="1" t="s">
        <v>74</v>
      </c>
      <c r="X333" s="1" t="s">
        <v>74</v>
      </c>
      <c r="Y333" s="1" t="s">
        <v>74</v>
      </c>
      <c r="Z333" s="1" t="s">
        <v>74</v>
      </c>
      <c r="AA333" s="1" t="s">
        <v>3076</v>
      </c>
      <c r="AB333" s="1" t="s">
        <v>3077</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3078</v>
      </c>
      <c r="AP333" s="1" t="s">
        <v>3079</v>
      </c>
      <c r="AQ333" s="1" t="s">
        <v>74</v>
      </c>
      <c r="AR333" s="1" t="s">
        <v>74</v>
      </c>
      <c r="AS333" s="1" t="s">
        <v>74</v>
      </c>
      <c r="AT333" s="1" t="s">
        <v>3080</v>
      </c>
      <c r="AU333" s="1">
        <v>2010.0</v>
      </c>
      <c r="AV333" s="1">
        <v>175.0</v>
      </c>
      <c r="AW333" s="1" t="s">
        <v>3081</v>
      </c>
      <c r="AX333" s="1" t="s">
        <v>74</v>
      </c>
      <c r="AY333" s="1" t="s">
        <v>74</v>
      </c>
      <c r="AZ333" s="1" t="s">
        <v>74</v>
      </c>
      <c r="BA333" s="1" t="s">
        <v>74</v>
      </c>
      <c r="BB333" s="1">
        <v>608.0</v>
      </c>
      <c r="BC333" s="1">
        <v>613.0</v>
      </c>
      <c r="BD333" s="1" t="s">
        <v>74</v>
      </c>
      <c r="BE333" s="1" t="s">
        <v>3082</v>
      </c>
      <c r="BF333" s="2" t="str">
        <f>HYPERLINK("http://dx.doi.org/10.1016/j.jhazmat.2009.10.048","http://dx.doi.org/10.1016/j.jhazmat.2009.10.048")</f>
        <v>http://dx.doi.org/10.1016/j.jhazmat.2009.10.048</v>
      </c>
      <c r="BG333" s="1" t="s">
        <v>74</v>
      </c>
      <c r="BH333" s="1" t="s">
        <v>74</v>
      </c>
      <c r="BI333" s="1" t="s">
        <v>74</v>
      </c>
      <c r="BJ333" s="1" t="s">
        <v>74</v>
      </c>
      <c r="BK333" s="1" t="s">
        <v>74</v>
      </c>
      <c r="BL333" s="1" t="s">
        <v>74</v>
      </c>
      <c r="BM333" s="1" t="s">
        <v>74</v>
      </c>
      <c r="BN333" s="1">
        <v>1.9926214E7</v>
      </c>
      <c r="BO333" s="1" t="s">
        <v>74</v>
      </c>
      <c r="BP333" s="1" t="s">
        <v>74</v>
      </c>
      <c r="BQ333" s="1" t="s">
        <v>74</v>
      </c>
      <c r="BR333" s="1" t="s">
        <v>74</v>
      </c>
      <c r="BS333" s="1" t="s">
        <v>3083</v>
      </c>
      <c r="BT333" s="1" t="str">
        <f>HYPERLINK("https%3A%2F%2Fwww.webofscience.com%2Fwos%2Fwoscc%2Ffull-record%2FWOS:000274490400075","View Full Record in Web of Science")</f>
        <v>View Full Record in Web of Science</v>
      </c>
    </row>
    <row r="334" ht="12.75" customHeight="1">
      <c r="A334" s="1" t="s">
        <v>72</v>
      </c>
      <c r="B334" s="1" t="s">
        <v>3084</v>
      </c>
      <c r="C334" s="1" t="s">
        <v>74</v>
      </c>
      <c r="D334" s="1" t="s">
        <v>74</v>
      </c>
      <c r="E334" s="1" t="s">
        <v>74</v>
      </c>
      <c r="F334" s="1" t="s">
        <v>3085</v>
      </c>
      <c r="G334" s="1" t="s">
        <v>74</v>
      </c>
      <c r="H334" s="1" t="s">
        <v>74</v>
      </c>
      <c r="I334" s="1" t="s">
        <v>3086</v>
      </c>
      <c r="J334" s="1" t="s">
        <v>3087</v>
      </c>
      <c r="K334" s="1" t="s">
        <v>74</v>
      </c>
      <c r="L334" s="1" t="s">
        <v>74</v>
      </c>
      <c r="M334" s="1" t="s">
        <v>74</v>
      </c>
      <c r="N334" s="1" t="s">
        <v>74</v>
      </c>
      <c r="O334" s="1" t="s">
        <v>3088</v>
      </c>
      <c r="P334" s="1" t="s">
        <v>3089</v>
      </c>
      <c r="Q334" s="1" t="s">
        <v>3090</v>
      </c>
      <c r="R334" s="1" t="s">
        <v>74</v>
      </c>
      <c r="S334" s="1" t="s">
        <v>3091</v>
      </c>
      <c r="T334" s="1" t="s">
        <v>74</v>
      </c>
      <c r="U334" s="1" t="s">
        <v>74</v>
      </c>
      <c r="V334" s="1" t="s">
        <v>3092</v>
      </c>
      <c r="W334" s="1" t="s">
        <v>74</v>
      </c>
      <c r="X334" s="1" t="s">
        <v>74</v>
      </c>
      <c r="Y334" s="1" t="s">
        <v>74</v>
      </c>
      <c r="Z334" s="1" t="s">
        <v>74</v>
      </c>
      <c r="AA334" s="1" t="s">
        <v>3093</v>
      </c>
      <c r="AB334" s="1" t="s">
        <v>3094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3095</v>
      </c>
      <c r="AP334" s="1" t="s">
        <v>74</v>
      </c>
      <c r="AQ334" s="1" t="s">
        <v>74</v>
      </c>
      <c r="AR334" s="1" t="s">
        <v>74</v>
      </c>
      <c r="AS334" s="1" t="s">
        <v>74</v>
      </c>
      <c r="AT334" s="1" t="s">
        <v>410</v>
      </c>
      <c r="AU334" s="1">
        <v>2009.0</v>
      </c>
      <c r="AV334" s="1">
        <v>122.0</v>
      </c>
      <c r="AW334" s="1">
        <v>1.0</v>
      </c>
      <c r="AX334" s="1" t="s">
        <v>74</v>
      </c>
      <c r="AY334" s="1" t="s">
        <v>74</v>
      </c>
      <c r="AZ334" s="1" t="s">
        <v>74</v>
      </c>
      <c r="BA334" s="1" t="s">
        <v>74</v>
      </c>
      <c r="BB334" s="1">
        <v>458.0</v>
      </c>
      <c r="BC334" s="1">
        <v>468.0</v>
      </c>
      <c r="BD334" s="1" t="s">
        <v>74</v>
      </c>
      <c r="BE334" s="1" t="s">
        <v>3096</v>
      </c>
      <c r="BF334" s="2" t="str">
        <f>HYPERLINK("http://dx.doi.org/10.1016/j.ijpe.2009.06.020","http://dx.doi.org/10.1016/j.ijpe.2009.06.020")</f>
        <v>http://dx.doi.org/10.1016/j.ijpe.2009.06.020</v>
      </c>
      <c r="BG334" s="1" t="s">
        <v>74</v>
      </c>
      <c r="BH334" s="1" t="s">
        <v>74</v>
      </c>
      <c r="BI334" s="1" t="s">
        <v>74</v>
      </c>
      <c r="BJ334" s="1" t="s">
        <v>74</v>
      </c>
      <c r="BK334" s="1" t="s">
        <v>74</v>
      </c>
      <c r="BL334" s="1" t="s">
        <v>74</v>
      </c>
      <c r="BM334" s="1" t="s">
        <v>74</v>
      </c>
      <c r="BN334" s="1" t="s">
        <v>74</v>
      </c>
      <c r="BO334" s="1" t="s">
        <v>74</v>
      </c>
      <c r="BP334" s="1" t="s">
        <v>74</v>
      </c>
      <c r="BQ334" s="1" t="s">
        <v>74</v>
      </c>
      <c r="BR334" s="1" t="s">
        <v>74</v>
      </c>
      <c r="BS334" s="1" t="s">
        <v>3097</v>
      </c>
      <c r="BT334" s="1" t="str">
        <f>HYPERLINK("https%3A%2F%2Fwww.webofscience.com%2Fwos%2Fwoscc%2Ffull-record%2FWOS:000271116400042","View Full Record in Web of Science")</f>
        <v>View Full Record in Web of Science</v>
      </c>
    </row>
    <row r="335" ht="12.75" customHeight="1">
      <c r="A335" s="1" t="s">
        <v>72</v>
      </c>
      <c r="B335" s="1" t="s">
        <v>3098</v>
      </c>
      <c r="C335" s="1" t="s">
        <v>74</v>
      </c>
      <c r="D335" s="1" t="s">
        <v>74</v>
      </c>
      <c r="E335" s="1" t="s">
        <v>74</v>
      </c>
      <c r="F335" s="1" t="s">
        <v>3099</v>
      </c>
      <c r="G335" s="1" t="s">
        <v>74</v>
      </c>
      <c r="H335" s="1" t="s">
        <v>74</v>
      </c>
      <c r="I335" s="1" t="s">
        <v>3100</v>
      </c>
      <c r="J335" s="1" t="s">
        <v>3101</v>
      </c>
      <c r="K335" s="1" t="s">
        <v>74</v>
      </c>
      <c r="L335" s="1" t="s">
        <v>74</v>
      </c>
      <c r="M335" s="1" t="s">
        <v>74</v>
      </c>
      <c r="N335" s="1" t="s">
        <v>74</v>
      </c>
      <c r="O335" s="1" t="s">
        <v>74</v>
      </c>
      <c r="P335" s="1" t="s">
        <v>74</v>
      </c>
      <c r="Q335" s="1" t="s">
        <v>74</v>
      </c>
      <c r="R335" s="1" t="s">
        <v>74</v>
      </c>
      <c r="S335" s="1" t="s">
        <v>74</v>
      </c>
      <c r="T335" s="1" t="s">
        <v>74</v>
      </c>
      <c r="U335" s="1" t="s">
        <v>74</v>
      </c>
      <c r="V335" s="1" t="s">
        <v>3102</v>
      </c>
      <c r="W335" s="1" t="s">
        <v>74</v>
      </c>
      <c r="X335" s="1" t="s">
        <v>74</v>
      </c>
      <c r="Y335" s="1" t="s">
        <v>74</v>
      </c>
      <c r="Z335" s="1" t="s">
        <v>74</v>
      </c>
      <c r="AA335" s="1" t="s">
        <v>3103</v>
      </c>
      <c r="AB335" s="1" t="s">
        <v>3104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3105</v>
      </c>
      <c r="AP335" s="1" t="s">
        <v>3106</v>
      </c>
      <c r="AQ335" s="1" t="s">
        <v>74</v>
      </c>
      <c r="AR335" s="1" t="s">
        <v>74</v>
      </c>
      <c r="AS335" s="1" t="s">
        <v>74</v>
      </c>
      <c r="AT335" s="1" t="s">
        <v>171</v>
      </c>
      <c r="AU335" s="1">
        <v>2009.0</v>
      </c>
      <c r="AV335" s="1">
        <v>27.0</v>
      </c>
      <c r="AW335" s="1">
        <v>2.0</v>
      </c>
      <c r="AX335" s="1" t="s">
        <v>74</v>
      </c>
      <c r="AY335" s="1" t="s">
        <v>74</v>
      </c>
      <c r="AZ335" s="1" t="s">
        <v>74</v>
      </c>
      <c r="BA335" s="1" t="s">
        <v>74</v>
      </c>
      <c r="BB335" s="1">
        <v>157.0</v>
      </c>
      <c r="BC335" s="1">
        <v>167.0</v>
      </c>
      <c r="BD335" s="1" t="s">
        <v>74</v>
      </c>
      <c r="BE335" s="1" t="s">
        <v>74</v>
      </c>
      <c r="BF335" s="1" t="s">
        <v>74</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3107</v>
      </c>
      <c r="BT335" s="1" t="str">
        <f>HYPERLINK("https%3A%2F%2Fwww.webofscience.com%2Fwos%2Fwoscc%2Ffull-record%2FWOS:000268596300002","View Full Record in Web of Science")</f>
        <v>View Full Record in Web of Science</v>
      </c>
    </row>
    <row r="336" ht="12.75" customHeight="1">
      <c r="A336" s="1" t="s">
        <v>72</v>
      </c>
      <c r="B336" s="1" t="s">
        <v>3108</v>
      </c>
      <c r="C336" s="1" t="s">
        <v>74</v>
      </c>
      <c r="D336" s="1" t="s">
        <v>74</v>
      </c>
      <c r="E336" s="1" t="s">
        <v>74</v>
      </c>
      <c r="F336" s="1" t="s">
        <v>414</v>
      </c>
      <c r="G336" s="1" t="s">
        <v>74</v>
      </c>
      <c r="H336" s="1" t="s">
        <v>74</v>
      </c>
      <c r="I336" s="1" t="s">
        <v>3109</v>
      </c>
      <c r="J336" s="1" t="s">
        <v>3110</v>
      </c>
      <c r="K336" s="1" t="s">
        <v>74</v>
      </c>
      <c r="L336" s="1" t="s">
        <v>74</v>
      </c>
      <c r="M336" s="1" t="s">
        <v>74</v>
      </c>
      <c r="N336" s="1" t="s">
        <v>74</v>
      </c>
      <c r="O336" s="1" t="s">
        <v>74</v>
      </c>
      <c r="P336" s="1" t="s">
        <v>74</v>
      </c>
      <c r="Q336" s="1" t="s">
        <v>74</v>
      </c>
      <c r="R336" s="1" t="s">
        <v>74</v>
      </c>
      <c r="S336" s="1" t="s">
        <v>74</v>
      </c>
      <c r="T336" s="1" t="s">
        <v>74</v>
      </c>
      <c r="U336" s="1" t="s">
        <v>74</v>
      </c>
      <c r="V336" s="1" t="s">
        <v>3111</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3112</v>
      </c>
      <c r="AP336" s="1" t="s">
        <v>3113</v>
      </c>
      <c r="AQ336" s="1" t="s">
        <v>74</v>
      </c>
      <c r="AR336" s="1" t="s">
        <v>74</v>
      </c>
      <c r="AS336" s="1" t="s">
        <v>74</v>
      </c>
      <c r="AT336" s="1" t="s">
        <v>224</v>
      </c>
      <c r="AU336" s="1">
        <v>2009.0</v>
      </c>
      <c r="AV336" s="1">
        <v>8.0</v>
      </c>
      <c r="AW336" s="1">
        <v>3.0</v>
      </c>
      <c r="AX336" s="1" t="s">
        <v>74</v>
      </c>
      <c r="AY336" s="1" t="s">
        <v>74</v>
      </c>
      <c r="AZ336" s="1" t="s">
        <v>74</v>
      </c>
      <c r="BA336" s="1" t="s">
        <v>74</v>
      </c>
      <c r="BB336" s="1">
        <v>955.0</v>
      </c>
      <c r="BC336" s="1">
        <v>976.0</v>
      </c>
      <c r="BD336" s="1" t="s">
        <v>74</v>
      </c>
      <c r="BE336" s="1" t="s">
        <v>3114</v>
      </c>
      <c r="BF336" s="2" t="str">
        <f>HYPERLINK("http://dx.doi.org/10.3934/cpaa.2009.8.955","http://dx.doi.org/10.3934/cpaa.2009.8.955")</f>
        <v>http://dx.doi.org/10.3934/cpaa.2009.8.955</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3115</v>
      </c>
      <c r="BT336" s="1" t="str">
        <f>HYPERLINK("https%3A%2F%2Fwww.webofscience.com%2Fwos%2Fwoscc%2Ffull-record%2FWOS:000265190300009","View Full Record in Web of Science")</f>
        <v>View Full Record in Web of Science</v>
      </c>
    </row>
    <row r="337" ht="12.75" customHeight="1">
      <c r="A337" s="1" t="s">
        <v>72</v>
      </c>
      <c r="B337" s="1" t="s">
        <v>3116</v>
      </c>
      <c r="C337" s="1" t="s">
        <v>74</v>
      </c>
      <c r="D337" s="1" t="s">
        <v>74</v>
      </c>
      <c r="E337" s="1" t="s">
        <v>74</v>
      </c>
      <c r="F337" s="1" t="s">
        <v>3117</v>
      </c>
      <c r="G337" s="1" t="s">
        <v>74</v>
      </c>
      <c r="H337" s="1" t="s">
        <v>74</v>
      </c>
      <c r="I337" s="1" t="s">
        <v>3118</v>
      </c>
      <c r="J337" s="1" t="s">
        <v>3119</v>
      </c>
      <c r="K337" s="1" t="s">
        <v>74</v>
      </c>
      <c r="L337" s="1" t="s">
        <v>74</v>
      </c>
      <c r="M337" s="1" t="s">
        <v>74</v>
      </c>
      <c r="N337" s="1" t="s">
        <v>74</v>
      </c>
      <c r="O337" s="1" t="s">
        <v>74</v>
      </c>
      <c r="P337" s="1" t="s">
        <v>74</v>
      </c>
      <c r="Q337" s="1" t="s">
        <v>74</v>
      </c>
      <c r="R337" s="1" t="s">
        <v>74</v>
      </c>
      <c r="S337" s="1" t="s">
        <v>74</v>
      </c>
      <c r="T337" s="1" t="s">
        <v>74</v>
      </c>
      <c r="U337" s="1" t="s">
        <v>74</v>
      </c>
      <c r="V337" s="1" t="s">
        <v>74</v>
      </c>
      <c r="W337" s="1" t="s">
        <v>74</v>
      </c>
      <c r="X337" s="1" t="s">
        <v>74</v>
      </c>
      <c r="Y337" s="1" t="s">
        <v>74</v>
      </c>
      <c r="Z337" s="1" t="s">
        <v>74</v>
      </c>
      <c r="AA337" s="1" t="s">
        <v>74</v>
      </c>
      <c r="AB337" s="1" t="s">
        <v>74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3120</v>
      </c>
      <c r="AP337" s="1" t="s">
        <v>74</v>
      </c>
      <c r="AQ337" s="1" t="s">
        <v>74</v>
      </c>
      <c r="AR337" s="1" t="s">
        <v>74</v>
      </c>
      <c r="AS337" s="1" t="s">
        <v>74</v>
      </c>
      <c r="AT337" s="1" t="s">
        <v>74</v>
      </c>
      <c r="AU337" s="1">
        <v>2009.0</v>
      </c>
      <c r="AV337" s="1">
        <v>59.0</v>
      </c>
      <c r="AW337" s="1" t="s">
        <v>74</v>
      </c>
      <c r="AX337" s="1" t="s">
        <v>74</v>
      </c>
      <c r="AY337" s="1">
        <v>1.0</v>
      </c>
      <c r="AZ337" s="1" t="s">
        <v>74</v>
      </c>
      <c r="BA337" s="1" t="s">
        <v>74</v>
      </c>
      <c r="BB337" s="1">
        <v>101.0</v>
      </c>
      <c r="BC337" s="1">
        <v>101.0</v>
      </c>
      <c r="BD337" s="1" t="s">
        <v>74</v>
      </c>
      <c r="BE337" s="1" t="s">
        <v>74</v>
      </c>
      <c r="BF337" s="1" t="s">
        <v>74</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3121</v>
      </c>
      <c r="BT337" s="1" t="str">
        <f>HYPERLINK("https%3A%2F%2Fwww.webofscience.com%2Fwos%2Fwoscc%2Ffull-record%2FWOS:000271023100519","View Full Record in Web of Science")</f>
        <v>View Full Record in Web of Science</v>
      </c>
    </row>
    <row r="338" ht="12.75" customHeight="1">
      <c r="A338" s="1" t="s">
        <v>72</v>
      </c>
      <c r="B338" s="1" t="s">
        <v>3108</v>
      </c>
      <c r="C338" s="1" t="s">
        <v>74</v>
      </c>
      <c r="D338" s="1" t="s">
        <v>74</v>
      </c>
      <c r="E338" s="1" t="s">
        <v>74</v>
      </c>
      <c r="F338" s="1" t="s">
        <v>3122</v>
      </c>
      <c r="G338" s="1" t="s">
        <v>74</v>
      </c>
      <c r="H338" s="1" t="s">
        <v>74</v>
      </c>
      <c r="I338" s="1" t="s">
        <v>3123</v>
      </c>
      <c r="J338" s="1" t="s">
        <v>3124</v>
      </c>
      <c r="K338" s="1" t="s">
        <v>74</v>
      </c>
      <c r="L338" s="1" t="s">
        <v>74</v>
      </c>
      <c r="M338" s="1" t="s">
        <v>74</v>
      </c>
      <c r="N338" s="1" t="s">
        <v>74</v>
      </c>
      <c r="O338" s="1" t="s">
        <v>74</v>
      </c>
      <c r="P338" s="1" t="s">
        <v>74</v>
      </c>
      <c r="Q338" s="1" t="s">
        <v>74</v>
      </c>
      <c r="R338" s="1" t="s">
        <v>74</v>
      </c>
      <c r="S338" s="1" t="s">
        <v>74</v>
      </c>
      <c r="T338" s="1" t="s">
        <v>74</v>
      </c>
      <c r="U338" s="1" t="s">
        <v>74</v>
      </c>
      <c r="V338" s="1" t="s">
        <v>3125</v>
      </c>
      <c r="W338" s="1" t="s">
        <v>74</v>
      </c>
      <c r="X338" s="1" t="s">
        <v>74</v>
      </c>
      <c r="Y338" s="1" t="s">
        <v>74</v>
      </c>
      <c r="Z338" s="1" t="s">
        <v>74</v>
      </c>
      <c r="AA338" s="1" t="s">
        <v>74</v>
      </c>
      <c r="AB338" s="1" t="s">
        <v>74</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3126</v>
      </c>
      <c r="AP338" s="1" t="s">
        <v>74</v>
      </c>
      <c r="AQ338" s="1" t="s">
        <v>74</v>
      </c>
      <c r="AR338" s="1" t="s">
        <v>74</v>
      </c>
      <c r="AS338" s="1" t="s">
        <v>74</v>
      </c>
      <c r="AT338" s="1" t="s">
        <v>410</v>
      </c>
      <c r="AU338" s="1">
        <v>2008.0</v>
      </c>
      <c r="AV338" s="1">
        <v>121.0</v>
      </c>
      <c r="AW338" s="1">
        <v>3.0</v>
      </c>
      <c r="AX338" s="1" t="s">
        <v>74</v>
      </c>
      <c r="AY338" s="1" t="s">
        <v>74</v>
      </c>
      <c r="AZ338" s="1" t="s">
        <v>74</v>
      </c>
      <c r="BA338" s="1" t="s">
        <v>74</v>
      </c>
      <c r="BB338" s="1">
        <v>203.0</v>
      </c>
      <c r="BC338" s="1">
        <v>227.0</v>
      </c>
      <c r="BD338" s="1" t="s">
        <v>74</v>
      </c>
      <c r="BE338" s="1" t="s">
        <v>3127</v>
      </c>
      <c r="BF338" s="2" t="str">
        <f>HYPERLINK("http://dx.doi.org/10.1007/s10474-008-7009-x","http://dx.doi.org/10.1007/s10474-008-7009-x")</f>
        <v>http://dx.doi.org/10.1007/s10474-008-7009-x</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3128</v>
      </c>
      <c r="BT338" s="1" t="str">
        <f>HYPERLINK("https%3A%2F%2Fwww.webofscience.com%2Fwos%2Fwoscc%2Ffull-record%2FWOS:000260468300001","View Full Record in Web of Science")</f>
        <v>View Full Record in Web of Science</v>
      </c>
    </row>
    <row r="339" ht="12.75" customHeight="1">
      <c r="A339" s="1" t="s">
        <v>72</v>
      </c>
      <c r="B339" s="1" t="s">
        <v>3129</v>
      </c>
      <c r="C339" s="1" t="s">
        <v>74</v>
      </c>
      <c r="D339" s="1" t="s">
        <v>74</v>
      </c>
      <c r="E339" s="1" t="s">
        <v>74</v>
      </c>
      <c r="F339" s="1" t="s">
        <v>3130</v>
      </c>
      <c r="G339" s="1" t="s">
        <v>74</v>
      </c>
      <c r="H339" s="1" t="s">
        <v>74</v>
      </c>
      <c r="I339" s="1" t="s">
        <v>3131</v>
      </c>
      <c r="J339" s="1" t="s">
        <v>3132</v>
      </c>
      <c r="K339" s="1" t="s">
        <v>74</v>
      </c>
      <c r="L339" s="1" t="s">
        <v>74</v>
      </c>
      <c r="M339" s="1" t="s">
        <v>74</v>
      </c>
      <c r="N339" s="1" t="s">
        <v>74</v>
      </c>
      <c r="O339" s="1" t="s">
        <v>74</v>
      </c>
      <c r="P339" s="1" t="s">
        <v>74</v>
      </c>
      <c r="Q339" s="1" t="s">
        <v>74</v>
      </c>
      <c r="R339" s="1" t="s">
        <v>74</v>
      </c>
      <c r="S339" s="1" t="s">
        <v>74</v>
      </c>
      <c r="T339" s="1" t="s">
        <v>74</v>
      </c>
      <c r="U339" s="1" t="s">
        <v>74</v>
      </c>
      <c r="V339" s="1" t="s">
        <v>3133</v>
      </c>
      <c r="W339" s="1" t="s">
        <v>74</v>
      </c>
      <c r="X339" s="1" t="s">
        <v>74</v>
      </c>
      <c r="Y339" s="1" t="s">
        <v>74</v>
      </c>
      <c r="Z339" s="1" t="s">
        <v>74</v>
      </c>
      <c r="AA339" s="1" t="s">
        <v>74</v>
      </c>
      <c r="AB339" s="1" t="s">
        <v>74</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3134</v>
      </c>
      <c r="AP339" s="1" t="s">
        <v>74</v>
      </c>
      <c r="AQ339" s="1" t="s">
        <v>74</v>
      </c>
      <c r="AR339" s="1" t="s">
        <v>74</v>
      </c>
      <c r="AS339" s="1" t="s">
        <v>74</v>
      </c>
      <c r="AT339" s="1" t="s">
        <v>74</v>
      </c>
      <c r="AU339" s="1">
        <v>2008.0</v>
      </c>
      <c r="AV339" s="1" t="s">
        <v>74</v>
      </c>
      <c r="AW339" s="1">
        <v>36.0</v>
      </c>
      <c r="AX339" s="1" t="s">
        <v>74</v>
      </c>
      <c r="AY339" s="1" t="s">
        <v>74</v>
      </c>
      <c r="AZ339" s="1" t="s">
        <v>74</v>
      </c>
      <c r="BA339" s="1" t="s">
        <v>74</v>
      </c>
      <c r="BB339" s="1">
        <v>87.0</v>
      </c>
      <c r="BC339" s="1">
        <v>101.0</v>
      </c>
      <c r="BD339" s="1" t="s">
        <v>74</v>
      </c>
      <c r="BE339" s="1" t="s">
        <v>3135</v>
      </c>
      <c r="BF339" s="2" t="str">
        <f>HYPERLINK("http://dx.doi.org/10.4067/S0717-68482008000100007","http://dx.doi.org/10.4067/S0717-68482008000100007")</f>
        <v>http://dx.doi.org/10.4067/S0717-68482008000100007</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3136</v>
      </c>
      <c r="BT339" s="1" t="str">
        <f>HYPERLINK("https%3A%2F%2Fwww.webofscience.com%2Fwos%2Fwoscc%2Ffull-record%2FWOS:000260624500007","View Full Record in Web of Science")</f>
        <v>View Full Record in Web of Science</v>
      </c>
    </row>
    <row r="340" ht="12.75" customHeight="1">
      <c r="A340" s="1" t="s">
        <v>72</v>
      </c>
      <c r="B340" s="1" t="s">
        <v>3137</v>
      </c>
      <c r="C340" s="1" t="s">
        <v>74</v>
      </c>
      <c r="D340" s="1" t="s">
        <v>74</v>
      </c>
      <c r="E340" s="1" t="s">
        <v>74</v>
      </c>
      <c r="F340" s="1" t="s">
        <v>3138</v>
      </c>
      <c r="G340" s="1" t="s">
        <v>74</v>
      </c>
      <c r="H340" s="1" t="s">
        <v>74</v>
      </c>
      <c r="I340" s="1" t="s">
        <v>3139</v>
      </c>
      <c r="J340" s="1" t="s">
        <v>3140</v>
      </c>
      <c r="K340" s="1" t="s">
        <v>74</v>
      </c>
      <c r="L340" s="1" t="s">
        <v>74</v>
      </c>
      <c r="M340" s="1" t="s">
        <v>74</v>
      </c>
      <c r="N340" s="1" t="s">
        <v>74</v>
      </c>
      <c r="O340" s="1" t="s">
        <v>74</v>
      </c>
      <c r="P340" s="1" t="s">
        <v>74</v>
      </c>
      <c r="Q340" s="1" t="s">
        <v>74</v>
      </c>
      <c r="R340" s="1" t="s">
        <v>74</v>
      </c>
      <c r="S340" s="1" t="s">
        <v>74</v>
      </c>
      <c r="T340" s="1" t="s">
        <v>74</v>
      </c>
      <c r="U340" s="1" t="s">
        <v>74</v>
      </c>
      <c r="V340" s="1" t="s">
        <v>3141</v>
      </c>
      <c r="W340" s="1" t="s">
        <v>74</v>
      </c>
      <c r="X340" s="1" t="s">
        <v>74</v>
      </c>
      <c r="Y340" s="1" t="s">
        <v>74</v>
      </c>
      <c r="Z340" s="1" t="s">
        <v>74</v>
      </c>
      <c r="AA340" s="1" t="s">
        <v>74</v>
      </c>
      <c r="AB340" s="1" t="s">
        <v>74</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3142</v>
      </c>
      <c r="AP340" s="1" t="s">
        <v>3143</v>
      </c>
      <c r="AQ340" s="1" t="s">
        <v>74</v>
      </c>
      <c r="AR340" s="1" t="s">
        <v>74</v>
      </c>
      <c r="AS340" s="1" t="s">
        <v>74</v>
      </c>
      <c r="AT340" s="1" t="s">
        <v>276</v>
      </c>
      <c r="AU340" s="1">
        <v>2007.0</v>
      </c>
      <c r="AV340" s="1">
        <v>8.0</v>
      </c>
      <c r="AW340" s="1">
        <v>10.0</v>
      </c>
      <c r="AX340" s="1" t="s">
        <v>74</v>
      </c>
      <c r="AY340" s="1" t="s">
        <v>74</v>
      </c>
      <c r="AZ340" s="1" t="s">
        <v>74</v>
      </c>
      <c r="BA340" s="1" t="s">
        <v>74</v>
      </c>
      <c r="BB340" s="1">
        <v>859.0</v>
      </c>
      <c r="BC340" s="1">
        <v>866.0</v>
      </c>
      <c r="BD340" s="1" t="s">
        <v>74</v>
      </c>
      <c r="BE340" s="1" t="s">
        <v>74</v>
      </c>
      <c r="BF340" s="1" t="s">
        <v>74</v>
      </c>
      <c r="BG340" s="1" t="s">
        <v>74</v>
      </c>
      <c r="BH340" s="1" t="s">
        <v>74</v>
      </c>
      <c r="BI340" s="1" t="s">
        <v>74</v>
      </c>
      <c r="BJ340" s="1" t="s">
        <v>74</v>
      </c>
      <c r="BK340" s="1" t="s">
        <v>74</v>
      </c>
      <c r="BL340" s="1" t="s">
        <v>74</v>
      </c>
      <c r="BM340" s="1" t="s">
        <v>74</v>
      </c>
      <c r="BN340" s="1">
        <v>1.7907063E7</v>
      </c>
      <c r="BO340" s="1" t="s">
        <v>74</v>
      </c>
      <c r="BP340" s="1" t="s">
        <v>74</v>
      </c>
      <c r="BQ340" s="1" t="s">
        <v>74</v>
      </c>
      <c r="BR340" s="1" t="s">
        <v>74</v>
      </c>
      <c r="BS340" s="1" t="s">
        <v>3144</v>
      </c>
      <c r="BT340" s="1" t="str">
        <f>HYPERLINK("https%3A%2F%2Fwww.webofscience.com%2Fwos%2Fwoscc%2Ffull-record%2FWOS:000249784600009","View Full Record in Web of Science")</f>
        <v>View Full Record in Web of Science</v>
      </c>
    </row>
    <row r="341" ht="12.75" customHeight="1">
      <c r="A341" s="1" t="s">
        <v>72</v>
      </c>
      <c r="B341" s="1" t="s">
        <v>3145</v>
      </c>
      <c r="C341" s="1" t="s">
        <v>74</v>
      </c>
      <c r="D341" s="1" t="s">
        <v>74</v>
      </c>
      <c r="E341" s="1" t="s">
        <v>74</v>
      </c>
      <c r="F341" s="1" t="s">
        <v>3146</v>
      </c>
      <c r="G341" s="1" t="s">
        <v>74</v>
      </c>
      <c r="H341" s="1" t="s">
        <v>74</v>
      </c>
      <c r="I341" s="1" t="s">
        <v>3147</v>
      </c>
      <c r="J341" s="1" t="s">
        <v>3148</v>
      </c>
      <c r="K341" s="1" t="s">
        <v>74</v>
      </c>
      <c r="L341" s="1" t="s">
        <v>74</v>
      </c>
      <c r="M341" s="1" t="s">
        <v>74</v>
      </c>
      <c r="N341" s="1" t="s">
        <v>74</v>
      </c>
      <c r="O341" s="1" t="s">
        <v>74</v>
      </c>
      <c r="P341" s="1" t="s">
        <v>74</v>
      </c>
      <c r="Q341" s="1" t="s">
        <v>74</v>
      </c>
      <c r="R341" s="1" t="s">
        <v>74</v>
      </c>
      <c r="S341" s="1" t="s">
        <v>74</v>
      </c>
      <c r="T341" s="1" t="s">
        <v>74</v>
      </c>
      <c r="U341" s="1" t="s">
        <v>74</v>
      </c>
      <c r="V341" s="1" t="s">
        <v>74</v>
      </c>
      <c r="W341" s="1" t="s">
        <v>74</v>
      </c>
      <c r="X341" s="1" t="s">
        <v>74</v>
      </c>
      <c r="Y341" s="1" t="s">
        <v>74</v>
      </c>
      <c r="Z341" s="1" t="s">
        <v>74</v>
      </c>
      <c r="AA341" s="1" t="s">
        <v>74</v>
      </c>
      <c r="AB341" s="1" t="s">
        <v>74</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3149</v>
      </c>
      <c r="AP341" s="1" t="s">
        <v>74</v>
      </c>
      <c r="AQ341" s="1" t="s">
        <v>74</v>
      </c>
      <c r="AR341" s="1" t="s">
        <v>74</v>
      </c>
      <c r="AS341" s="1" t="s">
        <v>74</v>
      </c>
      <c r="AT341" s="1" t="s">
        <v>74</v>
      </c>
      <c r="AU341" s="1">
        <v>2007.0</v>
      </c>
      <c r="AV341" s="1">
        <v>33.0</v>
      </c>
      <c r="AW341" s="1">
        <v>66.0</v>
      </c>
      <c r="AX341" s="1" t="s">
        <v>74</v>
      </c>
      <c r="AY341" s="1" t="s">
        <v>74</v>
      </c>
      <c r="AZ341" s="1" t="s">
        <v>74</v>
      </c>
      <c r="BA341" s="1" t="s">
        <v>74</v>
      </c>
      <c r="BB341" s="1">
        <v>251.0</v>
      </c>
      <c r="BC341" s="1">
        <v>278.0</v>
      </c>
      <c r="BD341" s="1" t="s">
        <v>74</v>
      </c>
      <c r="BE341" s="1" t="s">
        <v>3150</v>
      </c>
      <c r="BF341" s="2" t="str">
        <f>HYPERLINK("http://dx.doi.org/10.2307/25485839","http://dx.doi.org/10.2307/25485839")</f>
        <v>http://dx.doi.org/10.2307/25485839</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3151</v>
      </c>
      <c r="BT341" s="1" t="str">
        <f>HYPERLINK("https%3A%2F%2Fwww.webofscience.com%2Fwos%2Fwoscc%2Ffull-record%2FWOS:000265480500014","View Full Record in Web of Science")</f>
        <v>View Full Record in Web of Science</v>
      </c>
    </row>
    <row r="342" ht="12.75" customHeight="1">
      <c r="A342" s="1" t="s">
        <v>126</v>
      </c>
      <c r="B342" s="1" t="s">
        <v>3152</v>
      </c>
      <c r="C342" s="1" t="s">
        <v>74</v>
      </c>
      <c r="D342" s="1" t="s">
        <v>3153</v>
      </c>
      <c r="E342" s="1" t="s">
        <v>74</v>
      </c>
      <c r="F342" s="1" t="s">
        <v>3152</v>
      </c>
      <c r="G342" s="1" t="s">
        <v>74</v>
      </c>
      <c r="H342" s="1" t="s">
        <v>74</v>
      </c>
      <c r="I342" s="1" t="s">
        <v>3154</v>
      </c>
      <c r="J342" s="1" t="s">
        <v>3155</v>
      </c>
      <c r="K342" s="1" t="s">
        <v>74</v>
      </c>
      <c r="L342" s="1" t="s">
        <v>74</v>
      </c>
      <c r="M342" s="1" t="s">
        <v>74</v>
      </c>
      <c r="N342" s="1" t="s">
        <v>74</v>
      </c>
      <c r="O342" s="1" t="s">
        <v>3156</v>
      </c>
      <c r="P342" s="1" t="s">
        <v>3157</v>
      </c>
      <c r="Q342" s="1" t="s">
        <v>3158</v>
      </c>
      <c r="R342" s="1" t="s">
        <v>1158</v>
      </c>
      <c r="S342" s="1" t="s">
        <v>74</v>
      </c>
      <c r="T342" s="1" t="s">
        <v>74</v>
      </c>
      <c r="U342" s="1" t="s">
        <v>74</v>
      </c>
      <c r="V342" s="1" t="s">
        <v>3159</v>
      </c>
      <c r="W342" s="1" t="s">
        <v>74</v>
      </c>
      <c r="X342" s="1" t="s">
        <v>74</v>
      </c>
      <c r="Y342" s="1" t="s">
        <v>74</v>
      </c>
      <c r="Z342" s="1" t="s">
        <v>74</v>
      </c>
      <c r="AA342" s="1" t="s">
        <v>3160</v>
      </c>
      <c r="AB342" s="1" t="s">
        <v>3161</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74</v>
      </c>
      <c r="AP342" s="1" t="s">
        <v>74</v>
      </c>
      <c r="AQ342" s="1" t="s">
        <v>3162</v>
      </c>
      <c r="AR342" s="1" t="s">
        <v>74</v>
      </c>
      <c r="AS342" s="1" t="s">
        <v>74</v>
      </c>
      <c r="AT342" s="1" t="s">
        <v>74</v>
      </c>
      <c r="AU342" s="1">
        <v>2005.0</v>
      </c>
      <c r="AV342" s="1" t="s">
        <v>74</v>
      </c>
      <c r="AW342" s="1" t="s">
        <v>74</v>
      </c>
      <c r="AX342" s="1" t="s">
        <v>74</v>
      </c>
      <c r="AY342" s="1" t="s">
        <v>74</v>
      </c>
      <c r="AZ342" s="1" t="s">
        <v>74</v>
      </c>
      <c r="BA342" s="1" t="s">
        <v>74</v>
      </c>
      <c r="BB342" s="1">
        <v>55.0</v>
      </c>
      <c r="BC342" s="1">
        <v>61.0</v>
      </c>
      <c r="BD342" s="1" t="s">
        <v>74</v>
      </c>
      <c r="BE342" s="1" t="s">
        <v>74</v>
      </c>
      <c r="BF342" s="1" t="s">
        <v>74</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3163</v>
      </c>
      <c r="BT342" s="1" t="str">
        <f>HYPERLINK("https%3A%2F%2Fwww.webofscience.com%2Fwos%2Fwoscc%2Ffull-record%2FWOS:000235354000007","View Full Record in Web of Science")</f>
        <v>View Full Record in Web of Science</v>
      </c>
    </row>
    <row r="343" ht="12.75" customHeight="1">
      <c r="A343" s="1" t="s">
        <v>126</v>
      </c>
      <c r="B343" s="1" t="s">
        <v>3164</v>
      </c>
      <c r="C343" s="1" t="s">
        <v>74</v>
      </c>
      <c r="D343" s="1" t="s">
        <v>3165</v>
      </c>
      <c r="E343" s="1" t="s">
        <v>74</v>
      </c>
      <c r="F343" s="1" t="s">
        <v>3164</v>
      </c>
      <c r="G343" s="1" t="s">
        <v>74</v>
      </c>
      <c r="H343" s="1" t="s">
        <v>74</v>
      </c>
      <c r="I343" s="1" t="s">
        <v>3166</v>
      </c>
      <c r="J343" s="1" t="s">
        <v>3167</v>
      </c>
      <c r="K343" s="1" t="s">
        <v>3168</v>
      </c>
      <c r="L343" s="1" t="s">
        <v>74</v>
      </c>
      <c r="M343" s="1" t="s">
        <v>74</v>
      </c>
      <c r="N343" s="1" t="s">
        <v>74</v>
      </c>
      <c r="O343" s="1" t="s">
        <v>3169</v>
      </c>
      <c r="P343" s="1">
        <v>2005.0</v>
      </c>
      <c r="Q343" s="1" t="s">
        <v>3170</v>
      </c>
      <c r="R343" s="1" t="s">
        <v>3171</v>
      </c>
      <c r="S343" s="1" t="s">
        <v>74</v>
      </c>
      <c r="T343" s="1" t="s">
        <v>74</v>
      </c>
      <c r="U343" s="1" t="s">
        <v>74</v>
      </c>
      <c r="V343" s="1" t="s">
        <v>3172</v>
      </c>
      <c r="W343" s="1" t="s">
        <v>74</v>
      </c>
      <c r="X343" s="1" t="s">
        <v>74</v>
      </c>
      <c r="Y343" s="1" t="s">
        <v>74</v>
      </c>
      <c r="Z343" s="1" t="s">
        <v>74</v>
      </c>
      <c r="AA343" s="1" t="s">
        <v>74</v>
      </c>
      <c r="AB343" s="1" t="s">
        <v>74</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3173</v>
      </c>
      <c r="AP343" s="1" t="s">
        <v>74</v>
      </c>
      <c r="AQ343" s="1" t="s">
        <v>3174</v>
      </c>
      <c r="AR343" s="1" t="s">
        <v>74</v>
      </c>
      <c r="AS343" s="1" t="s">
        <v>74</v>
      </c>
      <c r="AT343" s="1" t="s">
        <v>74</v>
      </c>
      <c r="AU343" s="1">
        <v>2005.0</v>
      </c>
      <c r="AV343" s="1">
        <v>82.0</v>
      </c>
      <c r="AW343" s="1" t="s">
        <v>74</v>
      </c>
      <c r="AX343" s="1" t="s">
        <v>74</v>
      </c>
      <c r="AY343" s="1" t="s">
        <v>74</v>
      </c>
      <c r="AZ343" s="1" t="s">
        <v>74</v>
      </c>
      <c r="BA343" s="1" t="s">
        <v>74</v>
      </c>
      <c r="BB343" s="1">
        <v>33.0</v>
      </c>
      <c r="BC343" s="1">
        <v>37.0</v>
      </c>
      <c r="BD343" s="1" t="s">
        <v>74</v>
      </c>
      <c r="BE343" s="1" t="s">
        <v>74</v>
      </c>
      <c r="BF343" s="1" t="s">
        <v>74</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3175</v>
      </c>
      <c r="BT343" s="1" t="str">
        <f>HYPERLINK("https%3A%2F%2Fwww.webofscience.com%2Fwos%2Fwoscc%2Ffull-record%2FWOS:000230300700004","View Full Record in Web of Science")</f>
        <v>View Full Record in Web of Science</v>
      </c>
    </row>
    <row r="344" ht="12.75" customHeight="1">
      <c r="A344" s="1" t="s">
        <v>72</v>
      </c>
      <c r="B344" s="1" t="s">
        <v>3176</v>
      </c>
      <c r="C344" s="1" t="s">
        <v>74</v>
      </c>
      <c r="D344" s="1" t="s">
        <v>74</v>
      </c>
      <c r="E344" s="1" t="s">
        <v>74</v>
      </c>
      <c r="F344" s="1" t="s">
        <v>3176</v>
      </c>
      <c r="G344" s="1" t="s">
        <v>74</v>
      </c>
      <c r="H344" s="1" t="s">
        <v>74</v>
      </c>
      <c r="I344" s="1" t="s">
        <v>3177</v>
      </c>
      <c r="J344" s="1" t="s">
        <v>3148</v>
      </c>
      <c r="K344" s="1" t="s">
        <v>74</v>
      </c>
      <c r="L344" s="1" t="s">
        <v>74</v>
      </c>
      <c r="M344" s="1" t="s">
        <v>74</v>
      </c>
      <c r="N344" s="1" t="s">
        <v>74</v>
      </c>
      <c r="O344" s="1" t="s">
        <v>74</v>
      </c>
      <c r="P344" s="1" t="s">
        <v>74</v>
      </c>
      <c r="Q344" s="1" t="s">
        <v>74</v>
      </c>
      <c r="R344" s="1" t="s">
        <v>74</v>
      </c>
      <c r="S344" s="1" t="s">
        <v>74</v>
      </c>
      <c r="T344" s="1" t="s">
        <v>74</v>
      </c>
      <c r="U344" s="1" t="s">
        <v>74</v>
      </c>
      <c r="V344" s="1" t="s">
        <v>74</v>
      </c>
      <c r="W344" s="1" t="s">
        <v>74</v>
      </c>
      <c r="X344" s="1" t="s">
        <v>74</v>
      </c>
      <c r="Y344" s="1" t="s">
        <v>74</v>
      </c>
      <c r="Z344" s="1" t="s">
        <v>74</v>
      </c>
      <c r="AA344" s="1" t="s">
        <v>74</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3149</v>
      </c>
      <c r="AP344" s="1" t="s">
        <v>74</v>
      </c>
      <c r="AQ344" s="1" t="s">
        <v>74</v>
      </c>
      <c r="AR344" s="1" t="s">
        <v>74</v>
      </c>
      <c r="AS344" s="1" t="s">
        <v>74</v>
      </c>
      <c r="AT344" s="1" t="s">
        <v>74</v>
      </c>
      <c r="AU344" s="1">
        <v>2005.0</v>
      </c>
      <c r="AV344" s="1">
        <v>31.0</v>
      </c>
      <c r="AW344" s="1">
        <v>61.0</v>
      </c>
      <c r="AX344" s="1" t="s">
        <v>74</v>
      </c>
      <c r="AY344" s="1" t="s">
        <v>74</v>
      </c>
      <c r="AZ344" s="1" t="s">
        <v>74</v>
      </c>
      <c r="BA344" s="1" t="s">
        <v>74</v>
      </c>
      <c r="BB344" s="1">
        <v>59.0</v>
      </c>
      <c r="BC344" s="1">
        <v>74.0</v>
      </c>
      <c r="BD344" s="1" t="s">
        <v>74</v>
      </c>
      <c r="BE344" s="1" t="s">
        <v>3178</v>
      </c>
      <c r="BF344" s="2" t="str">
        <f>HYPERLINK("http://dx.doi.org/10.2307/25070260","http://dx.doi.org/10.2307/25070260")</f>
        <v>http://dx.doi.org/10.2307/25070260</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3179</v>
      </c>
      <c r="BT344" s="1" t="str">
        <f>HYPERLINK("https%3A%2F%2Fwww.webofscience.com%2Fwos%2Fwoscc%2Ffull-record%2FWOS:000237713600005","View Full Record in Web of Science")</f>
        <v>View Full Record in Web of Science</v>
      </c>
    </row>
    <row r="345" ht="12.75" customHeight="1">
      <c r="A345" s="1" t="s">
        <v>72</v>
      </c>
      <c r="B345" s="1" t="s">
        <v>3180</v>
      </c>
      <c r="C345" s="1" t="s">
        <v>74</v>
      </c>
      <c r="D345" s="1" t="s">
        <v>74</v>
      </c>
      <c r="E345" s="1" t="s">
        <v>74</v>
      </c>
      <c r="F345" s="1" t="s">
        <v>3180</v>
      </c>
      <c r="G345" s="1" t="s">
        <v>74</v>
      </c>
      <c r="H345" s="1" t="s">
        <v>74</v>
      </c>
      <c r="I345" s="1" t="s">
        <v>3181</v>
      </c>
      <c r="J345" s="1" t="s">
        <v>1302</v>
      </c>
      <c r="K345" s="1" t="s">
        <v>74</v>
      </c>
      <c r="L345" s="1" t="s">
        <v>74</v>
      </c>
      <c r="M345" s="1" t="s">
        <v>74</v>
      </c>
      <c r="N345" s="1" t="s">
        <v>74</v>
      </c>
      <c r="O345" s="1" t="s">
        <v>74</v>
      </c>
      <c r="P345" s="1" t="s">
        <v>74</v>
      </c>
      <c r="Q345" s="1" t="s">
        <v>74</v>
      </c>
      <c r="R345" s="1" t="s">
        <v>74</v>
      </c>
      <c r="S345" s="1" t="s">
        <v>74</v>
      </c>
      <c r="T345" s="1" t="s">
        <v>74</v>
      </c>
      <c r="U345" s="1" t="s">
        <v>74</v>
      </c>
      <c r="V345" s="1" t="s">
        <v>3182</v>
      </c>
      <c r="W345" s="1" t="s">
        <v>74</v>
      </c>
      <c r="X345" s="1" t="s">
        <v>74</v>
      </c>
      <c r="Y345" s="1" t="s">
        <v>74</v>
      </c>
      <c r="Z345" s="1" t="s">
        <v>74</v>
      </c>
      <c r="AA345" s="1" t="s">
        <v>74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1304</v>
      </c>
      <c r="AP345" s="1" t="s">
        <v>1305</v>
      </c>
      <c r="AQ345" s="1" t="s">
        <v>74</v>
      </c>
      <c r="AR345" s="1" t="s">
        <v>74</v>
      </c>
      <c r="AS345" s="1" t="s">
        <v>74</v>
      </c>
      <c r="AT345" s="1" t="s">
        <v>158</v>
      </c>
      <c r="AU345" s="1">
        <v>2004.0</v>
      </c>
      <c r="AV345" s="1" t="s">
        <v>74</v>
      </c>
      <c r="AW345" s="1">
        <v>39.0</v>
      </c>
      <c r="AX345" s="1" t="s">
        <v>74</v>
      </c>
      <c r="AY345" s="1" t="s">
        <v>74</v>
      </c>
      <c r="AZ345" s="1" t="s">
        <v>74</v>
      </c>
      <c r="BA345" s="1" t="s">
        <v>74</v>
      </c>
      <c r="BB345" s="1">
        <v>37.0</v>
      </c>
      <c r="BC345" s="1">
        <v>47.0</v>
      </c>
      <c r="BD345" s="1" t="s">
        <v>74</v>
      </c>
      <c r="BE345" s="1" t="s">
        <v>74</v>
      </c>
      <c r="BF345" s="1" t="s">
        <v>74</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3183</v>
      </c>
      <c r="BT345" s="1" t="str">
        <f>HYPERLINK("https%3A%2F%2Fwww.webofscience.com%2Fwos%2Fwoscc%2Ffull-record%2FWOS:000224167000002","View Full Record in Web of Science")</f>
        <v>View Full Record in Web of Science</v>
      </c>
    </row>
    <row r="346" ht="12.75" customHeight="1">
      <c r="A346" s="1" t="s">
        <v>72</v>
      </c>
      <c r="B346" s="1" t="s">
        <v>319</v>
      </c>
      <c r="C346" s="1" t="s">
        <v>74</v>
      </c>
      <c r="D346" s="1" t="s">
        <v>74</v>
      </c>
      <c r="E346" s="1" t="s">
        <v>74</v>
      </c>
      <c r="F346" s="1" t="s">
        <v>319</v>
      </c>
      <c r="G346" s="1" t="s">
        <v>74</v>
      </c>
      <c r="H346" s="1" t="s">
        <v>74</v>
      </c>
      <c r="I346" s="1" t="s">
        <v>3184</v>
      </c>
      <c r="J346" s="1" t="s">
        <v>322</v>
      </c>
      <c r="K346" s="1" t="s">
        <v>74</v>
      </c>
      <c r="L346" s="1" t="s">
        <v>74</v>
      </c>
      <c r="M346" s="1" t="s">
        <v>74</v>
      </c>
      <c r="N346" s="1" t="s">
        <v>74</v>
      </c>
      <c r="O346" s="1" t="s">
        <v>74</v>
      </c>
      <c r="P346" s="1" t="s">
        <v>74</v>
      </c>
      <c r="Q346" s="1" t="s">
        <v>74</v>
      </c>
      <c r="R346" s="1" t="s">
        <v>74</v>
      </c>
      <c r="S346" s="1" t="s">
        <v>74</v>
      </c>
      <c r="T346" s="1" t="s">
        <v>74</v>
      </c>
      <c r="U346" s="1" t="s">
        <v>74</v>
      </c>
      <c r="V346" s="1" t="s">
        <v>3185</v>
      </c>
      <c r="W346" s="1" t="s">
        <v>74</v>
      </c>
      <c r="X346" s="1" t="s">
        <v>74</v>
      </c>
      <c r="Y346" s="1" t="s">
        <v>74</v>
      </c>
      <c r="Z346" s="1" t="s">
        <v>74</v>
      </c>
      <c r="AA346" s="1" t="s">
        <v>74</v>
      </c>
      <c r="AB346" s="1" t="s">
        <v>74</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324</v>
      </c>
      <c r="AP346" s="1" t="s">
        <v>74</v>
      </c>
      <c r="AQ346" s="1" t="s">
        <v>74</v>
      </c>
      <c r="AR346" s="1" t="s">
        <v>74</v>
      </c>
      <c r="AS346" s="1" t="s">
        <v>74</v>
      </c>
      <c r="AT346" s="1" t="s">
        <v>3186</v>
      </c>
      <c r="AU346" s="1">
        <v>2004.0</v>
      </c>
      <c r="AV346" s="1">
        <v>19.0</v>
      </c>
      <c r="AW346" s="1">
        <v>19.0</v>
      </c>
      <c r="AX346" s="1" t="s">
        <v>74</v>
      </c>
      <c r="AY346" s="1" t="s">
        <v>74</v>
      </c>
      <c r="AZ346" s="1" t="s">
        <v>74</v>
      </c>
      <c r="BA346" s="1" t="s">
        <v>74</v>
      </c>
      <c r="BB346" s="1">
        <v>1469.0</v>
      </c>
      <c r="BC346" s="1">
        <v>1482.0</v>
      </c>
      <c r="BD346" s="1" t="s">
        <v>74</v>
      </c>
      <c r="BE346" s="1" t="s">
        <v>3187</v>
      </c>
      <c r="BF346" s="2" t="str">
        <f>HYPERLINK("http://dx.doi.org/10.1142/S0217732304013738","http://dx.doi.org/10.1142/S0217732304013738")</f>
        <v>http://dx.doi.org/10.1142/S0217732304013738</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3188</v>
      </c>
      <c r="BT346" s="1" t="str">
        <f>HYPERLINK("https%3A%2F%2Fwww.webofscience.com%2Fwos%2Fwoscc%2Ffull-record%2FWOS:000222257500006","View Full Record in Web of Science")</f>
        <v>View Full Record in Web of Science</v>
      </c>
    </row>
    <row r="347" ht="12.75" customHeight="1">
      <c r="A347" s="1" t="s">
        <v>72</v>
      </c>
      <c r="B347" s="1" t="s">
        <v>3189</v>
      </c>
      <c r="C347" s="1" t="s">
        <v>74</v>
      </c>
      <c r="D347" s="1" t="s">
        <v>74</v>
      </c>
      <c r="E347" s="1" t="s">
        <v>74</v>
      </c>
      <c r="F347" s="1" t="s">
        <v>3189</v>
      </c>
      <c r="G347" s="1" t="s">
        <v>74</v>
      </c>
      <c r="H347" s="1" t="s">
        <v>74</v>
      </c>
      <c r="I347" s="1" t="s">
        <v>3190</v>
      </c>
      <c r="J347" s="1" t="s">
        <v>2442</v>
      </c>
      <c r="K347" s="1" t="s">
        <v>74</v>
      </c>
      <c r="L347" s="1" t="s">
        <v>74</v>
      </c>
      <c r="M347" s="1" t="s">
        <v>74</v>
      </c>
      <c r="N347" s="1" t="s">
        <v>74</v>
      </c>
      <c r="O347" s="1" t="s">
        <v>74</v>
      </c>
      <c r="P347" s="1" t="s">
        <v>74</v>
      </c>
      <c r="Q347" s="1" t="s">
        <v>74</v>
      </c>
      <c r="R347" s="1" t="s">
        <v>74</v>
      </c>
      <c r="S347" s="1" t="s">
        <v>74</v>
      </c>
      <c r="T347" s="1" t="s">
        <v>74</v>
      </c>
      <c r="U347" s="1" t="s">
        <v>74</v>
      </c>
      <c r="V347" s="1" t="s">
        <v>3191</v>
      </c>
      <c r="W347" s="1" t="s">
        <v>74</v>
      </c>
      <c r="X347" s="1" t="s">
        <v>74</v>
      </c>
      <c r="Y347" s="1" t="s">
        <v>74</v>
      </c>
      <c r="Z347" s="1" t="s">
        <v>74</v>
      </c>
      <c r="AA347" s="1" t="s">
        <v>3192</v>
      </c>
      <c r="AB347" s="1" t="s">
        <v>3193</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2445</v>
      </c>
      <c r="AP347" s="1" t="s">
        <v>3194</v>
      </c>
      <c r="AQ347" s="1" t="s">
        <v>74</v>
      </c>
      <c r="AR347" s="1" t="s">
        <v>74</v>
      </c>
      <c r="AS347" s="1" t="s">
        <v>74</v>
      </c>
      <c r="AT347" s="1" t="s">
        <v>171</v>
      </c>
      <c r="AU347" s="1">
        <v>2004.0</v>
      </c>
      <c r="AV347" s="1">
        <v>86.0</v>
      </c>
      <c r="AW347" s="1">
        <v>6.0</v>
      </c>
      <c r="AX347" s="1" t="s">
        <v>74</v>
      </c>
      <c r="AY347" s="1" t="s">
        <v>74</v>
      </c>
      <c r="AZ347" s="1" t="s">
        <v>74</v>
      </c>
      <c r="BA347" s="1" t="s">
        <v>74</v>
      </c>
      <c r="BB347" s="1">
        <v>357.0</v>
      </c>
      <c r="BC347" s="1">
        <v>362.0</v>
      </c>
      <c r="BD347" s="1" t="s">
        <v>74</v>
      </c>
      <c r="BE347" s="1" t="s">
        <v>3195</v>
      </c>
      <c r="BF347" s="2" t="str">
        <f>HYPERLINK("http://dx.doi.org/10.1016/j.biochi.2004.06.001","http://dx.doi.org/10.1016/j.biochi.2004.06.001")</f>
        <v>http://dx.doi.org/10.1016/j.biochi.2004.06.001</v>
      </c>
      <c r="BG347" s="1" t="s">
        <v>74</v>
      </c>
      <c r="BH347" s="1" t="s">
        <v>74</v>
      </c>
      <c r="BI347" s="1" t="s">
        <v>74</v>
      </c>
      <c r="BJ347" s="1" t="s">
        <v>74</v>
      </c>
      <c r="BK347" s="1" t="s">
        <v>74</v>
      </c>
      <c r="BL347" s="1" t="s">
        <v>74</v>
      </c>
      <c r="BM347" s="1" t="s">
        <v>74</v>
      </c>
      <c r="BN347" s="1">
        <v>1.5358051E7</v>
      </c>
      <c r="BO347" s="1" t="s">
        <v>74</v>
      </c>
      <c r="BP347" s="1" t="s">
        <v>74</v>
      </c>
      <c r="BQ347" s="1" t="s">
        <v>74</v>
      </c>
      <c r="BR347" s="1" t="s">
        <v>74</v>
      </c>
      <c r="BS347" s="1" t="s">
        <v>3196</v>
      </c>
      <c r="BT347" s="1" t="str">
        <f>HYPERLINK("https%3A%2F%2Fwww.webofscience.com%2Fwos%2Fwoscc%2Ffull-record%2FWOS:000223381400002","View Full Record in Web of Science")</f>
        <v>View Full Record in Web of Science</v>
      </c>
    </row>
    <row r="348" ht="12.75" customHeight="1">
      <c r="A348" s="1" t="s">
        <v>72</v>
      </c>
      <c r="B348" s="1" t="s">
        <v>3197</v>
      </c>
      <c r="C348" s="1" t="s">
        <v>74</v>
      </c>
      <c r="D348" s="1" t="s">
        <v>74</v>
      </c>
      <c r="E348" s="1" t="s">
        <v>74</v>
      </c>
      <c r="F348" s="1" t="s">
        <v>3197</v>
      </c>
      <c r="G348" s="1" t="s">
        <v>74</v>
      </c>
      <c r="H348" s="1" t="s">
        <v>74</v>
      </c>
      <c r="I348" s="1" t="s">
        <v>3198</v>
      </c>
      <c r="J348" s="1" t="s">
        <v>917</v>
      </c>
      <c r="K348" s="1" t="s">
        <v>74</v>
      </c>
      <c r="L348" s="1" t="s">
        <v>74</v>
      </c>
      <c r="M348" s="1" t="s">
        <v>74</v>
      </c>
      <c r="N348" s="1" t="s">
        <v>74</v>
      </c>
      <c r="O348" s="1" t="s">
        <v>74</v>
      </c>
      <c r="P348" s="1" t="s">
        <v>74</v>
      </c>
      <c r="Q348" s="1" t="s">
        <v>74</v>
      </c>
      <c r="R348" s="1" t="s">
        <v>74</v>
      </c>
      <c r="S348" s="1" t="s">
        <v>74</v>
      </c>
      <c r="T348" s="1" t="s">
        <v>74</v>
      </c>
      <c r="U348" s="1" t="s">
        <v>74</v>
      </c>
      <c r="V348" s="1" t="s">
        <v>3199</v>
      </c>
      <c r="W348" s="1" t="s">
        <v>74</v>
      </c>
      <c r="X348" s="1" t="s">
        <v>74</v>
      </c>
      <c r="Y348" s="1" t="s">
        <v>74</v>
      </c>
      <c r="Z348" s="1" t="s">
        <v>74</v>
      </c>
      <c r="AA348" s="1" t="s">
        <v>3200</v>
      </c>
      <c r="AB348" s="1" t="s">
        <v>3201</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919</v>
      </c>
      <c r="AP348" s="1" t="s">
        <v>3202</v>
      </c>
      <c r="AQ348" s="1" t="s">
        <v>74</v>
      </c>
      <c r="AR348" s="1" t="s">
        <v>74</v>
      </c>
      <c r="AS348" s="1" t="s">
        <v>74</v>
      </c>
      <c r="AT348" s="1" t="s">
        <v>3203</v>
      </c>
      <c r="AU348" s="1">
        <v>2004.0</v>
      </c>
      <c r="AV348" s="1">
        <v>61.0</v>
      </c>
      <c r="AW348" s="1">
        <v>511.0</v>
      </c>
      <c r="AX348" s="1" t="s">
        <v>74</v>
      </c>
      <c r="AY348" s="1" t="s">
        <v>74</v>
      </c>
      <c r="AZ348" s="1" t="s">
        <v>74</v>
      </c>
      <c r="BA348" s="1" t="s">
        <v>74</v>
      </c>
      <c r="BB348" s="1">
        <v>204.0</v>
      </c>
      <c r="BC348" s="1">
        <v>211.0</v>
      </c>
      <c r="BD348" s="1" t="s">
        <v>74</v>
      </c>
      <c r="BE348" s="1" t="s">
        <v>74</v>
      </c>
      <c r="BF348" s="1" t="s">
        <v>74</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3204</v>
      </c>
      <c r="BT348" s="1" t="str">
        <f>HYPERLINK("https%3A%2F%2Fwww.webofscience.com%2Fwos%2Fwoscc%2Ffull-record%2FWOS:000224684800003","View Full Record in Web of Science")</f>
        <v>View Full Record in Web of Science</v>
      </c>
    </row>
    <row r="349" ht="12.75" customHeight="1">
      <c r="A349" s="1" t="s">
        <v>72</v>
      </c>
      <c r="B349" s="1" t="s">
        <v>3205</v>
      </c>
      <c r="C349" s="1" t="s">
        <v>74</v>
      </c>
      <c r="D349" s="1" t="s">
        <v>74</v>
      </c>
      <c r="E349" s="1" t="s">
        <v>74</v>
      </c>
      <c r="F349" s="1" t="s">
        <v>3205</v>
      </c>
      <c r="G349" s="1" t="s">
        <v>74</v>
      </c>
      <c r="H349" s="1" t="s">
        <v>74</v>
      </c>
      <c r="I349" s="1" t="s">
        <v>3206</v>
      </c>
      <c r="J349" s="1" t="s">
        <v>3207</v>
      </c>
      <c r="K349" s="1" t="s">
        <v>74</v>
      </c>
      <c r="L349" s="1" t="s">
        <v>74</v>
      </c>
      <c r="M349" s="1" t="s">
        <v>74</v>
      </c>
      <c r="N349" s="1" t="s">
        <v>74</v>
      </c>
      <c r="O349" s="1" t="s">
        <v>74</v>
      </c>
      <c r="P349" s="1" t="s">
        <v>74</v>
      </c>
      <c r="Q349" s="1" t="s">
        <v>74</v>
      </c>
      <c r="R349" s="1" t="s">
        <v>74</v>
      </c>
      <c r="S349" s="1" t="s">
        <v>74</v>
      </c>
      <c r="T349" s="1" t="s">
        <v>74</v>
      </c>
      <c r="U349" s="1" t="s">
        <v>74</v>
      </c>
      <c r="V349" s="1" t="s">
        <v>3208</v>
      </c>
      <c r="W349" s="1" t="s">
        <v>74</v>
      </c>
      <c r="X349" s="1" t="s">
        <v>74</v>
      </c>
      <c r="Y349" s="1" t="s">
        <v>74</v>
      </c>
      <c r="Z349" s="1" t="s">
        <v>74</v>
      </c>
      <c r="AA349" s="1" t="s">
        <v>3209</v>
      </c>
      <c r="AB349" s="1" t="s">
        <v>3210</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3211</v>
      </c>
      <c r="AP349" s="1" t="s">
        <v>3212</v>
      </c>
      <c r="AQ349" s="1" t="s">
        <v>74</v>
      </c>
      <c r="AR349" s="1" t="s">
        <v>74</v>
      </c>
      <c r="AS349" s="1" t="s">
        <v>74</v>
      </c>
      <c r="AT349" s="1" t="s">
        <v>74</v>
      </c>
      <c r="AU349" s="1">
        <v>2004.0</v>
      </c>
      <c r="AV349" s="1">
        <v>132.0</v>
      </c>
      <c r="AW349" s="1">
        <v>1.0</v>
      </c>
      <c r="AX349" s="1" t="s">
        <v>74</v>
      </c>
      <c r="AY349" s="1" t="s">
        <v>74</v>
      </c>
      <c r="AZ349" s="1" t="s">
        <v>74</v>
      </c>
      <c r="BA349" s="1" t="s">
        <v>74</v>
      </c>
      <c r="BB349" s="1">
        <v>175.0</v>
      </c>
      <c r="BC349" s="1">
        <v>181.0</v>
      </c>
      <c r="BD349" s="1" t="s">
        <v>74</v>
      </c>
      <c r="BE349" s="1" t="s">
        <v>3213</v>
      </c>
      <c r="BF349" s="2" t="str">
        <f>HYPERLINK("http://dx.doi.org/10.1090/S0002-9939-03-07073-4","http://dx.doi.org/10.1090/S0002-9939-03-07073-4")</f>
        <v>http://dx.doi.org/10.1090/S0002-9939-03-07073-4</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3214</v>
      </c>
      <c r="BT349" s="1" t="str">
        <f>HYPERLINK("https%3A%2F%2Fwww.webofscience.com%2Fwos%2Fwoscc%2Ffull-record%2FWOS:000185589600019","View Full Record in Web of Science")</f>
        <v>View Full Record in Web of Science</v>
      </c>
    </row>
    <row r="350" ht="12.75" customHeight="1">
      <c r="A350" s="1" t="s">
        <v>72</v>
      </c>
      <c r="B350" s="1" t="s">
        <v>3215</v>
      </c>
      <c r="C350" s="1" t="s">
        <v>74</v>
      </c>
      <c r="D350" s="1" t="s">
        <v>74</v>
      </c>
      <c r="E350" s="1" t="s">
        <v>74</v>
      </c>
      <c r="F350" s="1" t="s">
        <v>3215</v>
      </c>
      <c r="G350" s="1" t="s">
        <v>74</v>
      </c>
      <c r="H350" s="1" t="s">
        <v>74</v>
      </c>
      <c r="I350" s="1" t="s">
        <v>3216</v>
      </c>
      <c r="J350" s="1" t="s">
        <v>3217</v>
      </c>
      <c r="K350" s="1" t="s">
        <v>74</v>
      </c>
      <c r="L350" s="1" t="s">
        <v>74</v>
      </c>
      <c r="M350" s="1" t="s">
        <v>74</v>
      </c>
      <c r="N350" s="1" t="s">
        <v>74</v>
      </c>
      <c r="O350" s="1" t="s">
        <v>74</v>
      </c>
      <c r="P350" s="1" t="s">
        <v>74</v>
      </c>
      <c r="Q350" s="1" t="s">
        <v>74</v>
      </c>
      <c r="R350" s="1" t="s">
        <v>74</v>
      </c>
      <c r="S350" s="1" t="s">
        <v>74</v>
      </c>
      <c r="T350" s="1" t="s">
        <v>74</v>
      </c>
      <c r="U350" s="1" t="s">
        <v>74</v>
      </c>
      <c r="V350" s="1" t="s">
        <v>74</v>
      </c>
      <c r="W350" s="1" t="s">
        <v>74</v>
      </c>
      <c r="X350" s="1" t="s">
        <v>74</v>
      </c>
      <c r="Y350" s="1" t="s">
        <v>74</v>
      </c>
      <c r="Z350" s="1" t="s">
        <v>74</v>
      </c>
      <c r="AA350" s="1" t="s">
        <v>3218</v>
      </c>
      <c r="AB350" s="1" t="s">
        <v>74</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3219</v>
      </c>
      <c r="AP350" s="1" t="s">
        <v>74</v>
      </c>
      <c r="AQ350" s="1" t="s">
        <v>74</v>
      </c>
      <c r="AR350" s="1" t="s">
        <v>74</v>
      </c>
      <c r="AS350" s="1" t="s">
        <v>74</v>
      </c>
      <c r="AT350" s="1" t="s">
        <v>82</v>
      </c>
      <c r="AU350" s="1">
        <v>2003.0</v>
      </c>
      <c r="AV350" s="1">
        <v>36.0</v>
      </c>
      <c r="AW350" s="1">
        <v>10.0</v>
      </c>
      <c r="AX350" s="1" t="s">
        <v>74</v>
      </c>
      <c r="AY350" s="1" t="s">
        <v>74</v>
      </c>
      <c r="AZ350" s="1" t="s">
        <v>74</v>
      </c>
      <c r="BA350" s="1" t="s">
        <v>74</v>
      </c>
      <c r="BB350" s="1">
        <v>305.0</v>
      </c>
      <c r="BC350" s="1">
        <v>308.0</v>
      </c>
      <c r="BD350" s="1" t="s">
        <v>74</v>
      </c>
      <c r="BE350" s="1" t="s">
        <v>3220</v>
      </c>
      <c r="BF350" s="2" t="str">
        <f>HYPERLINK("http://dx.doi.org/10.1177/002029400303601002","http://dx.doi.org/10.1177/002029400303601002")</f>
        <v>http://dx.doi.org/10.1177/002029400303601002</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3221</v>
      </c>
      <c r="BT350" s="1" t="str">
        <f>HYPERLINK("https%3A%2F%2Fwww.webofscience.com%2Fwos%2Fwoscc%2Ffull-record%2FWOS:000189359900003","View Full Record in Web of Science")</f>
        <v>View Full Record in Web of Science</v>
      </c>
    </row>
    <row r="351" ht="12.75" customHeight="1">
      <c r="A351" s="1" t="s">
        <v>72</v>
      </c>
      <c r="B351" s="1" t="s">
        <v>3222</v>
      </c>
      <c r="C351" s="1" t="s">
        <v>74</v>
      </c>
      <c r="D351" s="1" t="s">
        <v>74</v>
      </c>
      <c r="E351" s="1" t="s">
        <v>74</v>
      </c>
      <c r="F351" s="1" t="s">
        <v>3222</v>
      </c>
      <c r="G351" s="1" t="s">
        <v>74</v>
      </c>
      <c r="H351" s="1" t="s">
        <v>74</v>
      </c>
      <c r="I351" s="1" t="s">
        <v>3223</v>
      </c>
      <c r="J351" s="1" t="s">
        <v>698</v>
      </c>
      <c r="K351" s="1" t="s">
        <v>74</v>
      </c>
      <c r="L351" s="1" t="s">
        <v>74</v>
      </c>
      <c r="M351" s="1" t="s">
        <v>74</v>
      </c>
      <c r="N351" s="1" t="s">
        <v>74</v>
      </c>
      <c r="O351" s="1" t="s">
        <v>74</v>
      </c>
      <c r="P351" s="1" t="s">
        <v>74</v>
      </c>
      <c r="Q351" s="1" t="s">
        <v>74</v>
      </c>
      <c r="R351" s="1" t="s">
        <v>74</v>
      </c>
      <c r="S351" s="1" t="s">
        <v>74</v>
      </c>
      <c r="T351" s="1" t="s">
        <v>74</v>
      </c>
      <c r="U351" s="1" t="s">
        <v>74</v>
      </c>
      <c r="V351" s="1" t="s">
        <v>3224</v>
      </c>
      <c r="W351" s="1" t="s">
        <v>74</v>
      </c>
      <c r="X351" s="1" t="s">
        <v>74</v>
      </c>
      <c r="Y351" s="1" t="s">
        <v>74</v>
      </c>
      <c r="Z351" s="1" t="s">
        <v>74</v>
      </c>
      <c r="AA351" s="1" t="s">
        <v>74</v>
      </c>
      <c r="AB351" s="1" t="s">
        <v>3225</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2256</v>
      </c>
      <c r="AP351" s="1" t="s">
        <v>74</v>
      </c>
      <c r="AQ351" s="1" t="s">
        <v>74</v>
      </c>
      <c r="AR351" s="1" t="s">
        <v>74</v>
      </c>
      <c r="AS351" s="1" t="s">
        <v>74</v>
      </c>
      <c r="AT351" s="1" t="s">
        <v>158</v>
      </c>
      <c r="AU351" s="1">
        <v>2003.0</v>
      </c>
      <c r="AV351" s="1">
        <v>48.0</v>
      </c>
      <c r="AW351" s="1">
        <v>3.0</v>
      </c>
      <c r="AX351" s="1" t="s">
        <v>74</v>
      </c>
      <c r="AY351" s="1" t="s">
        <v>74</v>
      </c>
      <c r="AZ351" s="1" t="s">
        <v>74</v>
      </c>
      <c r="BA351" s="1" t="s">
        <v>74</v>
      </c>
      <c r="BB351" s="1">
        <v>85.0</v>
      </c>
      <c r="BC351" s="1">
        <v>90.0</v>
      </c>
      <c r="BD351" s="1" t="s">
        <v>74</v>
      </c>
      <c r="BE351" s="1" t="s">
        <v>74</v>
      </c>
      <c r="BF351" s="1" t="s">
        <v>74</v>
      </c>
      <c r="BG351" s="1" t="s">
        <v>74</v>
      </c>
      <c r="BH351" s="1" t="s">
        <v>74</v>
      </c>
      <c r="BI351" s="1" t="s">
        <v>74</v>
      </c>
      <c r="BJ351" s="1" t="s">
        <v>74</v>
      </c>
      <c r="BK351" s="1" t="s">
        <v>74</v>
      </c>
      <c r="BL351" s="1" t="s">
        <v>74</v>
      </c>
      <c r="BM351" s="1" t="s">
        <v>74</v>
      </c>
      <c r="BN351" s="1" t="s">
        <v>74</v>
      </c>
      <c r="BO351" s="1" t="s">
        <v>74</v>
      </c>
      <c r="BP351" s="1" t="s">
        <v>74</v>
      </c>
      <c r="BQ351" s="1" t="s">
        <v>74</v>
      </c>
      <c r="BR351" s="1" t="s">
        <v>74</v>
      </c>
      <c r="BS351" s="1" t="s">
        <v>3226</v>
      </c>
      <c r="BT351" s="1" t="str">
        <f>HYPERLINK("https%3A%2F%2Fwww.webofscience.com%2Fwos%2Fwoscc%2Ffull-record%2FWOS:000185071000017","View Full Record in Web of Science")</f>
        <v>View Full Record in Web of Science</v>
      </c>
    </row>
    <row r="352" ht="12.75" customHeight="1">
      <c r="A352" s="1" t="s">
        <v>72</v>
      </c>
      <c r="B352" s="1" t="s">
        <v>3227</v>
      </c>
      <c r="C352" s="1" t="s">
        <v>74</v>
      </c>
      <c r="D352" s="1" t="s">
        <v>74</v>
      </c>
      <c r="E352" s="1" t="s">
        <v>74</v>
      </c>
      <c r="F352" s="1" t="s">
        <v>3227</v>
      </c>
      <c r="G352" s="1" t="s">
        <v>74</v>
      </c>
      <c r="H352" s="1" t="s">
        <v>74</v>
      </c>
      <c r="I352" s="1" t="s">
        <v>3228</v>
      </c>
      <c r="J352" s="1" t="s">
        <v>3229</v>
      </c>
      <c r="K352" s="1" t="s">
        <v>74</v>
      </c>
      <c r="L352" s="1" t="s">
        <v>74</v>
      </c>
      <c r="M352" s="1" t="s">
        <v>74</v>
      </c>
      <c r="N352" s="1" t="s">
        <v>74</v>
      </c>
      <c r="O352" s="1" t="s">
        <v>74</v>
      </c>
      <c r="P352" s="1" t="s">
        <v>74</v>
      </c>
      <c r="Q352" s="1" t="s">
        <v>74</v>
      </c>
      <c r="R352" s="1" t="s">
        <v>74</v>
      </c>
      <c r="S352" s="1" t="s">
        <v>74</v>
      </c>
      <c r="T352" s="1" t="s">
        <v>74</v>
      </c>
      <c r="U352" s="1" t="s">
        <v>74</v>
      </c>
      <c r="V352" s="1" t="s">
        <v>3230</v>
      </c>
      <c r="W352" s="1" t="s">
        <v>74</v>
      </c>
      <c r="X352" s="1" t="s">
        <v>74</v>
      </c>
      <c r="Y352" s="1" t="s">
        <v>74</v>
      </c>
      <c r="Z352" s="1" t="s">
        <v>74</v>
      </c>
      <c r="AA352" s="1" t="s">
        <v>3231</v>
      </c>
      <c r="AB352" s="1" t="s">
        <v>3232</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3233</v>
      </c>
      <c r="AP352" s="1" t="s">
        <v>74</v>
      </c>
      <c r="AQ352" s="1" t="s">
        <v>74</v>
      </c>
      <c r="AR352" s="1" t="s">
        <v>74</v>
      </c>
      <c r="AS352" s="1" t="s">
        <v>74</v>
      </c>
      <c r="AT352" s="1" t="s">
        <v>3234</v>
      </c>
      <c r="AU352" s="1">
        <v>2003.0</v>
      </c>
      <c r="AV352" s="1">
        <v>313.0</v>
      </c>
      <c r="AW352" s="1" t="s">
        <v>3081</v>
      </c>
      <c r="AX352" s="1" t="s">
        <v>74</v>
      </c>
      <c r="AY352" s="1" t="s">
        <v>74</v>
      </c>
      <c r="AZ352" s="1" t="s">
        <v>74</v>
      </c>
      <c r="BA352" s="1" t="s">
        <v>74</v>
      </c>
      <c r="BB352" s="1">
        <v>115.0</v>
      </c>
      <c r="BC352" s="1">
        <v>125.0</v>
      </c>
      <c r="BD352" s="1" t="s">
        <v>74</v>
      </c>
      <c r="BE352" s="1" t="s">
        <v>3235</v>
      </c>
      <c r="BF352" s="2" t="str">
        <f>HYPERLINK("http://dx.doi.org/10.1016/S0048-9697(03)00229-8","http://dx.doi.org/10.1016/S0048-9697(03)00229-8")</f>
        <v>http://dx.doi.org/10.1016/S0048-9697(03)00229-8</v>
      </c>
      <c r="BG352" s="1" t="s">
        <v>74</v>
      </c>
      <c r="BH352" s="1" t="s">
        <v>74</v>
      </c>
      <c r="BI352" s="1" t="s">
        <v>74</v>
      </c>
      <c r="BJ352" s="1" t="s">
        <v>74</v>
      </c>
      <c r="BK352" s="1" t="s">
        <v>74</v>
      </c>
      <c r="BL352" s="1" t="s">
        <v>74</v>
      </c>
      <c r="BM352" s="1" t="s">
        <v>74</v>
      </c>
      <c r="BN352" s="1">
        <v>1.2922065E7</v>
      </c>
      <c r="BO352" s="1" t="s">
        <v>74</v>
      </c>
      <c r="BP352" s="1" t="s">
        <v>74</v>
      </c>
      <c r="BQ352" s="1" t="s">
        <v>74</v>
      </c>
      <c r="BR352" s="1" t="s">
        <v>74</v>
      </c>
      <c r="BS352" s="1" t="s">
        <v>3236</v>
      </c>
      <c r="BT352" s="1" t="str">
        <f>HYPERLINK("https%3A%2F%2Fwww.webofscience.com%2Fwos%2Fwoscc%2Ffull-record%2FWOS:000184929200010","View Full Record in Web of Science")</f>
        <v>View Full Record in Web of Science</v>
      </c>
    </row>
    <row r="353" ht="12.75" customHeight="1">
      <c r="A353" s="1" t="s">
        <v>72</v>
      </c>
      <c r="B353" s="1" t="s">
        <v>3237</v>
      </c>
      <c r="C353" s="1" t="s">
        <v>74</v>
      </c>
      <c r="D353" s="1" t="s">
        <v>74</v>
      </c>
      <c r="E353" s="1" t="s">
        <v>74</v>
      </c>
      <c r="F353" s="1" t="s">
        <v>3237</v>
      </c>
      <c r="G353" s="1" t="s">
        <v>74</v>
      </c>
      <c r="H353" s="1" t="s">
        <v>74</v>
      </c>
      <c r="I353" s="1" t="s">
        <v>3238</v>
      </c>
      <c r="J353" s="1" t="s">
        <v>322</v>
      </c>
      <c r="K353" s="1" t="s">
        <v>74</v>
      </c>
      <c r="L353" s="1" t="s">
        <v>74</v>
      </c>
      <c r="M353" s="1" t="s">
        <v>74</v>
      </c>
      <c r="N353" s="1" t="s">
        <v>74</v>
      </c>
      <c r="O353" s="1" t="s">
        <v>74</v>
      </c>
      <c r="P353" s="1" t="s">
        <v>74</v>
      </c>
      <c r="Q353" s="1" t="s">
        <v>74</v>
      </c>
      <c r="R353" s="1" t="s">
        <v>74</v>
      </c>
      <c r="S353" s="1" t="s">
        <v>74</v>
      </c>
      <c r="T353" s="1" t="s">
        <v>74</v>
      </c>
      <c r="U353" s="1" t="s">
        <v>74</v>
      </c>
      <c r="V353" s="1" t="s">
        <v>3239</v>
      </c>
      <c r="W353" s="1" t="s">
        <v>74</v>
      </c>
      <c r="X353" s="1" t="s">
        <v>74</v>
      </c>
      <c r="Y353" s="1" t="s">
        <v>74</v>
      </c>
      <c r="Z353" s="1" t="s">
        <v>74</v>
      </c>
      <c r="AA353" s="1" t="s">
        <v>74</v>
      </c>
      <c r="AB353" s="1" t="s">
        <v>74</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324</v>
      </c>
      <c r="AP353" s="1" t="s">
        <v>74</v>
      </c>
      <c r="AQ353" s="1" t="s">
        <v>74</v>
      </c>
      <c r="AR353" s="1" t="s">
        <v>74</v>
      </c>
      <c r="AS353" s="1" t="s">
        <v>74</v>
      </c>
      <c r="AT353" s="1" t="s">
        <v>3240</v>
      </c>
      <c r="AU353" s="1">
        <v>2003.0</v>
      </c>
      <c r="AV353" s="1">
        <v>18.0</v>
      </c>
      <c r="AW353" s="1">
        <v>9.0</v>
      </c>
      <c r="AX353" s="1" t="s">
        <v>74</v>
      </c>
      <c r="AY353" s="1" t="s">
        <v>74</v>
      </c>
      <c r="AZ353" s="1" t="s">
        <v>74</v>
      </c>
      <c r="BA353" s="1" t="s">
        <v>74</v>
      </c>
      <c r="BB353" s="1">
        <v>609.0</v>
      </c>
      <c r="BC353" s="1">
        <v>616.0</v>
      </c>
      <c r="BD353" s="1" t="s">
        <v>74</v>
      </c>
      <c r="BE353" s="1" t="s">
        <v>3241</v>
      </c>
      <c r="BF353" s="2" t="str">
        <f>HYPERLINK("http://dx.doi.org/10.1142/S0217732303009617","http://dx.doi.org/10.1142/S0217732303009617")</f>
        <v>http://dx.doi.org/10.1142/S0217732303009617</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3242</v>
      </c>
      <c r="BT353" s="1" t="str">
        <f>HYPERLINK("https%3A%2F%2Fwww.webofscience.com%2Fwos%2Fwoscc%2Ffull-record%2FWOS:000181974700002","View Full Record in Web of Science")</f>
        <v>View Full Record in Web of Science</v>
      </c>
    </row>
    <row r="354" ht="12.75" customHeight="1">
      <c r="A354" s="1" t="s">
        <v>72</v>
      </c>
      <c r="B354" s="1" t="s">
        <v>3243</v>
      </c>
      <c r="C354" s="1" t="s">
        <v>74</v>
      </c>
      <c r="D354" s="1" t="s">
        <v>74</v>
      </c>
      <c r="E354" s="1" t="s">
        <v>74</v>
      </c>
      <c r="F354" s="1" t="s">
        <v>3243</v>
      </c>
      <c r="G354" s="1" t="s">
        <v>74</v>
      </c>
      <c r="H354" s="1" t="s">
        <v>74</v>
      </c>
      <c r="I354" s="1" t="s">
        <v>3244</v>
      </c>
      <c r="J354" s="1" t="s">
        <v>3245</v>
      </c>
      <c r="K354" s="1" t="s">
        <v>74</v>
      </c>
      <c r="L354" s="1" t="s">
        <v>74</v>
      </c>
      <c r="M354" s="1" t="s">
        <v>74</v>
      </c>
      <c r="N354" s="1" t="s">
        <v>74</v>
      </c>
      <c r="O354" s="1" t="s">
        <v>74</v>
      </c>
      <c r="P354" s="1" t="s">
        <v>74</v>
      </c>
      <c r="Q354" s="1" t="s">
        <v>74</v>
      </c>
      <c r="R354" s="1" t="s">
        <v>74</v>
      </c>
      <c r="S354" s="1" t="s">
        <v>74</v>
      </c>
      <c r="T354" s="1" t="s">
        <v>74</v>
      </c>
      <c r="U354" s="1" t="s">
        <v>74</v>
      </c>
      <c r="V354" s="1" t="s">
        <v>3246</v>
      </c>
      <c r="W354" s="1" t="s">
        <v>74</v>
      </c>
      <c r="X354" s="1" t="s">
        <v>74</v>
      </c>
      <c r="Y354" s="1" t="s">
        <v>74</v>
      </c>
      <c r="Z354" s="1" t="s">
        <v>74</v>
      </c>
      <c r="AA354" s="1" t="s">
        <v>803</v>
      </c>
      <c r="AB354" s="1" t="s">
        <v>804</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3247</v>
      </c>
      <c r="AP354" s="1" t="s">
        <v>3248</v>
      </c>
      <c r="AQ354" s="1" t="s">
        <v>74</v>
      </c>
      <c r="AR354" s="1" t="s">
        <v>74</v>
      </c>
      <c r="AS354" s="1" t="s">
        <v>74</v>
      </c>
      <c r="AT354" s="1" t="s">
        <v>74</v>
      </c>
      <c r="AU354" s="1">
        <v>2003.0</v>
      </c>
      <c r="AV354" s="1">
        <v>13.0</v>
      </c>
      <c r="AW354" s="1">
        <v>1.0</v>
      </c>
      <c r="AX354" s="1" t="s">
        <v>74</v>
      </c>
      <c r="AY354" s="1" t="s">
        <v>74</v>
      </c>
      <c r="AZ354" s="1" t="s">
        <v>74</v>
      </c>
      <c r="BA354" s="1" t="s">
        <v>74</v>
      </c>
      <c r="BB354" s="1">
        <v>57.0</v>
      </c>
      <c r="BC354" s="1">
        <v>85.0</v>
      </c>
      <c r="BD354" s="1" t="s">
        <v>74</v>
      </c>
      <c r="BE354" s="1" t="s">
        <v>3249</v>
      </c>
      <c r="BF354" s="2" t="str">
        <f>HYPERLINK("http://dx.doi.org/10.1108/09615530310456769","http://dx.doi.org/10.1108/09615530310456769")</f>
        <v>http://dx.doi.org/10.1108/09615530310456769</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3250</v>
      </c>
      <c r="BT354" s="1" t="str">
        <f>HYPERLINK("https%3A%2F%2Fwww.webofscience.com%2Fwos%2Fwoscc%2Ffull-record%2FWOS:000181031200003","View Full Record in Web of Science")</f>
        <v>View Full Record in Web of Science</v>
      </c>
    </row>
    <row r="355" ht="12.75" customHeight="1">
      <c r="A355" s="1" t="s">
        <v>72</v>
      </c>
      <c r="B355" s="1" t="s">
        <v>3251</v>
      </c>
      <c r="C355" s="1" t="s">
        <v>74</v>
      </c>
      <c r="D355" s="1" t="s">
        <v>74</v>
      </c>
      <c r="E355" s="1" t="s">
        <v>74</v>
      </c>
      <c r="F355" s="1" t="s">
        <v>3251</v>
      </c>
      <c r="G355" s="1" t="s">
        <v>74</v>
      </c>
      <c r="H355" s="1" t="s">
        <v>74</v>
      </c>
      <c r="I355" s="1" t="s">
        <v>3252</v>
      </c>
      <c r="J355" s="1" t="s">
        <v>3253</v>
      </c>
      <c r="K355" s="1" t="s">
        <v>74</v>
      </c>
      <c r="L355" s="1" t="s">
        <v>74</v>
      </c>
      <c r="M355" s="1" t="s">
        <v>74</v>
      </c>
      <c r="N355" s="1" t="s">
        <v>74</v>
      </c>
      <c r="O355" s="1" t="s">
        <v>74</v>
      </c>
      <c r="P355" s="1" t="s">
        <v>74</v>
      </c>
      <c r="Q355" s="1" t="s">
        <v>74</v>
      </c>
      <c r="R355" s="1" t="s">
        <v>74</v>
      </c>
      <c r="S355" s="1" t="s">
        <v>74</v>
      </c>
      <c r="T355" s="1" t="s">
        <v>74</v>
      </c>
      <c r="U355" s="1" t="s">
        <v>74</v>
      </c>
      <c r="V355" s="1" t="s">
        <v>74</v>
      </c>
      <c r="W355" s="1" t="s">
        <v>74</v>
      </c>
      <c r="X355" s="1" t="s">
        <v>74</v>
      </c>
      <c r="Y355" s="1" t="s">
        <v>74</v>
      </c>
      <c r="Z355" s="1" t="s">
        <v>74</v>
      </c>
      <c r="AA355" s="1" t="s">
        <v>3254</v>
      </c>
      <c r="AB355" s="1" t="s">
        <v>3255</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3256</v>
      </c>
      <c r="AP355" s="1" t="s">
        <v>74</v>
      </c>
      <c r="AQ355" s="1" t="s">
        <v>74</v>
      </c>
      <c r="AR355" s="1" t="s">
        <v>74</v>
      </c>
      <c r="AS355" s="1" t="s">
        <v>74</v>
      </c>
      <c r="AT355" s="1" t="s">
        <v>276</v>
      </c>
      <c r="AU355" s="1">
        <v>2002.0</v>
      </c>
      <c r="AV355" s="1">
        <v>44.0</v>
      </c>
      <c r="AW355" s="1">
        <v>10.0</v>
      </c>
      <c r="AX355" s="1" t="s">
        <v>74</v>
      </c>
      <c r="AY355" s="1" t="s">
        <v>74</v>
      </c>
      <c r="AZ355" s="1" t="s">
        <v>74</v>
      </c>
      <c r="BA355" s="1" t="s">
        <v>74</v>
      </c>
      <c r="BB355" s="1">
        <v>614.0</v>
      </c>
      <c r="BC355" s="1">
        <v>615.0</v>
      </c>
      <c r="BD355" s="1" t="s">
        <v>74</v>
      </c>
      <c r="BE355" s="1" t="s">
        <v>74</v>
      </c>
      <c r="BF355" s="1" t="s">
        <v>74</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3257</v>
      </c>
      <c r="BT355" s="1" t="str">
        <f>HYPERLINK("https%3A%2F%2Fwww.webofscience.com%2Fwos%2Fwoscc%2Ffull-record%2FWOS:000178389300007","View Full Record in Web of Science")</f>
        <v>View Full Record in Web of Science</v>
      </c>
    </row>
    <row r="356" ht="12.75" customHeight="1">
      <c r="A356" s="1" t="s">
        <v>72</v>
      </c>
      <c r="B356" s="1" t="s">
        <v>3258</v>
      </c>
      <c r="C356" s="1" t="s">
        <v>74</v>
      </c>
      <c r="D356" s="1" t="s">
        <v>74</v>
      </c>
      <c r="E356" s="1" t="s">
        <v>74</v>
      </c>
      <c r="F356" s="1" t="s">
        <v>3258</v>
      </c>
      <c r="G356" s="1" t="s">
        <v>74</v>
      </c>
      <c r="H356" s="1" t="s">
        <v>74</v>
      </c>
      <c r="I356" s="1" t="s">
        <v>3259</v>
      </c>
      <c r="J356" s="1" t="s">
        <v>3260</v>
      </c>
      <c r="K356" s="1" t="s">
        <v>74</v>
      </c>
      <c r="L356" s="1" t="s">
        <v>74</v>
      </c>
      <c r="M356" s="1" t="s">
        <v>74</v>
      </c>
      <c r="N356" s="1" t="s">
        <v>74</v>
      </c>
      <c r="O356" s="1" t="s">
        <v>74</v>
      </c>
      <c r="P356" s="1" t="s">
        <v>74</v>
      </c>
      <c r="Q356" s="1" t="s">
        <v>74</v>
      </c>
      <c r="R356" s="1" t="s">
        <v>74</v>
      </c>
      <c r="S356" s="1" t="s">
        <v>74</v>
      </c>
      <c r="T356" s="1" t="s">
        <v>74</v>
      </c>
      <c r="U356" s="1" t="s">
        <v>74</v>
      </c>
      <c r="V356" s="1" t="s">
        <v>3261</v>
      </c>
      <c r="W356" s="1" t="s">
        <v>74</v>
      </c>
      <c r="X356" s="1" t="s">
        <v>74</v>
      </c>
      <c r="Y356" s="1" t="s">
        <v>74</v>
      </c>
      <c r="Z356" s="1" t="s">
        <v>74</v>
      </c>
      <c r="AA356" s="1" t="s">
        <v>74</v>
      </c>
      <c r="AB356" s="1" t="s">
        <v>701</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3262</v>
      </c>
      <c r="AP356" s="1" t="s">
        <v>74</v>
      </c>
      <c r="AQ356" s="1" t="s">
        <v>74</v>
      </c>
      <c r="AR356" s="1" t="s">
        <v>74</v>
      </c>
      <c r="AS356" s="1" t="s">
        <v>74</v>
      </c>
      <c r="AT356" s="1" t="s">
        <v>224</v>
      </c>
      <c r="AU356" s="1">
        <v>2001.0</v>
      </c>
      <c r="AV356" s="1">
        <v>72.0</v>
      </c>
      <c r="AW356" s="1">
        <v>4.0</v>
      </c>
      <c r="AX356" s="1" t="s">
        <v>74</v>
      </c>
      <c r="AY356" s="1" t="s">
        <v>74</v>
      </c>
      <c r="AZ356" s="1" t="s">
        <v>74</v>
      </c>
      <c r="BA356" s="1" t="s">
        <v>74</v>
      </c>
      <c r="BB356" s="1">
        <v>418.0</v>
      </c>
      <c r="BC356" s="1">
        <v>420.0</v>
      </c>
      <c r="BD356" s="1" t="s">
        <v>74</v>
      </c>
      <c r="BE356" s="1" t="s">
        <v>3263</v>
      </c>
      <c r="BF356" s="2" t="str">
        <f>HYPERLINK("http://dx.doi.org/10.1016/S0367-326X(00)00332-4","http://dx.doi.org/10.1016/S0367-326X(00)00332-4")</f>
        <v>http://dx.doi.org/10.1016/S0367-326X(00)00332-4</v>
      </c>
      <c r="BG356" s="1" t="s">
        <v>74</v>
      </c>
      <c r="BH356" s="1" t="s">
        <v>74</v>
      </c>
      <c r="BI356" s="1" t="s">
        <v>74</v>
      </c>
      <c r="BJ356" s="1" t="s">
        <v>74</v>
      </c>
      <c r="BK356" s="1" t="s">
        <v>74</v>
      </c>
      <c r="BL356" s="1" t="s">
        <v>74</v>
      </c>
      <c r="BM356" s="1" t="s">
        <v>74</v>
      </c>
      <c r="BN356" s="1">
        <v>1.1395268E7</v>
      </c>
      <c r="BO356" s="1" t="s">
        <v>74</v>
      </c>
      <c r="BP356" s="1" t="s">
        <v>74</v>
      </c>
      <c r="BQ356" s="1" t="s">
        <v>74</v>
      </c>
      <c r="BR356" s="1" t="s">
        <v>74</v>
      </c>
      <c r="BS356" s="1" t="s">
        <v>3264</v>
      </c>
      <c r="BT356" s="1" t="str">
        <f>HYPERLINK("https%3A%2F%2Fwww.webofscience.com%2Fwos%2Fwoscc%2Ffull-record%2FWOS:000169566300014","View Full Record in Web of Science")</f>
        <v>View Full Record in Web of Science</v>
      </c>
    </row>
    <row r="357" ht="12.75" customHeight="1">
      <c r="A357" s="1" t="s">
        <v>72</v>
      </c>
      <c r="B357" s="1" t="s">
        <v>3265</v>
      </c>
      <c r="C357" s="1" t="s">
        <v>74</v>
      </c>
      <c r="D357" s="1" t="s">
        <v>74</v>
      </c>
      <c r="E357" s="1" t="s">
        <v>74</v>
      </c>
      <c r="F357" s="1" t="s">
        <v>3265</v>
      </c>
      <c r="G357" s="1" t="s">
        <v>74</v>
      </c>
      <c r="H357" s="1" t="s">
        <v>74</v>
      </c>
      <c r="I357" s="1" t="s">
        <v>3266</v>
      </c>
      <c r="J357" s="1" t="s">
        <v>789</v>
      </c>
      <c r="K357" s="1" t="s">
        <v>74</v>
      </c>
      <c r="L357" s="1" t="s">
        <v>74</v>
      </c>
      <c r="M357" s="1" t="s">
        <v>74</v>
      </c>
      <c r="N357" s="1" t="s">
        <v>74</v>
      </c>
      <c r="O357" s="1" t="s">
        <v>790</v>
      </c>
      <c r="P357" s="1" t="s">
        <v>791</v>
      </c>
      <c r="Q357" s="1" t="s">
        <v>792</v>
      </c>
      <c r="R357" s="1" t="s">
        <v>793</v>
      </c>
      <c r="S357" s="1" t="s">
        <v>794</v>
      </c>
      <c r="T357" s="1" t="s">
        <v>74</v>
      </c>
      <c r="U357" s="1" t="s">
        <v>74</v>
      </c>
      <c r="V357" s="1" t="s">
        <v>3267</v>
      </c>
      <c r="W357" s="1" t="s">
        <v>74</v>
      </c>
      <c r="X357" s="1" t="s">
        <v>74</v>
      </c>
      <c r="Y357" s="1" t="s">
        <v>74</v>
      </c>
      <c r="Z357" s="1" t="s">
        <v>74</v>
      </c>
      <c r="AA357" s="1" t="s">
        <v>74</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796</v>
      </c>
      <c r="AP357" s="1" t="s">
        <v>797</v>
      </c>
      <c r="AQ357" s="1" t="s">
        <v>74</v>
      </c>
      <c r="AR357" s="1" t="s">
        <v>74</v>
      </c>
      <c r="AS357" s="1" t="s">
        <v>74</v>
      </c>
      <c r="AT357" s="1" t="s">
        <v>74</v>
      </c>
      <c r="AU357" s="1">
        <v>2001.0</v>
      </c>
      <c r="AV357" s="1">
        <v>42.0</v>
      </c>
      <c r="AW357" s="1" t="s">
        <v>433</v>
      </c>
      <c r="AX357" s="1" t="s">
        <v>74</v>
      </c>
      <c r="AY357" s="1" t="s">
        <v>74</v>
      </c>
      <c r="AZ357" s="1" t="s">
        <v>74</v>
      </c>
      <c r="BA357" s="1" t="s">
        <v>74</v>
      </c>
      <c r="BB357" s="1">
        <v>159.0</v>
      </c>
      <c r="BC357" s="1">
        <v>167.0</v>
      </c>
      <c r="BD357" s="1" t="s">
        <v>74</v>
      </c>
      <c r="BE357" s="1" t="s">
        <v>74</v>
      </c>
      <c r="BF357" s="1" t="s">
        <v>74</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3268</v>
      </c>
      <c r="BT357" s="1" t="str">
        <f>HYPERLINK("https%3A%2F%2Fwww.webofscience.com%2Fwos%2Fwoscc%2Ffull-record%2FWOS:000168120500015","View Full Record in Web of Science")</f>
        <v>View Full Record in Web of Science</v>
      </c>
    </row>
    <row r="358" ht="12.75" customHeight="1">
      <c r="A358" s="1" t="s">
        <v>126</v>
      </c>
      <c r="B358" s="1" t="s">
        <v>3269</v>
      </c>
      <c r="C358" s="1" t="s">
        <v>74</v>
      </c>
      <c r="D358" s="1" t="s">
        <v>3270</v>
      </c>
      <c r="E358" s="1" t="s">
        <v>74</v>
      </c>
      <c r="F358" s="1" t="s">
        <v>3269</v>
      </c>
      <c r="G358" s="1" t="s">
        <v>74</v>
      </c>
      <c r="H358" s="1" t="s">
        <v>74</v>
      </c>
      <c r="I358" s="1" t="s">
        <v>3271</v>
      </c>
      <c r="J358" s="1" t="s">
        <v>3272</v>
      </c>
      <c r="K358" s="1" t="s">
        <v>3273</v>
      </c>
      <c r="L358" s="1" t="s">
        <v>74</v>
      </c>
      <c r="M358" s="1" t="s">
        <v>74</v>
      </c>
      <c r="N358" s="1" t="s">
        <v>74</v>
      </c>
      <c r="O358" s="1" t="s">
        <v>3274</v>
      </c>
      <c r="P358" s="1" t="s">
        <v>3275</v>
      </c>
      <c r="Q358" s="1" t="s">
        <v>3276</v>
      </c>
      <c r="R358" s="1" t="s">
        <v>3277</v>
      </c>
      <c r="S358" s="1" t="s">
        <v>74</v>
      </c>
      <c r="T358" s="1" t="s">
        <v>74</v>
      </c>
      <c r="U358" s="1" t="s">
        <v>74</v>
      </c>
      <c r="V358" s="1" t="s">
        <v>3278</v>
      </c>
      <c r="W358" s="1" t="s">
        <v>74</v>
      </c>
      <c r="X358" s="1" t="s">
        <v>74</v>
      </c>
      <c r="Y358" s="1" t="s">
        <v>74</v>
      </c>
      <c r="Z358" s="1" t="s">
        <v>74</v>
      </c>
      <c r="AA358" s="1" t="s">
        <v>3279</v>
      </c>
      <c r="AB358" s="1" t="s">
        <v>74</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74</v>
      </c>
      <c r="AP358" s="1" t="s">
        <v>74</v>
      </c>
      <c r="AQ358" s="1" t="s">
        <v>74</v>
      </c>
      <c r="AR358" s="1" t="s">
        <v>74</v>
      </c>
      <c r="AS358" s="1" t="s">
        <v>74</v>
      </c>
      <c r="AT358" s="1" t="s">
        <v>74</v>
      </c>
      <c r="AU358" s="1">
        <v>2001.0</v>
      </c>
      <c r="AV358" s="1">
        <v>8.0</v>
      </c>
      <c r="AW358" s="1" t="s">
        <v>74</v>
      </c>
      <c r="AX358" s="1" t="s">
        <v>74</v>
      </c>
      <c r="AY358" s="1" t="s">
        <v>74</v>
      </c>
      <c r="AZ358" s="1" t="s">
        <v>74</v>
      </c>
      <c r="BA358" s="1" t="s">
        <v>74</v>
      </c>
      <c r="BB358" s="1">
        <v>143.0</v>
      </c>
      <c r="BC358" s="1">
        <v>154.0</v>
      </c>
      <c r="BD358" s="1" t="s">
        <v>74</v>
      </c>
      <c r="BE358" s="1" t="s">
        <v>74</v>
      </c>
      <c r="BF358" s="1" t="s">
        <v>74</v>
      </c>
      <c r="BG358" s="1" t="s">
        <v>74</v>
      </c>
      <c r="BH358" s="1" t="s">
        <v>74</v>
      </c>
      <c r="BI358" s="1" t="s">
        <v>74</v>
      </c>
      <c r="BJ358" s="1" t="s">
        <v>74</v>
      </c>
      <c r="BK358" s="1" t="s">
        <v>74</v>
      </c>
      <c r="BL358" s="1" t="s">
        <v>74</v>
      </c>
      <c r="BM358" s="1" t="s">
        <v>74</v>
      </c>
      <c r="BN358" s="1">
        <v>1.1732571E7</v>
      </c>
      <c r="BO358" s="1" t="s">
        <v>74</v>
      </c>
      <c r="BP358" s="1" t="s">
        <v>74</v>
      </c>
      <c r="BQ358" s="1" t="s">
        <v>74</v>
      </c>
      <c r="BR358" s="1" t="s">
        <v>74</v>
      </c>
      <c r="BS358" s="1" t="s">
        <v>3280</v>
      </c>
      <c r="BT358" s="1" t="str">
        <f>HYPERLINK("https%3A%2F%2Fwww.webofscience.com%2Fwos%2Fwoscc%2Ffull-record%2FWOS:000171868200015","View Full Record in Web of Science")</f>
        <v>View Full Record in Web of Science</v>
      </c>
    </row>
    <row r="359" ht="12.75" customHeight="1">
      <c r="A359" s="1" t="s">
        <v>72</v>
      </c>
      <c r="B359" s="1" t="s">
        <v>3281</v>
      </c>
      <c r="C359" s="1" t="s">
        <v>74</v>
      </c>
      <c r="D359" s="1" t="s">
        <v>74</v>
      </c>
      <c r="E359" s="1" t="s">
        <v>74</v>
      </c>
      <c r="F359" s="1" t="s">
        <v>3281</v>
      </c>
      <c r="G359" s="1" t="s">
        <v>74</v>
      </c>
      <c r="H359" s="1" t="s">
        <v>74</v>
      </c>
      <c r="I359" s="1" t="s">
        <v>3282</v>
      </c>
      <c r="J359" s="1" t="s">
        <v>3283</v>
      </c>
      <c r="K359" s="1" t="s">
        <v>74</v>
      </c>
      <c r="L359" s="1" t="s">
        <v>74</v>
      </c>
      <c r="M359" s="1" t="s">
        <v>74</v>
      </c>
      <c r="N359" s="1" t="s">
        <v>74</v>
      </c>
      <c r="O359" s="1" t="s">
        <v>74</v>
      </c>
      <c r="P359" s="1" t="s">
        <v>74</v>
      </c>
      <c r="Q359" s="1" t="s">
        <v>74</v>
      </c>
      <c r="R359" s="1" t="s">
        <v>74</v>
      </c>
      <c r="S359" s="1" t="s">
        <v>74</v>
      </c>
      <c r="T359" s="1" t="s">
        <v>74</v>
      </c>
      <c r="U359" s="1" t="s">
        <v>74</v>
      </c>
      <c r="V359" s="1" t="s">
        <v>74</v>
      </c>
      <c r="W359" s="1" t="s">
        <v>74</v>
      </c>
      <c r="X359" s="1" t="s">
        <v>74</v>
      </c>
      <c r="Y359" s="1" t="s">
        <v>74</v>
      </c>
      <c r="Z359" s="1" t="s">
        <v>74</v>
      </c>
      <c r="AA359" s="1" t="s">
        <v>74</v>
      </c>
      <c r="AB359" s="1" t="s">
        <v>74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3284</v>
      </c>
      <c r="AP359" s="1" t="s">
        <v>74</v>
      </c>
      <c r="AQ359" s="1" t="s">
        <v>74</v>
      </c>
      <c r="AR359" s="1" t="s">
        <v>74</v>
      </c>
      <c r="AS359" s="1" t="s">
        <v>74</v>
      </c>
      <c r="AT359" s="1" t="s">
        <v>818</v>
      </c>
      <c r="AU359" s="1">
        <v>2000.0</v>
      </c>
      <c r="AV359" s="1">
        <v>523.0</v>
      </c>
      <c r="AW359" s="1" t="s">
        <v>74</v>
      </c>
      <c r="AX359" s="1" t="s">
        <v>74</v>
      </c>
      <c r="AY359" s="1" t="s">
        <v>638</v>
      </c>
      <c r="AZ359" s="1" t="s">
        <v>74</v>
      </c>
      <c r="BA359" s="1" t="s">
        <v>74</v>
      </c>
      <c r="BB359" s="1" t="s">
        <v>3285</v>
      </c>
      <c r="BC359" s="1" t="s">
        <v>3286</v>
      </c>
      <c r="BD359" s="1" t="s">
        <v>74</v>
      </c>
      <c r="BE359" s="1" t="s">
        <v>74</v>
      </c>
      <c r="BF359" s="1" t="s">
        <v>74</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3287</v>
      </c>
      <c r="BT359" s="1" t="str">
        <f>HYPERLINK("https%3A%2F%2Fwww.webofscience.com%2Fwos%2Fwoscc%2Ffull-record%2FWOS:000085937100083","View Full Record in Web of Science")</f>
        <v>View Full Record in Web of Science</v>
      </c>
    </row>
    <row r="360" ht="12.75" customHeight="1">
      <c r="A360" s="1" t="s">
        <v>72</v>
      </c>
      <c r="B360" s="1" t="s">
        <v>2330</v>
      </c>
      <c r="C360" s="1" t="s">
        <v>74</v>
      </c>
      <c r="D360" s="1" t="s">
        <v>74</v>
      </c>
      <c r="E360" s="1" t="s">
        <v>74</v>
      </c>
      <c r="F360" s="1" t="s">
        <v>2330</v>
      </c>
      <c r="G360" s="1" t="s">
        <v>74</v>
      </c>
      <c r="H360" s="1" t="s">
        <v>74</v>
      </c>
      <c r="I360" s="1" t="s">
        <v>3288</v>
      </c>
      <c r="J360" s="1" t="s">
        <v>2332</v>
      </c>
      <c r="K360" s="1" t="s">
        <v>74</v>
      </c>
      <c r="L360" s="1" t="s">
        <v>74</v>
      </c>
      <c r="M360" s="1" t="s">
        <v>74</v>
      </c>
      <c r="N360" s="1" t="s">
        <v>74</v>
      </c>
      <c r="O360" s="1" t="s">
        <v>74</v>
      </c>
      <c r="P360" s="1" t="s">
        <v>74</v>
      </c>
      <c r="Q360" s="1" t="s">
        <v>74</v>
      </c>
      <c r="R360" s="1" t="s">
        <v>74</v>
      </c>
      <c r="S360" s="1" t="s">
        <v>74</v>
      </c>
      <c r="T360" s="1" t="s">
        <v>74</v>
      </c>
      <c r="U360" s="1" t="s">
        <v>74</v>
      </c>
      <c r="V360" s="1" t="s">
        <v>3289</v>
      </c>
      <c r="W360" s="1" t="s">
        <v>74</v>
      </c>
      <c r="X360" s="1" t="s">
        <v>74</v>
      </c>
      <c r="Y360" s="1" t="s">
        <v>74</v>
      </c>
      <c r="Z360" s="1" t="s">
        <v>74</v>
      </c>
      <c r="AA360" s="1" t="s">
        <v>74</v>
      </c>
      <c r="AB360" s="1" t="s">
        <v>74</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2334</v>
      </c>
      <c r="AP360" s="1" t="s">
        <v>74</v>
      </c>
      <c r="AQ360" s="1" t="s">
        <v>74</v>
      </c>
      <c r="AR360" s="1" t="s">
        <v>74</v>
      </c>
      <c r="AS360" s="1" t="s">
        <v>74</v>
      </c>
      <c r="AT360" s="1" t="s">
        <v>3290</v>
      </c>
      <c r="AU360" s="1">
        <v>1999.0</v>
      </c>
      <c r="AV360" s="1">
        <v>12.0</v>
      </c>
      <c r="AW360" s="1">
        <v>6.0</v>
      </c>
      <c r="AX360" s="1" t="s">
        <v>74</v>
      </c>
      <c r="AY360" s="1" t="s">
        <v>74</v>
      </c>
      <c r="AZ360" s="1" t="s">
        <v>74</v>
      </c>
      <c r="BA360" s="1" t="s">
        <v>74</v>
      </c>
      <c r="BB360" s="1">
        <v>277.0</v>
      </c>
      <c r="BC360" s="1">
        <v>281.0</v>
      </c>
      <c r="BD360" s="1" t="s">
        <v>74</v>
      </c>
      <c r="BE360" s="1" t="s">
        <v>3291</v>
      </c>
      <c r="BF360" s="2" t="str">
        <f>HYPERLINK("http://dx.doi.org/10.1002/(SICI)1099-1522(199911/12)12:6&lt;277::AID-PTS482&gt;3.0.CO;2-8","http://dx.doi.org/10.1002/(SICI)1099-1522(199911/12)12:6&lt;277::AID-PTS482&gt;3.0.CO;2-8")</f>
        <v>http://dx.doi.org/10.1002/(SICI)1099-1522(199911/12)12:6&lt;277::AID-PTS482&gt;3.0.CO;2-8</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3292</v>
      </c>
      <c r="BT360" s="1" t="str">
        <f>HYPERLINK("https%3A%2F%2Fwww.webofscience.com%2Fwos%2Fwoscc%2Ffull-record%2FWOS:000086684100005","View Full Record in Web of Science")</f>
        <v>View Full Record in Web of Science</v>
      </c>
    </row>
    <row r="361" ht="12.75" customHeight="1">
      <c r="A361" s="1" t="s">
        <v>72</v>
      </c>
      <c r="B361" s="1" t="s">
        <v>3293</v>
      </c>
      <c r="C361" s="1" t="s">
        <v>74</v>
      </c>
      <c r="D361" s="1" t="s">
        <v>74</v>
      </c>
      <c r="E361" s="1" t="s">
        <v>74</v>
      </c>
      <c r="F361" s="1" t="s">
        <v>3293</v>
      </c>
      <c r="G361" s="1" t="s">
        <v>74</v>
      </c>
      <c r="H361" s="1" t="s">
        <v>74</v>
      </c>
      <c r="I361" s="1" t="s">
        <v>3294</v>
      </c>
      <c r="J361" s="1" t="s">
        <v>748</v>
      </c>
      <c r="K361" s="1" t="s">
        <v>74</v>
      </c>
      <c r="L361" s="1" t="s">
        <v>74</v>
      </c>
      <c r="M361" s="1" t="s">
        <v>74</v>
      </c>
      <c r="N361" s="1" t="s">
        <v>74</v>
      </c>
      <c r="O361" s="1" t="s">
        <v>74</v>
      </c>
      <c r="P361" s="1" t="s">
        <v>74</v>
      </c>
      <c r="Q361" s="1" t="s">
        <v>74</v>
      </c>
      <c r="R361" s="1" t="s">
        <v>74</v>
      </c>
      <c r="S361" s="1" t="s">
        <v>74</v>
      </c>
      <c r="T361" s="1" t="s">
        <v>74</v>
      </c>
      <c r="U361" s="1" t="s">
        <v>74</v>
      </c>
      <c r="V361" s="1" t="s">
        <v>3295</v>
      </c>
      <c r="W361" s="1" t="s">
        <v>74</v>
      </c>
      <c r="X361" s="1" t="s">
        <v>74</v>
      </c>
      <c r="Y361" s="1" t="s">
        <v>74</v>
      </c>
      <c r="Z361" s="1" t="s">
        <v>74</v>
      </c>
      <c r="AA361" s="1" t="s">
        <v>74</v>
      </c>
      <c r="AB361" s="1" t="s">
        <v>74</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750</v>
      </c>
      <c r="AP361" s="1" t="s">
        <v>74</v>
      </c>
      <c r="AQ361" s="1" t="s">
        <v>74</v>
      </c>
      <c r="AR361" s="1" t="s">
        <v>74</v>
      </c>
      <c r="AS361" s="1" t="s">
        <v>74</v>
      </c>
      <c r="AT361" s="1" t="s">
        <v>256</v>
      </c>
      <c r="AU361" s="1">
        <v>1999.0</v>
      </c>
      <c r="AV361" s="1">
        <v>44.0</v>
      </c>
      <c r="AW361" s="1">
        <v>1.0</v>
      </c>
      <c r="AX361" s="1" t="s">
        <v>74</v>
      </c>
      <c r="AY361" s="1" t="s">
        <v>74</v>
      </c>
      <c r="AZ361" s="1" t="s">
        <v>74</v>
      </c>
      <c r="BA361" s="1" t="s">
        <v>74</v>
      </c>
      <c r="BB361" s="1">
        <v>123.0</v>
      </c>
      <c r="BC361" s="1">
        <v>129.0</v>
      </c>
      <c r="BD361" s="1" t="s">
        <v>74</v>
      </c>
      <c r="BE361" s="1" t="s">
        <v>74</v>
      </c>
      <c r="BF361" s="1" t="s">
        <v>74</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3296</v>
      </c>
      <c r="BT361" s="1" t="str">
        <f>HYPERLINK("https%3A%2F%2Fwww.webofscience.com%2Fwos%2Fwoscc%2Ffull-record%2FWOS:000079614900015","View Full Record in Web of Science")</f>
        <v>View Full Record in Web of Science</v>
      </c>
    </row>
    <row r="362" ht="12.75" customHeight="1">
      <c r="A362" s="1" t="s">
        <v>72</v>
      </c>
      <c r="B362" s="1" t="s">
        <v>3297</v>
      </c>
      <c r="C362" s="1" t="s">
        <v>74</v>
      </c>
      <c r="D362" s="1" t="s">
        <v>74</v>
      </c>
      <c r="E362" s="1" t="s">
        <v>74</v>
      </c>
      <c r="F362" s="1" t="s">
        <v>3297</v>
      </c>
      <c r="G362" s="1" t="s">
        <v>74</v>
      </c>
      <c r="H362" s="1" t="s">
        <v>74</v>
      </c>
      <c r="I362" s="1" t="s">
        <v>3298</v>
      </c>
      <c r="J362" s="1" t="s">
        <v>3299</v>
      </c>
      <c r="K362" s="1" t="s">
        <v>74</v>
      </c>
      <c r="L362" s="1" t="s">
        <v>74</v>
      </c>
      <c r="M362" s="1" t="s">
        <v>74</v>
      </c>
      <c r="N362" s="1" t="s">
        <v>74</v>
      </c>
      <c r="O362" s="1" t="s">
        <v>74</v>
      </c>
      <c r="P362" s="1" t="s">
        <v>74</v>
      </c>
      <c r="Q362" s="1" t="s">
        <v>74</v>
      </c>
      <c r="R362" s="1" t="s">
        <v>74</v>
      </c>
      <c r="S362" s="1" t="s">
        <v>74</v>
      </c>
      <c r="T362" s="1" t="s">
        <v>74</v>
      </c>
      <c r="U362" s="1" t="s">
        <v>74</v>
      </c>
      <c r="V362" s="1" t="s">
        <v>74</v>
      </c>
      <c r="W362" s="1" t="s">
        <v>74</v>
      </c>
      <c r="X362" s="1" t="s">
        <v>74</v>
      </c>
      <c r="Y362" s="1" t="s">
        <v>74</v>
      </c>
      <c r="Z362" s="1" t="s">
        <v>74</v>
      </c>
      <c r="AA362" s="1" t="s">
        <v>74</v>
      </c>
      <c r="AB362" s="1" t="s">
        <v>3300</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3301</v>
      </c>
      <c r="AP362" s="1" t="s">
        <v>74</v>
      </c>
      <c r="AQ362" s="1" t="s">
        <v>74</v>
      </c>
      <c r="AR362" s="1" t="s">
        <v>74</v>
      </c>
      <c r="AS362" s="1" t="s">
        <v>74</v>
      </c>
      <c r="AT362" s="1" t="s">
        <v>3302</v>
      </c>
      <c r="AU362" s="1">
        <v>1999.0</v>
      </c>
      <c r="AV362" s="1" t="s">
        <v>74</v>
      </c>
      <c r="AW362" s="1">
        <v>1.0</v>
      </c>
      <c r="AX362" s="1" t="s">
        <v>74</v>
      </c>
      <c r="AY362" s="1" t="s">
        <v>74</v>
      </c>
      <c r="AZ362" s="1" t="s">
        <v>74</v>
      </c>
      <c r="BA362" s="1" t="s">
        <v>74</v>
      </c>
      <c r="BB362" s="1">
        <v>20.0</v>
      </c>
      <c r="BC362" s="1">
        <v>24.0</v>
      </c>
      <c r="BD362" s="1" t="s">
        <v>74</v>
      </c>
      <c r="BE362" s="1" t="s">
        <v>74</v>
      </c>
      <c r="BF362" s="1" t="s">
        <v>74</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3303</v>
      </c>
      <c r="BT362" s="1" t="str">
        <f>HYPERLINK("https%3A%2F%2Fwww.webofscience.com%2Fwos%2Fwoscc%2Ffull-record%2FWOS:000078016100022","View Full Record in Web of Science")</f>
        <v>View Full Record in Web of Science</v>
      </c>
    </row>
    <row r="363" ht="12.75" customHeight="1">
      <c r="A363" s="1" t="s">
        <v>72</v>
      </c>
      <c r="B363" s="1" t="s">
        <v>3304</v>
      </c>
      <c r="C363" s="1" t="s">
        <v>74</v>
      </c>
      <c r="D363" s="1" t="s">
        <v>74</v>
      </c>
      <c r="E363" s="1" t="s">
        <v>74</v>
      </c>
      <c r="F363" s="1" t="s">
        <v>3304</v>
      </c>
      <c r="G363" s="1" t="s">
        <v>74</v>
      </c>
      <c r="H363" s="1" t="s">
        <v>74</v>
      </c>
      <c r="I363" s="1" t="s">
        <v>3305</v>
      </c>
      <c r="J363" s="1" t="s">
        <v>3306</v>
      </c>
      <c r="K363" s="1" t="s">
        <v>74</v>
      </c>
      <c r="L363" s="1" t="s">
        <v>74</v>
      </c>
      <c r="M363" s="1" t="s">
        <v>74</v>
      </c>
      <c r="N363" s="1" t="s">
        <v>74</v>
      </c>
      <c r="O363" s="1" t="s">
        <v>74</v>
      </c>
      <c r="P363" s="1" t="s">
        <v>74</v>
      </c>
      <c r="Q363" s="1" t="s">
        <v>74</v>
      </c>
      <c r="R363" s="1" t="s">
        <v>74</v>
      </c>
      <c r="S363" s="1" t="s">
        <v>74</v>
      </c>
      <c r="T363" s="1" t="s">
        <v>74</v>
      </c>
      <c r="U363" s="1" t="s">
        <v>74</v>
      </c>
      <c r="V363" s="1" t="s">
        <v>3307</v>
      </c>
      <c r="W363" s="1" t="s">
        <v>74</v>
      </c>
      <c r="X363" s="1" t="s">
        <v>74</v>
      </c>
      <c r="Y363" s="1" t="s">
        <v>74</v>
      </c>
      <c r="Z363" s="1" t="s">
        <v>74</v>
      </c>
      <c r="AA363" s="1" t="s">
        <v>74</v>
      </c>
      <c r="AB363" s="1" t="s">
        <v>74</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3308</v>
      </c>
      <c r="AP363" s="1" t="s">
        <v>74</v>
      </c>
      <c r="AQ363" s="1" t="s">
        <v>74</v>
      </c>
      <c r="AR363" s="1" t="s">
        <v>74</v>
      </c>
      <c r="AS363" s="1" t="s">
        <v>74</v>
      </c>
      <c r="AT363" s="1" t="s">
        <v>276</v>
      </c>
      <c r="AU363" s="1">
        <v>1993.0</v>
      </c>
      <c r="AV363" s="1">
        <v>271.0</v>
      </c>
      <c r="AW363" s="1">
        <v>10.0</v>
      </c>
      <c r="AX363" s="1" t="s">
        <v>74</v>
      </c>
      <c r="AY363" s="1" t="s">
        <v>74</v>
      </c>
      <c r="AZ363" s="1" t="s">
        <v>74</v>
      </c>
      <c r="BA363" s="1" t="s">
        <v>74</v>
      </c>
      <c r="BB363" s="1">
        <v>960.0</v>
      </c>
      <c r="BC363" s="1">
        <v>966.0</v>
      </c>
      <c r="BD363" s="1" t="s">
        <v>74</v>
      </c>
      <c r="BE363" s="1" t="s">
        <v>3309</v>
      </c>
      <c r="BF363" s="2" t="str">
        <f>HYPERLINK("http://dx.doi.org/10.1007/BF00654856","http://dx.doi.org/10.1007/BF00654856")</f>
        <v>http://dx.doi.org/10.1007/BF00654856</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3310</v>
      </c>
      <c r="BT363" s="1" t="str">
        <f>HYPERLINK("https%3A%2F%2Fwww.webofscience.com%2Fwos%2Fwoscc%2Ffull-record%2FWOS:A1993ME71300006","View Full Record in Web of Science")</f>
        <v>View Full Record in Web of Science</v>
      </c>
    </row>
    <row r="364" ht="12.75" customHeight="1">
      <c r="A364" s="1" t="s">
        <v>72</v>
      </c>
      <c r="B364" s="1" t="s">
        <v>3311</v>
      </c>
      <c r="C364" s="1" t="s">
        <v>74</v>
      </c>
      <c r="D364" s="1" t="s">
        <v>74</v>
      </c>
      <c r="E364" s="1" t="s">
        <v>74</v>
      </c>
      <c r="F364" s="1" t="s">
        <v>3311</v>
      </c>
      <c r="G364" s="1" t="s">
        <v>74</v>
      </c>
      <c r="H364" s="1" t="s">
        <v>74</v>
      </c>
      <c r="I364" s="1" t="s">
        <v>3312</v>
      </c>
      <c r="J364" s="1" t="s">
        <v>3313</v>
      </c>
      <c r="K364" s="1" t="s">
        <v>74</v>
      </c>
      <c r="L364" s="1" t="s">
        <v>74</v>
      </c>
      <c r="M364" s="1" t="s">
        <v>74</v>
      </c>
      <c r="N364" s="1" t="s">
        <v>74</v>
      </c>
      <c r="O364" s="1" t="s">
        <v>74</v>
      </c>
      <c r="P364" s="1" t="s">
        <v>74</v>
      </c>
      <c r="Q364" s="1" t="s">
        <v>74</v>
      </c>
      <c r="R364" s="1" t="s">
        <v>74</v>
      </c>
      <c r="S364" s="1" t="s">
        <v>74</v>
      </c>
      <c r="T364" s="1" t="s">
        <v>74</v>
      </c>
      <c r="U364" s="1" t="s">
        <v>74</v>
      </c>
      <c r="V364" s="1" t="s">
        <v>3314</v>
      </c>
      <c r="W364" s="1" t="s">
        <v>74</v>
      </c>
      <c r="X364" s="1" t="s">
        <v>74</v>
      </c>
      <c r="Y364" s="1" t="s">
        <v>74</v>
      </c>
      <c r="Z364" s="1" t="s">
        <v>74</v>
      </c>
      <c r="AA364" s="1" t="s">
        <v>74</v>
      </c>
      <c r="AB364" s="1" t="s">
        <v>74</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3315</v>
      </c>
      <c r="AP364" s="1" t="s">
        <v>74</v>
      </c>
      <c r="AQ364" s="1" t="s">
        <v>74</v>
      </c>
      <c r="AR364" s="1" t="s">
        <v>74</v>
      </c>
      <c r="AS364" s="1" t="s">
        <v>74</v>
      </c>
      <c r="AT364" s="1" t="s">
        <v>818</v>
      </c>
      <c r="AU364" s="1">
        <v>1992.0</v>
      </c>
      <c r="AV364" s="1">
        <v>28.0</v>
      </c>
      <c r="AW364" s="1">
        <v>2.0</v>
      </c>
      <c r="AX364" s="1" t="s">
        <v>74</v>
      </c>
      <c r="AY364" s="1" t="s">
        <v>74</v>
      </c>
      <c r="AZ364" s="1" t="s">
        <v>74</v>
      </c>
      <c r="BA364" s="1" t="s">
        <v>74</v>
      </c>
      <c r="BB364" s="1">
        <v>125.0</v>
      </c>
      <c r="BC364" s="1">
        <v>127.0</v>
      </c>
      <c r="BD364" s="1" t="s">
        <v>74</v>
      </c>
      <c r="BE364" s="1" t="s">
        <v>3316</v>
      </c>
      <c r="BF364" s="2" t="str">
        <f>HYPERLINK("http://dx.doi.org/10.1016/0014-3057(92)90295-D","http://dx.doi.org/10.1016/0014-3057(92)90295-D")</f>
        <v>http://dx.doi.org/10.1016/0014-3057(92)90295-D</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3317</v>
      </c>
      <c r="BT364" s="1" t="str">
        <f>HYPERLINK("https%3A%2F%2Fwww.webofscience.com%2Fwos%2Fwoscc%2Ffull-record%2FWOS:A1992HD77600003","View Full Record in Web of Science")</f>
        <v>View Full Record in Web of Science</v>
      </c>
    </row>
    <row r="365" ht="12.75" customHeight="1">
      <c r="A365" s="1" t="s">
        <v>72</v>
      </c>
      <c r="B365" s="1" t="s">
        <v>934</v>
      </c>
      <c r="C365" s="1" t="s">
        <v>74</v>
      </c>
      <c r="D365" s="1" t="s">
        <v>74</v>
      </c>
      <c r="E365" s="1" t="s">
        <v>74</v>
      </c>
      <c r="F365" s="1" t="s">
        <v>934</v>
      </c>
      <c r="G365" s="1" t="s">
        <v>74</v>
      </c>
      <c r="H365" s="1" t="s">
        <v>74</v>
      </c>
      <c r="I365" s="1" t="s">
        <v>3318</v>
      </c>
      <c r="J365" s="1" t="s">
        <v>3319</v>
      </c>
      <c r="K365" s="1" t="s">
        <v>74</v>
      </c>
      <c r="L365" s="1" t="s">
        <v>74</v>
      </c>
      <c r="M365" s="1" t="s">
        <v>74</v>
      </c>
      <c r="N365" s="1" t="s">
        <v>74</v>
      </c>
      <c r="O365" s="1" t="s">
        <v>74</v>
      </c>
      <c r="P365" s="1" t="s">
        <v>74</v>
      </c>
      <c r="Q365" s="1" t="s">
        <v>74</v>
      </c>
      <c r="R365" s="1" t="s">
        <v>74</v>
      </c>
      <c r="S365" s="1" t="s">
        <v>74</v>
      </c>
      <c r="T365" s="1" t="s">
        <v>74</v>
      </c>
      <c r="U365" s="1" t="s">
        <v>74</v>
      </c>
      <c r="V365" s="1" t="s">
        <v>74</v>
      </c>
      <c r="W365" s="1" t="s">
        <v>74</v>
      </c>
      <c r="X365" s="1" t="s">
        <v>74</v>
      </c>
      <c r="Y365" s="1" t="s">
        <v>74</v>
      </c>
      <c r="Z365" s="1" t="s">
        <v>74</v>
      </c>
      <c r="AA365" s="1" t="s">
        <v>450</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3320</v>
      </c>
      <c r="AP365" s="1" t="s">
        <v>74</v>
      </c>
      <c r="AQ365" s="1" t="s">
        <v>74</v>
      </c>
      <c r="AR365" s="1" t="s">
        <v>74</v>
      </c>
      <c r="AS365" s="1" t="s">
        <v>74</v>
      </c>
      <c r="AT365" s="1" t="s">
        <v>3321</v>
      </c>
      <c r="AU365" s="1">
        <v>1986.0</v>
      </c>
      <c r="AV365" s="1">
        <v>132.0</v>
      </c>
      <c r="AW365" s="1">
        <v>6.0</v>
      </c>
      <c r="AX365" s="1" t="s">
        <v>74</v>
      </c>
      <c r="AY365" s="1" t="s">
        <v>74</v>
      </c>
      <c r="AZ365" s="1" t="s">
        <v>74</v>
      </c>
      <c r="BA365" s="1" t="s">
        <v>74</v>
      </c>
      <c r="BB365" s="1">
        <v>545.0</v>
      </c>
      <c r="BC365" s="1">
        <v>548.0</v>
      </c>
      <c r="BD365" s="1" t="s">
        <v>74</v>
      </c>
      <c r="BE365" s="1" t="s">
        <v>3322</v>
      </c>
      <c r="BF365" s="2" t="str">
        <f>HYPERLINK("http://dx.doi.org/10.1016/0009-2614(86)87121-4","http://dx.doi.org/10.1016/0009-2614(86)87121-4")</f>
        <v>http://dx.doi.org/10.1016/0009-2614(86)87121-4</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3323</v>
      </c>
      <c r="BT365" s="1" t="str">
        <f>HYPERLINK("https%3A%2F%2Fwww.webofscience.com%2Fwos%2Fwoscc%2Ffull-record%2FWOS:A1986F600200014","View Full Record in Web of Science")</f>
        <v>View Full Record in Web of Science</v>
      </c>
    </row>
    <row r="366" ht="12.75" customHeight="1">
      <c r="A366" s="1" t="s">
        <v>72</v>
      </c>
      <c r="B366" s="1" t="s">
        <v>3324</v>
      </c>
      <c r="C366" s="1" t="s">
        <v>74</v>
      </c>
      <c r="D366" s="1" t="s">
        <v>74</v>
      </c>
      <c r="E366" s="1" t="s">
        <v>74</v>
      </c>
      <c r="F366" s="1" t="s">
        <v>3324</v>
      </c>
      <c r="G366" s="1" t="s">
        <v>74</v>
      </c>
      <c r="H366" s="1" t="s">
        <v>74</v>
      </c>
      <c r="I366" s="1" t="s">
        <v>3325</v>
      </c>
      <c r="J366" s="1" t="s">
        <v>3326</v>
      </c>
      <c r="K366" s="1" t="s">
        <v>74</v>
      </c>
      <c r="L366" s="1" t="s">
        <v>74</v>
      </c>
      <c r="M366" s="1" t="s">
        <v>74</v>
      </c>
      <c r="N366" s="1" t="s">
        <v>74</v>
      </c>
      <c r="O366" s="1" t="s">
        <v>74</v>
      </c>
      <c r="P366" s="1" t="s">
        <v>74</v>
      </c>
      <c r="Q366" s="1" t="s">
        <v>74</v>
      </c>
      <c r="R366" s="1" t="s">
        <v>74</v>
      </c>
      <c r="S366" s="1" t="s">
        <v>74</v>
      </c>
      <c r="T366" s="1" t="s">
        <v>74</v>
      </c>
      <c r="U366" s="1" t="s">
        <v>74</v>
      </c>
      <c r="V366" s="1" t="s">
        <v>74</v>
      </c>
      <c r="W366" s="1" t="s">
        <v>74</v>
      </c>
      <c r="X366" s="1" t="s">
        <v>74</v>
      </c>
      <c r="Y366" s="1" t="s">
        <v>74</v>
      </c>
      <c r="Z366" s="1" t="s">
        <v>74</v>
      </c>
      <c r="AA366" s="1" t="s">
        <v>74</v>
      </c>
      <c r="AB366" s="1" t="s">
        <v>74</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3327</v>
      </c>
      <c r="AP366" s="1" t="s">
        <v>74</v>
      </c>
      <c r="AQ366" s="1" t="s">
        <v>74</v>
      </c>
      <c r="AR366" s="1" t="s">
        <v>74</v>
      </c>
      <c r="AS366" s="1" t="s">
        <v>74</v>
      </c>
      <c r="AT366" s="1" t="s">
        <v>74</v>
      </c>
      <c r="AU366" s="1">
        <v>1985.0</v>
      </c>
      <c r="AV366" s="1">
        <v>110.0</v>
      </c>
      <c r="AW366" s="1" t="s">
        <v>74</v>
      </c>
      <c r="AX366" s="1" t="s">
        <v>74</v>
      </c>
      <c r="AY366" s="1" t="s">
        <v>74</v>
      </c>
      <c r="AZ366" s="1" t="s">
        <v>74</v>
      </c>
      <c r="BA366" s="1" t="s">
        <v>74</v>
      </c>
      <c r="BB366" s="1">
        <v>86.0</v>
      </c>
      <c r="BC366" s="1">
        <v>92.0</v>
      </c>
      <c r="BD366" s="1" t="s">
        <v>74</v>
      </c>
      <c r="BE366" s="1" t="s">
        <v>74</v>
      </c>
      <c r="BF366" s="1" t="s">
        <v>74</v>
      </c>
      <c r="BG366" s="1" t="s">
        <v>74</v>
      </c>
      <c r="BH366" s="1" t="s">
        <v>74</v>
      </c>
      <c r="BI366" s="1" t="s">
        <v>74</v>
      </c>
      <c r="BJ366" s="1" t="s">
        <v>74</v>
      </c>
      <c r="BK366" s="1" t="s">
        <v>74</v>
      </c>
      <c r="BL366" s="1" t="s">
        <v>74</v>
      </c>
      <c r="BM366" s="1" t="s">
        <v>74</v>
      </c>
      <c r="BN366" s="1">
        <v>4021821.0</v>
      </c>
      <c r="BO366" s="1" t="s">
        <v>74</v>
      </c>
      <c r="BP366" s="1" t="s">
        <v>74</v>
      </c>
      <c r="BQ366" s="1" t="s">
        <v>74</v>
      </c>
      <c r="BR366" s="1" t="s">
        <v>74</v>
      </c>
      <c r="BS366" s="1" t="s">
        <v>3328</v>
      </c>
      <c r="BT366" s="1" t="str">
        <f>HYPERLINK("https%3A%2F%2Fwww.webofscience.com%2Fwos%2Fwoscc%2Ffull-record%2FWOS:A1985AFZ4900010","View Full Record in Web of Science")</f>
        <v>View Full Record in Web of Science</v>
      </c>
    </row>
    <row r="367" ht="12.75" customHeight="1">
      <c r="A367" s="1" t="s">
        <v>72</v>
      </c>
      <c r="B367" s="1" t="s">
        <v>3329</v>
      </c>
      <c r="C367" s="1" t="s">
        <v>74</v>
      </c>
      <c r="D367" s="1" t="s">
        <v>74</v>
      </c>
      <c r="E367" s="1" t="s">
        <v>74</v>
      </c>
      <c r="F367" s="1" t="s">
        <v>3329</v>
      </c>
      <c r="G367" s="1" t="s">
        <v>74</v>
      </c>
      <c r="H367" s="1" t="s">
        <v>74</v>
      </c>
      <c r="I367" s="1" t="s">
        <v>3330</v>
      </c>
      <c r="J367" s="1" t="s">
        <v>924</v>
      </c>
      <c r="K367" s="1" t="s">
        <v>74</v>
      </c>
      <c r="L367" s="1" t="s">
        <v>74</v>
      </c>
      <c r="M367" s="1" t="s">
        <v>74</v>
      </c>
      <c r="N367" s="1" t="s">
        <v>74</v>
      </c>
      <c r="O367" s="1" t="s">
        <v>74</v>
      </c>
      <c r="P367" s="1" t="s">
        <v>74</v>
      </c>
      <c r="Q367" s="1" t="s">
        <v>74</v>
      </c>
      <c r="R367" s="1" t="s">
        <v>74</v>
      </c>
      <c r="S367" s="1" t="s">
        <v>74</v>
      </c>
      <c r="T367" s="1" t="s">
        <v>74</v>
      </c>
      <c r="U367" s="1" t="s">
        <v>74</v>
      </c>
      <c r="V367" s="1" t="s">
        <v>74</v>
      </c>
      <c r="W367" s="1" t="s">
        <v>74</v>
      </c>
      <c r="X367" s="1" t="s">
        <v>74</v>
      </c>
      <c r="Y367" s="1" t="s">
        <v>74</v>
      </c>
      <c r="Z367" s="1" t="s">
        <v>74</v>
      </c>
      <c r="AA367" s="1" t="s">
        <v>74</v>
      </c>
      <c r="AB367" s="1" t="s">
        <v>74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925</v>
      </c>
      <c r="AP367" s="1" t="s">
        <v>74</v>
      </c>
      <c r="AQ367" s="1" t="s">
        <v>74</v>
      </c>
      <c r="AR367" s="1" t="s">
        <v>74</v>
      </c>
      <c r="AS367" s="1" t="s">
        <v>74</v>
      </c>
      <c r="AT367" s="1" t="s">
        <v>74</v>
      </c>
      <c r="AU367" s="1">
        <v>1983.0</v>
      </c>
      <c r="AV367" s="1">
        <v>16.0</v>
      </c>
      <c r="AW367" s="1">
        <v>1.0</v>
      </c>
      <c r="AX367" s="1" t="s">
        <v>74</v>
      </c>
      <c r="AY367" s="1" t="s">
        <v>74</v>
      </c>
      <c r="AZ367" s="1" t="s">
        <v>74</v>
      </c>
      <c r="BA367" s="1" t="s">
        <v>74</v>
      </c>
      <c r="BB367" s="1" t="s">
        <v>3331</v>
      </c>
      <c r="BC367" s="1" t="s">
        <v>3331</v>
      </c>
      <c r="BD367" s="1" t="s">
        <v>74</v>
      </c>
      <c r="BE367" s="1" t="s">
        <v>74</v>
      </c>
      <c r="BF367" s="1" t="s">
        <v>74</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3332</v>
      </c>
      <c r="BT367" s="1" t="str">
        <f>HYPERLINK("https%3A%2F%2Fwww.webofscience.com%2Fwos%2Fwoscc%2Ffull-record%2FWOS:A1983RG77100048","View Full Record in Web of Science")</f>
        <v>View Full Record in Web of Science</v>
      </c>
    </row>
    <row r="368" ht="12.75" customHeight="1">
      <c r="A368" s="1" t="s">
        <v>72</v>
      </c>
      <c r="B368" s="1" t="s">
        <v>3333</v>
      </c>
      <c r="C368" s="1" t="s">
        <v>74</v>
      </c>
      <c r="D368" s="1" t="s">
        <v>74</v>
      </c>
      <c r="E368" s="1" t="s">
        <v>74</v>
      </c>
      <c r="F368" s="1" t="s">
        <v>3334</v>
      </c>
      <c r="G368" s="1" t="s">
        <v>74</v>
      </c>
      <c r="H368" s="1" t="s">
        <v>74</v>
      </c>
      <c r="I368" s="1" t="s">
        <v>3335</v>
      </c>
      <c r="J368" s="1" t="s">
        <v>3336</v>
      </c>
      <c r="K368" s="1" t="s">
        <v>74</v>
      </c>
      <c r="L368" s="1" t="s">
        <v>74</v>
      </c>
      <c r="M368" s="1" t="s">
        <v>74</v>
      </c>
      <c r="N368" s="1" t="s">
        <v>74</v>
      </c>
      <c r="O368" s="1" t="s">
        <v>74</v>
      </c>
      <c r="P368" s="1" t="s">
        <v>74</v>
      </c>
      <c r="Q368" s="1" t="s">
        <v>74</v>
      </c>
      <c r="R368" s="1" t="s">
        <v>74</v>
      </c>
      <c r="S368" s="1" t="s">
        <v>74</v>
      </c>
      <c r="T368" s="1" t="s">
        <v>74</v>
      </c>
      <c r="U368" s="1" t="s">
        <v>74</v>
      </c>
      <c r="V368" s="1" t="s">
        <v>3337</v>
      </c>
      <c r="W368" s="1" t="s">
        <v>74</v>
      </c>
      <c r="X368" s="1" t="s">
        <v>74</v>
      </c>
      <c r="Y368" s="1" t="s">
        <v>74</v>
      </c>
      <c r="Z368" s="1" t="s">
        <v>74</v>
      </c>
      <c r="AA368" s="1" t="s">
        <v>74</v>
      </c>
      <c r="AB368" s="1" t="s">
        <v>74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3338</v>
      </c>
      <c r="AP368" s="1" t="s">
        <v>3339</v>
      </c>
      <c r="AQ368" s="1" t="s">
        <v>74</v>
      </c>
      <c r="AR368" s="1" t="s">
        <v>74</v>
      </c>
      <c r="AS368" s="1" t="s">
        <v>74</v>
      </c>
      <c r="AT368" s="1" t="s">
        <v>3340</v>
      </c>
      <c r="AU368" s="1">
        <v>2025.0</v>
      </c>
      <c r="AV368" s="1" t="s">
        <v>74</v>
      </c>
      <c r="AW368" s="1" t="s">
        <v>74</v>
      </c>
      <c r="AX368" s="1" t="s">
        <v>74</v>
      </c>
      <c r="AY368" s="1" t="s">
        <v>74</v>
      </c>
      <c r="AZ368" s="1" t="s">
        <v>74</v>
      </c>
      <c r="BA368" s="1" t="s">
        <v>74</v>
      </c>
      <c r="BB368" s="1" t="s">
        <v>74</v>
      </c>
      <c r="BC368" s="1" t="s">
        <v>74</v>
      </c>
      <c r="BD368" s="1" t="s">
        <v>74</v>
      </c>
      <c r="BE368" s="1" t="s">
        <v>3341</v>
      </c>
      <c r="BF368" s="2" t="str">
        <f>HYPERLINK("http://dx.doi.org/10.1080/00207543.2025.2467878","http://dx.doi.org/10.1080/00207543.2025.2467878")</f>
        <v>http://dx.doi.org/10.1080/00207543.2025.2467878</v>
      </c>
      <c r="BG368" s="1" t="s">
        <v>74</v>
      </c>
      <c r="BH368" s="1" t="s">
        <v>3342</v>
      </c>
      <c r="BI368" s="1" t="s">
        <v>74</v>
      </c>
      <c r="BJ368" s="1" t="s">
        <v>74</v>
      </c>
      <c r="BK368" s="1" t="s">
        <v>74</v>
      </c>
      <c r="BL368" s="1" t="s">
        <v>74</v>
      </c>
      <c r="BM368" s="1" t="s">
        <v>74</v>
      </c>
      <c r="BN368" s="1" t="s">
        <v>74</v>
      </c>
      <c r="BO368" s="1" t="s">
        <v>74</v>
      </c>
      <c r="BP368" s="1" t="s">
        <v>74</v>
      </c>
      <c r="BQ368" s="1" t="s">
        <v>74</v>
      </c>
      <c r="BR368" s="1" t="s">
        <v>74</v>
      </c>
      <c r="BS368" s="1" t="s">
        <v>3343</v>
      </c>
      <c r="BT368" s="1" t="str">
        <f>HYPERLINK("https%3A%2F%2Fwww.webofscience.com%2Fwos%2Fwoscc%2Ffull-record%2FWOS:001426687800001","View Full Record in Web of Science")</f>
        <v>View Full Record in Web of Science</v>
      </c>
    </row>
    <row r="369" ht="12.75" customHeight="1">
      <c r="A369" s="1" t="s">
        <v>72</v>
      </c>
      <c r="B369" s="1" t="s">
        <v>3344</v>
      </c>
      <c r="C369" s="1" t="s">
        <v>74</v>
      </c>
      <c r="D369" s="1" t="s">
        <v>74</v>
      </c>
      <c r="E369" s="1" t="s">
        <v>74</v>
      </c>
      <c r="F369" s="1" t="s">
        <v>3345</v>
      </c>
      <c r="G369" s="1" t="s">
        <v>74</v>
      </c>
      <c r="H369" s="1" t="s">
        <v>74</v>
      </c>
      <c r="I369" s="1" t="s">
        <v>3346</v>
      </c>
      <c r="J369" s="1" t="s">
        <v>3347</v>
      </c>
      <c r="K369" s="1" t="s">
        <v>74</v>
      </c>
      <c r="L369" s="1" t="s">
        <v>74</v>
      </c>
      <c r="M369" s="1" t="s">
        <v>74</v>
      </c>
      <c r="N369" s="1" t="s">
        <v>74</v>
      </c>
      <c r="O369" s="1" t="s">
        <v>74</v>
      </c>
      <c r="P369" s="1" t="s">
        <v>74</v>
      </c>
      <c r="Q369" s="1" t="s">
        <v>74</v>
      </c>
      <c r="R369" s="1" t="s">
        <v>74</v>
      </c>
      <c r="S369" s="1" t="s">
        <v>74</v>
      </c>
      <c r="T369" s="1" t="s">
        <v>74</v>
      </c>
      <c r="U369" s="1" t="s">
        <v>74</v>
      </c>
      <c r="V369" s="1" t="s">
        <v>3348</v>
      </c>
      <c r="W369" s="1" t="s">
        <v>74</v>
      </c>
      <c r="X369" s="1" t="s">
        <v>74</v>
      </c>
      <c r="Y369" s="1" t="s">
        <v>74</v>
      </c>
      <c r="Z369" s="1" t="s">
        <v>74</v>
      </c>
      <c r="AA369" s="1" t="s">
        <v>3349</v>
      </c>
      <c r="AB369" s="1" t="s">
        <v>3350</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3351</v>
      </c>
      <c r="AP369" s="1" t="s">
        <v>3352</v>
      </c>
      <c r="AQ369" s="1" t="s">
        <v>74</v>
      </c>
      <c r="AR369" s="1" t="s">
        <v>74</v>
      </c>
      <c r="AS369" s="1" t="s">
        <v>74</v>
      </c>
      <c r="AT369" s="1" t="s">
        <v>818</v>
      </c>
      <c r="AU369" s="1">
        <v>2025.0</v>
      </c>
      <c r="AV369" s="1">
        <v>233.0</v>
      </c>
      <c r="AW369" s="1" t="s">
        <v>74</v>
      </c>
      <c r="AX369" s="1" t="s">
        <v>74</v>
      </c>
      <c r="AY369" s="1" t="s">
        <v>74</v>
      </c>
      <c r="AZ369" s="1" t="s">
        <v>74</v>
      </c>
      <c r="BA369" s="1" t="s">
        <v>74</v>
      </c>
      <c r="BB369" s="1" t="s">
        <v>74</v>
      </c>
      <c r="BC369" s="1" t="s">
        <v>74</v>
      </c>
      <c r="BD369" s="1">
        <v>112489.0</v>
      </c>
      <c r="BE369" s="1" t="s">
        <v>3353</v>
      </c>
      <c r="BF369" s="2" t="str">
        <f>HYPERLINK("http://dx.doi.org/10.1016/j.dyepig.2024.112489","http://dx.doi.org/10.1016/j.dyepig.2024.112489")</f>
        <v>http://dx.doi.org/10.1016/j.dyepig.2024.112489</v>
      </c>
      <c r="BG369" s="1" t="s">
        <v>74</v>
      </c>
      <c r="BH369" s="1" t="s">
        <v>3354</v>
      </c>
      <c r="BI369" s="1" t="s">
        <v>74</v>
      </c>
      <c r="BJ369" s="1" t="s">
        <v>74</v>
      </c>
      <c r="BK369" s="1" t="s">
        <v>74</v>
      </c>
      <c r="BL369" s="1" t="s">
        <v>74</v>
      </c>
      <c r="BM369" s="1" t="s">
        <v>74</v>
      </c>
      <c r="BN369" s="1" t="s">
        <v>74</v>
      </c>
      <c r="BO369" s="1" t="s">
        <v>74</v>
      </c>
      <c r="BP369" s="1" t="s">
        <v>74</v>
      </c>
      <c r="BQ369" s="1" t="s">
        <v>74</v>
      </c>
      <c r="BR369" s="1" t="s">
        <v>74</v>
      </c>
      <c r="BS369" s="1" t="s">
        <v>3355</v>
      </c>
      <c r="BT369" s="1" t="str">
        <f>HYPERLINK("https%3A%2F%2Fwww.webofscience.com%2Fwos%2Fwoscc%2Ffull-record%2FWOS:001346714800001","View Full Record in Web of Science")</f>
        <v>View Full Record in Web of Science</v>
      </c>
    </row>
    <row r="370" ht="12.75" customHeight="1">
      <c r="A370" s="1" t="s">
        <v>72</v>
      </c>
      <c r="B370" s="1" t="s">
        <v>3356</v>
      </c>
      <c r="C370" s="1" t="s">
        <v>74</v>
      </c>
      <c r="D370" s="1" t="s">
        <v>74</v>
      </c>
      <c r="E370" s="1" t="s">
        <v>74</v>
      </c>
      <c r="F370" s="1" t="s">
        <v>3357</v>
      </c>
      <c r="G370" s="1" t="s">
        <v>74</v>
      </c>
      <c r="H370" s="1" t="s">
        <v>74</v>
      </c>
      <c r="I370" s="1" t="s">
        <v>3358</v>
      </c>
      <c r="J370" s="1" t="s">
        <v>3359</v>
      </c>
      <c r="K370" s="1" t="s">
        <v>74</v>
      </c>
      <c r="L370" s="1" t="s">
        <v>74</v>
      </c>
      <c r="M370" s="1" t="s">
        <v>74</v>
      </c>
      <c r="N370" s="1" t="s">
        <v>74</v>
      </c>
      <c r="O370" s="1" t="s">
        <v>74</v>
      </c>
      <c r="P370" s="1" t="s">
        <v>74</v>
      </c>
      <c r="Q370" s="1" t="s">
        <v>74</v>
      </c>
      <c r="R370" s="1" t="s">
        <v>74</v>
      </c>
      <c r="S370" s="1" t="s">
        <v>74</v>
      </c>
      <c r="T370" s="1" t="s">
        <v>74</v>
      </c>
      <c r="U370" s="1" t="s">
        <v>74</v>
      </c>
      <c r="V370" s="1" t="s">
        <v>3360</v>
      </c>
      <c r="W370" s="1" t="s">
        <v>74</v>
      </c>
      <c r="X370" s="1" t="s">
        <v>74</v>
      </c>
      <c r="Y370" s="1" t="s">
        <v>74</v>
      </c>
      <c r="Z370" s="1" t="s">
        <v>74</v>
      </c>
      <c r="AA370" s="1" t="s">
        <v>74</v>
      </c>
      <c r="AB370" s="1" t="s">
        <v>3361</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3362</v>
      </c>
      <c r="AP370" s="1" t="s">
        <v>3363</v>
      </c>
      <c r="AQ370" s="1" t="s">
        <v>74</v>
      </c>
      <c r="AR370" s="1" t="s">
        <v>74</v>
      </c>
      <c r="AS370" s="1" t="s">
        <v>74</v>
      </c>
      <c r="AT370" s="1" t="s">
        <v>276</v>
      </c>
      <c r="AU370" s="1">
        <v>2024.0</v>
      </c>
      <c r="AV370" s="1">
        <v>24.0</v>
      </c>
      <c r="AW370" s="1">
        <v>10.0</v>
      </c>
      <c r="AX370" s="1" t="s">
        <v>74</v>
      </c>
      <c r="AY370" s="1" t="s">
        <v>74</v>
      </c>
      <c r="AZ370" s="1" t="s">
        <v>74</v>
      </c>
      <c r="BA370" s="1" t="s">
        <v>74</v>
      </c>
      <c r="BB370" s="1" t="s">
        <v>74</v>
      </c>
      <c r="BC370" s="1" t="s">
        <v>74</v>
      </c>
      <c r="BD370" s="1" t="s">
        <v>74</v>
      </c>
      <c r="BE370" s="1" t="s">
        <v>3364</v>
      </c>
      <c r="BF370" s="2" t="str">
        <f>HYPERLINK("http://dx.doi.org/10.1002/tcr.202400013","http://dx.doi.org/10.1002/tcr.202400013")</f>
        <v>http://dx.doi.org/10.1002/tcr.202400013</v>
      </c>
      <c r="BG370" s="1" t="s">
        <v>74</v>
      </c>
      <c r="BH370" s="1" t="s">
        <v>3365</v>
      </c>
      <c r="BI370" s="1" t="s">
        <v>74</v>
      </c>
      <c r="BJ370" s="1" t="s">
        <v>74</v>
      </c>
      <c r="BK370" s="1" t="s">
        <v>74</v>
      </c>
      <c r="BL370" s="1" t="s">
        <v>74</v>
      </c>
      <c r="BM370" s="1" t="s">
        <v>74</v>
      </c>
      <c r="BN370" s="1">
        <v>3.9318079E7</v>
      </c>
      <c r="BO370" s="1" t="s">
        <v>74</v>
      </c>
      <c r="BP370" s="1" t="s">
        <v>74</v>
      </c>
      <c r="BQ370" s="1" t="s">
        <v>74</v>
      </c>
      <c r="BR370" s="1" t="s">
        <v>74</v>
      </c>
      <c r="BS370" s="1" t="s">
        <v>3366</v>
      </c>
      <c r="BT370" s="1" t="str">
        <f>HYPERLINK("https%3A%2F%2Fwww.webofscience.com%2Fwos%2Fwoscc%2Ffull-record%2FWOS:001321071900001","View Full Record in Web of Science")</f>
        <v>View Full Record in Web of Science</v>
      </c>
    </row>
    <row r="371" ht="12.75" customHeight="1">
      <c r="A371" s="1" t="s">
        <v>72</v>
      </c>
      <c r="B371" s="1" t="s">
        <v>3367</v>
      </c>
      <c r="C371" s="1" t="s">
        <v>74</v>
      </c>
      <c r="D371" s="1" t="s">
        <v>74</v>
      </c>
      <c r="E371" s="1" t="s">
        <v>74</v>
      </c>
      <c r="F371" s="1" t="s">
        <v>3368</v>
      </c>
      <c r="G371" s="1" t="s">
        <v>74</v>
      </c>
      <c r="H371" s="1" t="s">
        <v>74</v>
      </c>
      <c r="I371" s="1" t="s">
        <v>3369</v>
      </c>
      <c r="J371" s="1" t="s">
        <v>959</v>
      </c>
      <c r="K371" s="1" t="s">
        <v>74</v>
      </c>
      <c r="L371" s="1" t="s">
        <v>74</v>
      </c>
      <c r="M371" s="1" t="s">
        <v>74</v>
      </c>
      <c r="N371" s="1" t="s">
        <v>74</v>
      </c>
      <c r="O371" s="1" t="s">
        <v>74</v>
      </c>
      <c r="P371" s="1" t="s">
        <v>74</v>
      </c>
      <c r="Q371" s="1" t="s">
        <v>74</v>
      </c>
      <c r="R371" s="1" t="s">
        <v>74</v>
      </c>
      <c r="S371" s="1" t="s">
        <v>74</v>
      </c>
      <c r="T371" s="1" t="s">
        <v>74</v>
      </c>
      <c r="U371" s="1" t="s">
        <v>74</v>
      </c>
      <c r="V371" s="1" t="s">
        <v>3370</v>
      </c>
      <c r="W371" s="1" t="s">
        <v>74</v>
      </c>
      <c r="X371" s="1" t="s">
        <v>74</v>
      </c>
      <c r="Y371" s="1" t="s">
        <v>74</v>
      </c>
      <c r="Z371" s="1" t="s">
        <v>74</v>
      </c>
      <c r="AA371" s="1" t="s">
        <v>3371</v>
      </c>
      <c r="AB371" s="1" t="s">
        <v>3372</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74</v>
      </c>
      <c r="AP371" s="1" t="s">
        <v>962</v>
      </c>
      <c r="AQ371" s="1" t="s">
        <v>74</v>
      </c>
      <c r="AR371" s="1" t="s">
        <v>74</v>
      </c>
      <c r="AS371" s="1" t="s">
        <v>74</v>
      </c>
      <c r="AT371" s="1" t="s">
        <v>256</v>
      </c>
      <c r="AU371" s="1">
        <v>2024.0</v>
      </c>
      <c r="AV371" s="1">
        <v>13.0</v>
      </c>
      <c r="AW371" s="1">
        <v>3.0</v>
      </c>
      <c r="AX371" s="1" t="s">
        <v>74</v>
      </c>
      <c r="AY371" s="1" t="s">
        <v>74</v>
      </c>
      <c r="AZ371" s="1" t="s">
        <v>74</v>
      </c>
      <c r="BA371" s="1" t="s">
        <v>74</v>
      </c>
      <c r="BB371" s="1" t="s">
        <v>74</v>
      </c>
      <c r="BC371" s="1" t="s">
        <v>74</v>
      </c>
      <c r="BD371" s="1">
        <v>48.0</v>
      </c>
      <c r="BE371" s="1" t="s">
        <v>3373</v>
      </c>
      <c r="BF371" s="2" t="str">
        <f>HYPERLINK("http://dx.doi.org/10.3390/robotics13030048","http://dx.doi.org/10.3390/robotics13030048")</f>
        <v>http://dx.doi.org/10.3390/robotics13030048</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3374</v>
      </c>
      <c r="BT371" s="1" t="str">
        <f>HYPERLINK("https%3A%2F%2Fwww.webofscience.com%2Fwos%2Fwoscc%2Ffull-record%2FWOS:001192865100001","View Full Record in Web of Science")</f>
        <v>View Full Record in Web of Science</v>
      </c>
    </row>
    <row r="372" ht="12.75" customHeight="1">
      <c r="A372" s="1" t="s">
        <v>72</v>
      </c>
      <c r="B372" s="1" t="s">
        <v>3375</v>
      </c>
      <c r="C372" s="1" t="s">
        <v>74</v>
      </c>
      <c r="D372" s="1" t="s">
        <v>74</v>
      </c>
      <c r="E372" s="1" t="s">
        <v>74</v>
      </c>
      <c r="F372" s="1" t="s">
        <v>3376</v>
      </c>
      <c r="G372" s="1" t="s">
        <v>74</v>
      </c>
      <c r="H372" s="1" t="s">
        <v>74</v>
      </c>
      <c r="I372" s="1" t="s">
        <v>3377</v>
      </c>
      <c r="J372" s="1" t="s">
        <v>2585</v>
      </c>
      <c r="K372" s="1" t="s">
        <v>74</v>
      </c>
      <c r="L372" s="1" t="s">
        <v>74</v>
      </c>
      <c r="M372" s="1" t="s">
        <v>74</v>
      </c>
      <c r="N372" s="1" t="s">
        <v>74</v>
      </c>
      <c r="O372" s="1" t="s">
        <v>74</v>
      </c>
      <c r="P372" s="1" t="s">
        <v>74</v>
      </c>
      <c r="Q372" s="1" t="s">
        <v>74</v>
      </c>
      <c r="R372" s="1" t="s">
        <v>74</v>
      </c>
      <c r="S372" s="1" t="s">
        <v>74</v>
      </c>
      <c r="T372" s="1" t="s">
        <v>74</v>
      </c>
      <c r="U372" s="1" t="s">
        <v>74</v>
      </c>
      <c r="V372" s="1" t="s">
        <v>3378</v>
      </c>
      <c r="W372" s="1" t="s">
        <v>74</v>
      </c>
      <c r="X372" s="1" t="s">
        <v>74</v>
      </c>
      <c r="Y372" s="1" t="s">
        <v>74</v>
      </c>
      <c r="Z372" s="1" t="s">
        <v>74</v>
      </c>
      <c r="AA372" s="1" t="s">
        <v>284</v>
      </c>
      <c r="AB372" s="1" t="s">
        <v>398</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74</v>
      </c>
      <c r="AP372" s="1" t="s">
        <v>2588</v>
      </c>
      <c r="AQ372" s="1" t="s">
        <v>74</v>
      </c>
      <c r="AR372" s="1" t="s">
        <v>74</v>
      </c>
      <c r="AS372" s="1" t="s">
        <v>74</v>
      </c>
      <c r="AT372" s="1" t="s">
        <v>256</v>
      </c>
      <c r="AU372" s="1">
        <v>2024.0</v>
      </c>
      <c r="AV372" s="1">
        <v>12.0</v>
      </c>
      <c r="AW372" s="1">
        <v>3.0</v>
      </c>
      <c r="AX372" s="1" t="s">
        <v>74</v>
      </c>
      <c r="AY372" s="1" t="s">
        <v>74</v>
      </c>
      <c r="AZ372" s="1" t="s">
        <v>74</v>
      </c>
      <c r="BA372" s="1" t="s">
        <v>74</v>
      </c>
      <c r="BB372" s="1" t="s">
        <v>74</v>
      </c>
      <c r="BC372" s="1" t="s">
        <v>74</v>
      </c>
      <c r="BD372" s="1">
        <v>593.0</v>
      </c>
      <c r="BE372" s="1" t="s">
        <v>3379</v>
      </c>
      <c r="BF372" s="2" t="str">
        <f>HYPERLINK("http://dx.doi.org/10.3390/pr12030593","http://dx.doi.org/10.3390/pr12030593")</f>
        <v>http://dx.doi.org/10.3390/pr12030593</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3380</v>
      </c>
      <c r="BT372" s="1" t="str">
        <f>HYPERLINK("https%3A%2F%2Fwww.webofscience.com%2Fwos%2Fwoscc%2Ffull-record%2FWOS:001192572000001","View Full Record in Web of Science")</f>
        <v>View Full Record in Web of Science</v>
      </c>
    </row>
    <row r="373" ht="12.75" customHeight="1">
      <c r="A373" s="1" t="s">
        <v>72</v>
      </c>
      <c r="B373" s="1" t="s">
        <v>3381</v>
      </c>
      <c r="C373" s="1" t="s">
        <v>74</v>
      </c>
      <c r="D373" s="1" t="s">
        <v>74</v>
      </c>
      <c r="E373" s="1" t="s">
        <v>74</v>
      </c>
      <c r="F373" s="1" t="s">
        <v>3382</v>
      </c>
      <c r="G373" s="1" t="s">
        <v>74</v>
      </c>
      <c r="H373" s="1" t="s">
        <v>74</v>
      </c>
      <c r="I373" s="1" t="s">
        <v>3383</v>
      </c>
      <c r="J373" s="1" t="s">
        <v>3384</v>
      </c>
      <c r="K373" s="1" t="s">
        <v>74</v>
      </c>
      <c r="L373" s="1" t="s">
        <v>74</v>
      </c>
      <c r="M373" s="1" t="s">
        <v>74</v>
      </c>
      <c r="N373" s="1" t="s">
        <v>74</v>
      </c>
      <c r="O373" s="1" t="s">
        <v>74</v>
      </c>
      <c r="P373" s="1" t="s">
        <v>74</v>
      </c>
      <c r="Q373" s="1" t="s">
        <v>74</v>
      </c>
      <c r="R373" s="1" t="s">
        <v>74</v>
      </c>
      <c r="S373" s="1" t="s">
        <v>74</v>
      </c>
      <c r="T373" s="1" t="s">
        <v>74</v>
      </c>
      <c r="U373" s="1" t="s">
        <v>74</v>
      </c>
      <c r="V373" s="1" t="s">
        <v>3385</v>
      </c>
      <c r="W373" s="1" t="s">
        <v>74</v>
      </c>
      <c r="X373" s="1" t="s">
        <v>74</v>
      </c>
      <c r="Y373" s="1" t="s">
        <v>74</v>
      </c>
      <c r="Z373" s="1" t="s">
        <v>74</v>
      </c>
      <c r="AA373" s="1" t="s">
        <v>3386</v>
      </c>
      <c r="AB373" s="1" t="s">
        <v>3387</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3388</v>
      </c>
      <c r="AP373" s="1" t="s">
        <v>3389</v>
      </c>
      <c r="AQ373" s="1" t="s">
        <v>74</v>
      </c>
      <c r="AR373" s="1" t="s">
        <v>74</v>
      </c>
      <c r="AS373" s="1" t="s">
        <v>74</v>
      </c>
      <c r="AT373" s="1" t="s">
        <v>224</v>
      </c>
      <c r="AU373" s="1">
        <v>2024.0</v>
      </c>
      <c r="AV373" s="1">
        <v>175.0</v>
      </c>
      <c r="AW373" s="1" t="s">
        <v>74</v>
      </c>
      <c r="AX373" s="1" t="s">
        <v>74</v>
      </c>
      <c r="AY373" s="1" t="s">
        <v>74</v>
      </c>
      <c r="AZ373" s="1" t="s">
        <v>74</v>
      </c>
      <c r="BA373" s="1" t="s">
        <v>74</v>
      </c>
      <c r="BB373" s="1" t="s">
        <v>74</v>
      </c>
      <c r="BC373" s="1" t="s">
        <v>74</v>
      </c>
      <c r="BD373" s="1">
        <v>104661.0</v>
      </c>
      <c r="BE373" s="1" t="s">
        <v>3390</v>
      </c>
      <c r="BF373" s="2" t="str">
        <f>HYPERLINK("http://dx.doi.org/10.1016/j.robot.2024.104661","http://dx.doi.org/10.1016/j.robot.2024.104661")</f>
        <v>http://dx.doi.org/10.1016/j.robot.2024.104661</v>
      </c>
      <c r="BG373" s="1" t="s">
        <v>74</v>
      </c>
      <c r="BH373" s="1" t="s">
        <v>3391</v>
      </c>
      <c r="BI373" s="1" t="s">
        <v>74</v>
      </c>
      <c r="BJ373" s="1" t="s">
        <v>74</v>
      </c>
      <c r="BK373" s="1" t="s">
        <v>74</v>
      </c>
      <c r="BL373" s="1" t="s">
        <v>74</v>
      </c>
      <c r="BM373" s="1" t="s">
        <v>74</v>
      </c>
      <c r="BN373" s="1" t="s">
        <v>74</v>
      </c>
      <c r="BO373" s="1" t="s">
        <v>74</v>
      </c>
      <c r="BP373" s="1" t="s">
        <v>74</v>
      </c>
      <c r="BQ373" s="1" t="s">
        <v>74</v>
      </c>
      <c r="BR373" s="1" t="s">
        <v>74</v>
      </c>
      <c r="BS373" s="1" t="s">
        <v>3392</v>
      </c>
      <c r="BT373" s="1" t="str">
        <f>HYPERLINK("https%3A%2F%2Fwww.webofscience.com%2Fwos%2Fwoscc%2Ffull-record%2FWOS:001188020300001","View Full Record in Web of Science")</f>
        <v>View Full Record in Web of Science</v>
      </c>
    </row>
    <row r="374" ht="12.75" customHeight="1">
      <c r="A374" s="1" t="s">
        <v>72</v>
      </c>
      <c r="B374" s="1" t="s">
        <v>3393</v>
      </c>
      <c r="C374" s="1" t="s">
        <v>74</v>
      </c>
      <c r="D374" s="1" t="s">
        <v>74</v>
      </c>
      <c r="E374" s="1" t="s">
        <v>74</v>
      </c>
      <c r="F374" s="1" t="s">
        <v>3394</v>
      </c>
      <c r="G374" s="1" t="s">
        <v>74</v>
      </c>
      <c r="H374" s="1" t="s">
        <v>74</v>
      </c>
      <c r="I374" s="1" t="s">
        <v>3395</v>
      </c>
      <c r="J374" s="1" t="s">
        <v>3396</v>
      </c>
      <c r="K374" s="1" t="s">
        <v>74</v>
      </c>
      <c r="L374" s="1" t="s">
        <v>74</v>
      </c>
      <c r="M374" s="1" t="s">
        <v>74</v>
      </c>
      <c r="N374" s="1" t="s">
        <v>74</v>
      </c>
      <c r="O374" s="1" t="s">
        <v>74</v>
      </c>
      <c r="P374" s="1" t="s">
        <v>74</v>
      </c>
      <c r="Q374" s="1" t="s">
        <v>74</v>
      </c>
      <c r="R374" s="1" t="s">
        <v>74</v>
      </c>
      <c r="S374" s="1" t="s">
        <v>74</v>
      </c>
      <c r="T374" s="1" t="s">
        <v>74</v>
      </c>
      <c r="U374" s="1" t="s">
        <v>74</v>
      </c>
      <c r="V374" s="1" t="s">
        <v>3397</v>
      </c>
      <c r="W374" s="1" t="s">
        <v>74</v>
      </c>
      <c r="X374" s="1" t="s">
        <v>74</v>
      </c>
      <c r="Y374" s="1" t="s">
        <v>74</v>
      </c>
      <c r="Z374" s="1" t="s">
        <v>74</v>
      </c>
      <c r="AA374" s="1" t="s">
        <v>3398</v>
      </c>
      <c r="AB374" s="1" t="s">
        <v>3399</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3400</v>
      </c>
      <c r="AP374" s="1" t="s">
        <v>3401</v>
      </c>
      <c r="AQ374" s="1" t="s">
        <v>74</v>
      </c>
      <c r="AR374" s="1" t="s">
        <v>74</v>
      </c>
      <c r="AS374" s="1" t="s">
        <v>74</v>
      </c>
      <c r="AT374" s="1" t="s">
        <v>193</v>
      </c>
      <c r="AU374" s="1">
        <v>2024.0</v>
      </c>
      <c r="AV374" s="1">
        <v>57.0</v>
      </c>
      <c r="AW374" s="1">
        <v>2.0</v>
      </c>
      <c r="AX374" s="1" t="s">
        <v>74</v>
      </c>
      <c r="AY374" s="1" t="s">
        <v>74</v>
      </c>
      <c r="AZ374" s="1" t="s">
        <v>74</v>
      </c>
      <c r="BA374" s="1" t="s">
        <v>74</v>
      </c>
      <c r="BB374" s="1">
        <v>267.0</v>
      </c>
      <c r="BC374" s="1">
        <v>273.0</v>
      </c>
      <c r="BD374" s="1" t="s">
        <v>74</v>
      </c>
      <c r="BE374" s="1" t="s">
        <v>3402</v>
      </c>
      <c r="BF374" s="2" t="str">
        <f>HYPERLINK("http://dx.doi.org/10.1017/S1049096523000872","http://dx.doi.org/10.1017/S1049096523000872")</f>
        <v>http://dx.doi.org/10.1017/S1049096523000872</v>
      </c>
      <c r="BG374" s="1" t="s">
        <v>74</v>
      </c>
      <c r="BH374" s="1" t="s">
        <v>3403</v>
      </c>
      <c r="BI374" s="1" t="s">
        <v>74</v>
      </c>
      <c r="BJ374" s="1" t="s">
        <v>74</v>
      </c>
      <c r="BK374" s="1" t="s">
        <v>74</v>
      </c>
      <c r="BL374" s="1" t="s">
        <v>74</v>
      </c>
      <c r="BM374" s="1" t="s">
        <v>74</v>
      </c>
      <c r="BN374" s="1" t="s">
        <v>74</v>
      </c>
      <c r="BO374" s="1" t="s">
        <v>74</v>
      </c>
      <c r="BP374" s="1" t="s">
        <v>74</v>
      </c>
      <c r="BQ374" s="1" t="s">
        <v>74</v>
      </c>
      <c r="BR374" s="1" t="s">
        <v>74</v>
      </c>
      <c r="BS374" s="1" t="s">
        <v>3404</v>
      </c>
      <c r="BT374" s="1" t="str">
        <f>HYPERLINK("https%3A%2F%2Fwww.webofscience.com%2Fwos%2Fwoscc%2Ffull-record%2FWOS:001139733500001","View Full Record in Web of Science")</f>
        <v>View Full Record in Web of Science</v>
      </c>
    </row>
    <row r="375" ht="12.75" customHeight="1">
      <c r="A375" s="1" t="s">
        <v>638</v>
      </c>
      <c r="B375" s="1" t="s">
        <v>3405</v>
      </c>
      <c r="C375" s="1" t="s">
        <v>74</v>
      </c>
      <c r="D375" s="1" t="s">
        <v>3406</v>
      </c>
      <c r="E375" s="1" t="s">
        <v>74</v>
      </c>
      <c r="F375" s="1" t="s">
        <v>3407</v>
      </c>
      <c r="G375" s="1" t="s">
        <v>74</v>
      </c>
      <c r="H375" s="1" t="s">
        <v>74</v>
      </c>
      <c r="I375" s="1" t="s">
        <v>3408</v>
      </c>
      <c r="J375" s="1" t="s">
        <v>3409</v>
      </c>
      <c r="K375" s="1" t="s">
        <v>3410</v>
      </c>
      <c r="L375" s="1" t="s">
        <v>74</v>
      </c>
      <c r="M375" s="1" t="s">
        <v>74</v>
      </c>
      <c r="N375" s="1" t="s">
        <v>74</v>
      </c>
      <c r="O375" s="1" t="s">
        <v>74</v>
      </c>
      <c r="P375" s="1" t="s">
        <v>74</v>
      </c>
      <c r="Q375" s="1" t="s">
        <v>74</v>
      </c>
      <c r="R375" s="1" t="s">
        <v>74</v>
      </c>
      <c r="S375" s="1" t="s">
        <v>74</v>
      </c>
      <c r="T375" s="1" t="s">
        <v>74</v>
      </c>
      <c r="U375" s="1" t="s">
        <v>74</v>
      </c>
      <c r="V375" s="1" t="s">
        <v>3411</v>
      </c>
      <c r="W375" s="1" t="s">
        <v>74</v>
      </c>
      <c r="X375" s="1" t="s">
        <v>74</v>
      </c>
      <c r="Y375" s="1" t="s">
        <v>74</v>
      </c>
      <c r="Z375" s="1" t="s">
        <v>74</v>
      </c>
      <c r="AA375" s="1" t="s">
        <v>74</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3412</v>
      </c>
      <c r="AP375" s="1" t="s">
        <v>74</v>
      </c>
      <c r="AQ375" s="1" t="s">
        <v>3413</v>
      </c>
      <c r="AR375" s="1" t="s">
        <v>74</v>
      </c>
      <c r="AS375" s="1" t="s">
        <v>74</v>
      </c>
      <c r="AT375" s="1" t="s">
        <v>74</v>
      </c>
      <c r="AU375" s="1">
        <v>2024.0</v>
      </c>
      <c r="AV375" s="1">
        <v>9.0</v>
      </c>
      <c r="AW375" s="1" t="s">
        <v>74</v>
      </c>
      <c r="AX375" s="1" t="s">
        <v>74</v>
      </c>
      <c r="AY375" s="1" t="s">
        <v>74</v>
      </c>
      <c r="AZ375" s="1" t="s">
        <v>74</v>
      </c>
      <c r="BA375" s="1" t="s">
        <v>74</v>
      </c>
      <c r="BB375" s="1">
        <v>143.0</v>
      </c>
      <c r="BC375" s="1">
        <v>172.0</v>
      </c>
      <c r="BD375" s="1" t="s">
        <v>74</v>
      </c>
      <c r="BE375" s="1" t="s">
        <v>3414</v>
      </c>
      <c r="BF375" s="2" t="str">
        <f>HYPERLINK("http://dx.doi.org/10.1515/9783111311371-008","http://dx.doi.org/10.1515/9783111311371-008")</f>
        <v>http://dx.doi.org/10.1515/9783111311371-008</v>
      </c>
      <c r="BG375" s="1" t="s">
        <v>3415</v>
      </c>
      <c r="BH375" s="1" t="s">
        <v>74</v>
      </c>
      <c r="BI375" s="1" t="s">
        <v>74</v>
      </c>
      <c r="BJ375" s="1" t="s">
        <v>74</v>
      </c>
      <c r="BK375" s="1" t="s">
        <v>74</v>
      </c>
      <c r="BL375" s="1" t="s">
        <v>74</v>
      </c>
      <c r="BM375" s="1" t="s">
        <v>74</v>
      </c>
      <c r="BN375" s="1" t="s">
        <v>74</v>
      </c>
      <c r="BO375" s="1" t="s">
        <v>74</v>
      </c>
      <c r="BP375" s="1" t="s">
        <v>74</v>
      </c>
      <c r="BQ375" s="1" t="s">
        <v>74</v>
      </c>
      <c r="BR375" s="1" t="s">
        <v>74</v>
      </c>
      <c r="BS375" s="1" t="s">
        <v>3416</v>
      </c>
      <c r="BT375" s="1" t="str">
        <f>HYPERLINK("https%3A%2F%2Fwww.webofscience.com%2Fwos%2Fwoscc%2Ffull-record%2FWOS:001374661800008","View Full Record in Web of Science")</f>
        <v>View Full Record in Web of Science</v>
      </c>
    </row>
    <row r="376" ht="12.75" customHeight="1">
      <c r="A376" s="1" t="s">
        <v>72</v>
      </c>
      <c r="B376" s="1" t="s">
        <v>3417</v>
      </c>
      <c r="C376" s="1" t="s">
        <v>74</v>
      </c>
      <c r="D376" s="1" t="s">
        <v>74</v>
      </c>
      <c r="E376" s="1" t="s">
        <v>74</v>
      </c>
      <c r="F376" s="1" t="s">
        <v>3418</v>
      </c>
      <c r="G376" s="1" t="s">
        <v>74</v>
      </c>
      <c r="H376" s="1" t="s">
        <v>74</v>
      </c>
      <c r="I376" s="1" t="s">
        <v>3419</v>
      </c>
      <c r="J376" s="1" t="s">
        <v>3420</v>
      </c>
      <c r="K376" s="1" t="s">
        <v>74</v>
      </c>
      <c r="L376" s="1" t="s">
        <v>74</v>
      </c>
      <c r="M376" s="1" t="s">
        <v>74</v>
      </c>
      <c r="N376" s="1" t="s">
        <v>74</v>
      </c>
      <c r="O376" s="1" t="s">
        <v>74</v>
      </c>
      <c r="P376" s="1" t="s">
        <v>74</v>
      </c>
      <c r="Q376" s="1" t="s">
        <v>74</v>
      </c>
      <c r="R376" s="1" t="s">
        <v>74</v>
      </c>
      <c r="S376" s="1" t="s">
        <v>74</v>
      </c>
      <c r="T376" s="1" t="s">
        <v>74</v>
      </c>
      <c r="U376" s="1" t="s">
        <v>74</v>
      </c>
      <c r="V376" s="1" t="s">
        <v>3421</v>
      </c>
      <c r="W376" s="1" t="s">
        <v>74</v>
      </c>
      <c r="X376" s="1" t="s">
        <v>74</v>
      </c>
      <c r="Y376" s="1" t="s">
        <v>74</v>
      </c>
      <c r="Z376" s="1" t="s">
        <v>74</v>
      </c>
      <c r="AA376" s="1" t="s">
        <v>74</v>
      </c>
      <c r="AB376" s="1" t="s">
        <v>74</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3422</v>
      </c>
      <c r="AP376" s="1" t="s">
        <v>3423</v>
      </c>
      <c r="AQ376" s="1" t="s">
        <v>74</v>
      </c>
      <c r="AR376" s="1" t="s">
        <v>74</v>
      </c>
      <c r="AS376" s="1" t="s">
        <v>74</v>
      </c>
      <c r="AT376" s="1" t="s">
        <v>74</v>
      </c>
      <c r="AU376" s="1">
        <v>2024.0</v>
      </c>
      <c r="AV376" s="1" t="s">
        <v>74</v>
      </c>
      <c r="AW376" s="1">
        <v>50.0</v>
      </c>
      <c r="AX376" s="1" t="s">
        <v>74</v>
      </c>
      <c r="AY376" s="1" t="s">
        <v>74</v>
      </c>
      <c r="AZ376" s="1" t="s">
        <v>74</v>
      </c>
      <c r="BA376" s="1" t="s">
        <v>74</v>
      </c>
      <c r="BB376" s="1">
        <v>117.0</v>
      </c>
      <c r="BC376" s="1">
        <v>143.0</v>
      </c>
      <c r="BD376" s="1" t="s">
        <v>74</v>
      </c>
      <c r="BE376" s="1" t="s">
        <v>3424</v>
      </c>
      <c r="BF376" s="2" t="str">
        <f>HYPERLINK("http://dx.doi.org/10.30827/cnova.v0i50","http://dx.doi.org/10.30827/cnova.v0i50")</f>
        <v>http://dx.doi.org/10.30827/cnova.v0i50</v>
      </c>
      <c r="BG376" s="1" t="s">
        <v>74</v>
      </c>
      <c r="BH376" s="1" t="s">
        <v>74</v>
      </c>
      <c r="BI376" s="1" t="s">
        <v>74</v>
      </c>
      <c r="BJ376" s="1" t="s">
        <v>74</v>
      </c>
      <c r="BK376" s="1" t="s">
        <v>74</v>
      </c>
      <c r="BL376" s="1" t="s">
        <v>74</v>
      </c>
      <c r="BM376" s="1" t="s">
        <v>74</v>
      </c>
      <c r="BN376" s="1" t="s">
        <v>74</v>
      </c>
      <c r="BO376" s="1" t="s">
        <v>74</v>
      </c>
      <c r="BP376" s="1" t="s">
        <v>74</v>
      </c>
      <c r="BQ376" s="1" t="s">
        <v>74</v>
      </c>
      <c r="BR376" s="1" t="s">
        <v>74</v>
      </c>
      <c r="BS376" s="1" t="s">
        <v>3425</v>
      </c>
      <c r="BT376" s="1" t="str">
        <f>HYPERLINK("https%3A%2F%2Fwww.webofscience.com%2Fwos%2Fwoscc%2Ffull-record%2FWOS:001390210300005","View Full Record in Web of Science")</f>
        <v>View Full Record in Web of Science</v>
      </c>
    </row>
    <row r="377" ht="12.75" customHeight="1">
      <c r="A377" s="1" t="s">
        <v>72</v>
      </c>
      <c r="B377" s="1" t="s">
        <v>3426</v>
      </c>
      <c r="C377" s="1" t="s">
        <v>74</v>
      </c>
      <c r="D377" s="1" t="s">
        <v>74</v>
      </c>
      <c r="E377" s="1" t="s">
        <v>74</v>
      </c>
      <c r="F377" s="1" t="s">
        <v>3427</v>
      </c>
      <c r="G377" s="1" t="s">
        <v>74</v>
      </c>
      <c r="H377" s="1" t="s">
        <v>74</v>
      </c>
      <c r="I377" s="1" t="s">
        <v>3428</v>
      </c>
      <c r="J377" s="1" t="s">
        <v>3429</v>
      </c>
      <c r="K377" s="1" t="s">
        <v>74</v>
      </c>
      <c r="L377" s="1" t="s">
        <v>74</v>
      </c>
      <c r="M377" s="1" t="s">
        <v>74</v>
      </c>
      <c r="N377" s="1" t="s">
        <v>74</v>
      </c>
      <c r="O377" s="1" t="s">
        <v>74</v>
      </c>
      <c r="P377" s="1" t="s">
        <v>74</v>
      </c>
      <c r="Q377" s="1" t="s">
        <v>74</v>
      </c>
      <c r="R377" s="1" t="s">
        <v>74</v>
      </c>
      <c r="S377" s="1" t="s">
        <v>74</v>
      </c>
      <c r="T377" s="1" t="s">
        <v>74</v>
      </c>
      <c r="U377" s="1" t="s">
        <v>74</v>
      </c>
      <c r="V377" s="1" t="s">
        <v>3430</v>
      </c>
      <c r="W377" s="1" t="s">
        <v>74</v>
      </c>
      <c r="X377" s="1" t="s">
        <v>74</v>
      </c>
      <c r="Y377" s="1" t="s">
        <v>74</v>
      </c>
      <c r="Z377" s="1" t="s">
        <v>74</v>
      </c>
      <c r="AA377" s="1" t="s">
        <v>74</v>
      </c>
      <c r="AB377" s="1" t="s">
        <v>74</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3431</v>
      </c>
      <c r="AP377" s="1" t="s">
        <v>74</v>
      </c>
      <c r="AQ377" s="1" t="s">
        <v>74</v>
      </c>
      <c r="AR377" s="1" t="s">
        <v>74</v>
      </c>
      <c r="AS377" s="1" t="s">
        <v>74</v>
      </c>
      <c r="AT377" s="1" t="s">
        <v>382</v>
      </c>
      <c r="AU377" s="1">
        <v>2024.0</v>
      </c>
      <c r="AV377" s="1">
        <v>17.0</v>
      </c>
      <c r="AW377" s="1">
        <v>1.0</v>
      </c>
      <c r="AX377" s="1" t="s">
        <v>74</v>
      </c>
      <c r="AY377" s="1" t="s">
        <v>74</v>
      </c>
      <c r="AZ377" s="1" t="s">
        <v>74</v>
      </c>
      <c r="BA377" s="1" t="s">
        <v>74</v>
      </c>
      <c r="BB377" s="1" t="s">
        <v>74</v>
      </c>
      <c r="BC377" s="1" t="s">
        <v>74</v>
      </c>
      <c r="BD377" s="1" t="s">
        <v>74</v>
      </c>
      <c r="BE377" s="1" t="s">
        <v>3432</v>
      </c>
      <c r="BF377" s="2" t="str">
        <f>HYPERLINK("http://dx.doi.org/10.56754/0718-4867.2024.3390","http://dx.doi.org/10.56754/0718-4867.2024.3390")</f>
        <v>http://dx.doi.org/10.56754/0718-4867.2024.3390</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3433</v>
      </c>
      <c r="BT377" s="1" t="str">
        <f>HYPERLINK("https%3A%2F%2Fwww.webofscience.com%2Fwos%2Fwoscc%2Ffull-record%2FWOS:001259190800009","View Full Record in Web of Science")</f>
        <v>View Full Record in Web of Science</v>
      </c>
    </row>
    <row r="378" ht="12.75" customHeight="1">
      <c r="A378" s="1" t="s">
        <v>72</v>
      </c>
      <c r="B378" s="1" t="s">
        <v>3129</v>
      </c>
      <c r="C378" s="1" t="s">
        <v>74</v>
      </c>
      <c r="D378" s="1" t="s">
        <v>74</v>
      </c>
      <c r="E378" s="1" t="s">
        <v>74</v>
      </c>
      <c r="F378" s="1" t="s">
        <v>3130</v>
      </c>
      <c r="G378" s="1" t="s">
        <v>74</v>
      </c>
      <c r="H378" s="1" t="s">
        <v>74</v>
      </c>
      <c r="I378" s="1" t="s">
        <v>3434</v>
      </c>
      <c r="J378" s="1" t="s">
        <v>89</v>
      </c>
      <c r="K378" s="1" t="s">
        <v>74</v>
      </c>
      <c r="L378" s="1" t="s">
        <v>74</v>
      </c>
      <c r="M378" s="1" t="s">
        <v>74</v>
      </c>
      <c r="N378" s="1" t="s">
        <v>74</v>
      </c>
      <c r="O378" s="1" t="s">
        <v>74</v>
      </c>
      <c r="P378" s="1" t="s">
        <v>74</v>
      </c>
      <c r="Q378" s="1" t="s">
        <v>74</v>
      </c>
      <c r="R378" s="1" t="s">
        <v>74</v>
      </c>
      <c r="S378" s="1" t="s">
        <v>74</v>
      </c>
      <c r="T378" s="1" t="s">
        <v>74</v>
      </c>
      <c r="U378" s="1" t="s">
        <v>74</v>
      </c>
      <c r="V378" s="1" t="s">
        <v>74</v>
      </c>
      <c r="W378" s="1" t="s">
        <v>74</v>
      </c>
      <c r="X378" s="1" t="s">
        <v>74</v>
      </c>
      <c r="Y378" s="1" t="s">
        <v>74</v>
      </c>
      <c r="Z378" s="1" t="s">
        <v>74</v>
      </c>
      <c r="AA378" s="1" t="s">
        <v>74</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90</v>
      </c>
      <c r="AP378" s="1" t="s">
        <v>74</v>
      </c>
      <c r="AQ378" s="1" t="s">
        <v>74</v>
      </c>
      <c r="AR378" s="1" t="s">
        <v>74</v>
      </c>
      <c r="AS378" s="1" t="s">
        <v>74</v>
      </c>
      <c r="AT378" s="1" t="s">
        <v>158</v>
      </c>
      <c r="AU378" s="1">
        <v>2023.0</v>
      </c>
      <c r="AV378" s="1" t="s">
        <v>74</v>
      </c>
      <c r="AW378" s="1">
        <v>527.0</v>
      </c>
      <c r="AX378" s="1" t="s">
        <v>74</v>
      </c>
      <c r="AY378" s="1" t="s">
        <v>74</v>
      </c>
      <c r="AZ378" s="1" t="s">
        <v>74</v>
      </c>
      <c r="BA378" s="1" t="s">
        <v>74</v>
      </c>
      <c r="BB378" s="1">
        <v>309.0</v>
      </c>
      <c r="BC378" s="1">
        <v>315.0</v>
      </c>
      <c r="BD378" s="1" t="s">
        <v>74</v>
      </c>
      <c r="BE378" s="1" t="s">
        <v>3435</v>
      </c>
      <c r="BF378" s="2" t="str">
        <f>HYPERLINK("http://dx.doi.org/10.29393/At527-17IMNN10017","http://dx.doi.org/10.29393/At527-17IMNN10017")</f>
        <v>http://dx.doi.org/10.29393/At527-17IMNN10017</v>
      </c>
      <c r="BG378" s="1" t="s">
        <v>74</v>
      </c>
      <c r="BH378" s="1" t="s">
        <v>74</v>
      </c>
      <c r="BI378" s="1" t="s">
        <v>74</v>
      </c>
      <c r="BJ378" s="1" t="s">
        <v>74</v>
      </c>
      <c r="BK378" s="1" t="s">
        <v>74</v>
      </c>
      <c r="BL378" s="1" t="s">
        <v>74</v>
      </c>
      <c r="BM378" s="1" t="s">
        <v>74</v>
      </c>
      <c r="BN378" s="1" t="s">
        <v>74</v>
      </c>
      <c r="BO378" s="1" t="s">
        <v>74</v>
      </c>
      <c r="BP378" s="1" t="s">
        <v>74</v>
      </c>
      <c r="BQ378" s="1" t="s">
        <v>74</v>
      </c>
      <c r="BR378" s="1" t="s">
        <v>74</v>
      </c>
      <c r="BS378" s="1" t="s">
        <v>3436</v>
      </c>
      <c r="BT378" s="1" t="str">
        <f>HYPERLINK("https%3A%2F%2Fwww.webofscience.com%2Fwos%2Fwoscc%2Ffull-record%2FWOS:001109110100005","View Full Record in Web of Science")</f>
        <v>View Full Record in Web of Science</v>
      </c>
    </row>
    <row r="379" ht="12.75" customHeight="1">
      <c r="A379" s="1" t="s">
        <v>72</v>
      </c>
      <c r="B379" s="1" t="s">
        <v>3437</v>
      </c>
      <c r="C379" s="1" t="s">
        <v>74</v>
      </c>
      <c r="D379" s="1" t="s">
        <v>74</v>
      </c>
      <c r="E379" s="1" t="s">
        <v>74</v>
      </c>
      <c r="F379" s="1" t="s">
        <v>3438</v>
      </c>
      <c r="G379" s="1" t="s">
        <v>74</v>
      </c>
      <c r="H379" s="1" t="s">
        <v>74</v>
      </c>
      <c r="I379" s="1" t="s">
        <v>3439</v>
      </c>
      <c r="J379" s="1" t="s">
        <v>3440</v>
      </c>
      <c r="K379" s="1" t="s">
        <v>74</v>
      </c>
      <c r="L379" s="1" t="s">
        <v>74</v>
      </c>
      <c r="M379" s="1" t="s">
        <v>74</v>
      </c>
      <c r="N379" s="1" t="s">
        <v>74</v>
      </c>
      <c r="O379" s="1" t="s">
        <v>74</v>
      </c>
      <c r="P379" s="1" t="s">
        <v>74</v>
      </c>
      <c r="Q379" s="1" t="s">
        <v>74</v>
      </c>
      <c r="R379" s="1" t="s">
        <v>74</v>
      </c>
      <c r="S379" s="1" t="s">
        <v>74</v>
      </c>
      <c r="T379" s="1" t="s">
        <v>74</v>
      </c>
      <c r="U379" s="1" t="s">
        <v>74</v>
      </c>
      <c r="V379" s="1" t="s">
        <v>3441</v>
      </c>
      <c r="W379" s="1" t="s">
        <v>74</v>
      </c>
      <c r="X379" s="1" t="s">
        <v>74</v>
      </c>
      <c r="Y379" s="1" t="s">
        <v>74</v>
      </c>
      <c r="Z379" s="1" t="s">
        <v>74</v>
      </c>
      <c r="AA379" s="1" t="s">
        <v>3442</v>
      </c>
      <c r="AB379" s="1" t="s">
        <v>3443</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3444</v>
      </c>
      <c r="AP379" s="1" t="s">
        <v>74</v>
      </c>
      <c r="AQ379" s="1" t="s">
        <v>74</v>
      </c>
      <c r="AR379" s="1" t="s">
        <v>74</v>
      </c>
      <c r="AS379" s="1" t="s">
        <v>74</v>
      </c>
      <c r="AT379" s="1" t="s">
        <v>974</v>
      </c>
      <c r="AU379" s="1">
        <v>2023.0</v>
      </c>
      <c r="AV379" s="1">
        <v>40.0</v>
      </c>
      <c r="AW379" s="1" t="s">
        <v>74</v>
      </c>
      <c r="AX379" s="1" t="s">
        <v>74</v>
      </c>
      <c r="AY379" s="1" t="s">
        <v>74</v>
      </c>
      <c r="AZ379" s="1" t="s">
        <v>74</v>
      </c>
      <c r="BA379" s="1" t="s">
        <v>74</v>
      </c>
      <c r="BB379" s="1" t="s">
        <v>74</v>
      </c>
      <c r="BC379" s="1" t="s">
        <v>74</v>
      </c>
      <c r="BD379" s="1">
        <v>103002.0</v>
      </c>
      <c r="BE379" s="1" t="s">
        <v>3445</v>
      </c>
      <c r="BF379" s="2" t="str">
        <f>HYPERLINK("http://dx.doi.org/10.1016/j.surfin.2023.103002","http://dx.doi.org/10.1016/j.surfin.2023.103002")</f>
        <v>http://dx.doi.org/10.1016/j.surfin.2023.103002</v>
      </c>
      <c r="BG379" s="1" t="s">
        <v>74</v>
      </c>
      <c r="BH379" s="1" t="s">
        <v>1876</v>
      </c>
      <c r="BI379" s="1" t="s">
        <v>74</v>
      </c>
      <c r="BJ379" s="1" t="s">
        <v>74</v>
      </c>
      <c r="BK379" s="1" t="s">
        <v>74</v>
      </c>
      <c r="BL379" s="1" t="s">
        <v>74</v>
      </c>
      <c r="BM379" s="1" t="s">
        <v>74</v>
      </c>
      <c r="BN379" s="1" t="s">
        <v>74</v>
      </c>
      <c r="BO379" s="1" t="s">
        <v>74</v>
      </c>
      <c r="BP379" s="1" t="s">
        <v>74</v>
      </c>
      <c r="BQ379" s="1" t="s">
        <v>74</v>
      </c>
      <c r="BR379" s="1" t="s">
        <v>74</v>
      </c>
      <c r="BS379" s="1" t="s">
        <v>3446</v>
      </c>
      <c r="BT379" s="1" t="str">
        <f>HYPERLINK("https%3A%2F%2Fwww.webofscience.com%2Fwos%2Fwoscc%2Ffull-record%2FWOS:001027554800001","View Full Record in Web of Science")</f>
        <v>View Full Record in Web of Science</v>
      </c>
    </row>
    <row r="380" ht="12.75" customHeight="1">
      <c r="A380" s="1" t="s">
        <v>72</v>
      </c>
      <c r="B380" s="1" t="s">
        <v>427</v>
      </c>
      <c r="C380" s="1" t="s">
        <v>74</v>
      </c>
      <c r="D380" s="1" t="s">
        <v>74</v>
      </c>
      <c r="E380" s="1" t="s">
        <v>74</v>
      </c>
      <c r="F380" s="1" t="s">
        <v>3447</v>
      </c>
      <c r="G380" s="1" t="s">
        <v>74</v>
      </c>
      <c r="H380" s="1" t="s">
        <v>74</v>
      </c>
      <c r="I380" s="1" t="s">
        <v>3448</v>
      </c>
      <c r="J380" s="1" t="s">
        <v>430</v>
      </c>
      <c r="K380" s="1" t="s">
        <v>74</v>
      </c>
      <c r="L380" s="1" t="s">
        <v>74</v>
      </c>
      <c r="M380" s="1" t="s">
        <v>74</v>
      </c>
      <c r="N380" s="1" t="s">
        <v>74</v>
      </c>
      <c r="O380" s="1" t="s">
        <v>74</v>
      </c>
      <c r="P380" s="1" t="s">
        <v>74</v>
      </c>
      <c r="Q380" s="1" t="s">
        <v>74</v>
      </c>
      <c r="R380" s="1" t="s">
        <v>74</v>
      </c>
      <c r="S380" s="1" t="s">
        <v>74</v>
      </c>
      <c r="T380" s="1" t="s">
        <v>74</v>
      </c>
      <c r="U380" s="1" t="s">
        <v>74</v>
      </c>
      <c r="V380" s="1" t="s">
        <v>3449</v>
      </c>
      <c r="W380" s="1" t="s">
        <v>74</v>
      </c>
      <c r="X380" s="1" t="s">
        <v>74</v>
      </c>
      <c r="Y380" s="1" t="s">
        <v>74</v>
      </c>
      <c r="Z380" s="1" t="s">
        <v>74</v>
      </c>
      <c r="AA380" s="1" t="s">
        <v>74</v>
      </c>
      <c r="AB380" s="1" t="s">
        <v>3450</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432</v>
      </c>
      <c r="AP380" s="1" t="s">
        <v>3451</v>
      </c>
      <c r="AQ380" s="1" t="s">
        <v>74</v>
      </c>
      <c r="AR380" s="1" t="s">
        <v>74</v>
      </c>
      <c r="AS380" s="1" t="s">
        <v>74</v>
      </c>
      <c r="AT380" s="1" t="s">
        <v>3452</v>
      </c>
      <c r="AU380" s="1">
        <v>2024.0</v>
      </c>
      <c r="AV380" s="1">
        <v>53.0</v>
      </c>
      <c r="AW380" s="1">
        <v>8.0</v>
      </c>
      <c r="AX380" s="1" t="s">
        <v>74</v>
      </c>
      <c r="AY380" s="1" t="s">
        <v>74</v>
      </c>
      <c r="AZ380" s="1" t="s">
        <v>74</v>
      </c>
      <c r="BA380" s="1" t="s">
        <v>74</v>
      </c>
      <c r="BB380" s="1">
        <v>2649.0</v>
      </c>
      <c r="BC380" s="1">
        <v>2661.0</v>
      </c>
      <c r="BD380" s="1" t="s">
        <v>74</v>
      </c>
      <c r="BE380" s="1" t="s">
        <v>3453</v>
      </c>
      <c r="BF380" s="2" t="str">
        <f>HYPERLINK("http://dx.doi.org/10.1108/K-11-2022-1566","http://dx.doi.org/10.1108/K-11-2022-1566")</f>
        <v>http://dx.doi.org/10.1108/K-11-2022-1566</v>
      </c>
      <c r="BG380" s="1" t="s">
        <v>74</v>
      </c>
      <c r="BH380" s="1" t="s">
        <v>3454</v>
      </c>
      <c r="BI380" s="1" t="s">
        <v>74</v>
      </c>
      <c r="BJ380" s="1" t="s">
        <v>74</v>
      </c>
      <c r="BK380" s="1" t="s">
        <v>74</v>
      </c>
      <c r="BL380" s="1" t="s">
        <v>74</v>
      </c>
      <c r="BM380" s="1" t="s">
        <v>74</v>
      </c>
      <c r="BN380" s="1" t="s">
        <v>74</v>
      </c>
      <c r="BO380" s="1" t="s">
        <v>74</v>
      </c>
      <c r="BP380" s="1" t="s">
        <v>74</v>
      </c>
      <c r="BQ380" s="1" t="s">
        <v>74</v>
      </c>
      <c r="BR380" s="1" t="s">
        <v>74</v>
      </c>
      <c r="BS380" s="1" t="s">
        <v>3455</v>
      </c>
      <c r="BT380" s="1" t="str">
        <f>HYPERLINK("https%3A%2F%2Fwww.webofscience.com%2Fwos%2Fwoscc%2Ffull-record%2FWOS:000965119000001","View Full Record in Web of Science")</f>
        <v>View Full Record in Web of Science</v>
      </c>
    </row>
    <row r="381" ht="12.75" customHeight="1">
      <c r="A381" s="1" t="s">
        <v>72</v>
      </c>
      <c r="B381" s="1" t="s">
        <v>3456</v>
      </c>
      <c r="C381" s="1" t="s">
        <v>74</v>
      </c>
      <c r="D381" s="1" t="s">
        <v>74</v>
      </c>
      <c r="E381" s="1" t="s">
        <v>74</v>
      </c>
      <c r="F381" s="1" t="s">
        <v>3457</v>
      </c>
      <c r="G381" s="1" t="s">
        <v>74</v>
      </c>
      <c r="H381" s="1" t="s">
        <v>74</v>
      </c>
      <c r="I381" s="1" t="s">
        <v>3458</v>
      </c>
      <c r="J381" s="1" t="s">
        <v>3459</v>
      </c>
      <c r="K381" s="1" t="s">
        <v>74</v>
      </c>
      <c r="L381" s="1" t="s">
        <v>74</v>
      </c>
      <c r="M381" s="1" t="s">
        <v>74</v>
      </c>
      <c r="N381" s="1" t="s">
        <v>74</v>
      </c>
      <c r="O381" s="1" t="s">
        <v>74</v>
      </c>
      <c r="P381" s="1" t="s">
        <v>74</v>
      </c>
      <c r="Q381" s="1" t="s">
        <v>74</v>
      </c>
      <c r="R381" s="1" t="s">
        <v>74</v>
      </c>
      <c r="S381" s="1" t="s">
        <v>74</v>
      </c>
      <c r="T381" s="1" t="s">
        <v>74</v>
      </c>
      <c r="U381" s="1" t="s">
        <v>74</v>
      </c>
      <c r="V381" s="1" t="s">
        <v>3460</v>
      </c>
      <c r="W381" s="1" t="s">
        <v>74</v>
      </c>
      <c r="X381" s="1" t="s">
        <v>74</v>
      </c>
      <c r="Y381" s="1" t="s">
        <v>74</v>
      </c>
      <c r="Z381" s="1" t="s">
        <v>74</v>
      </c>
      <c r="AA381" s="1" t="s">
        <v>3461</v>
      </c>
      <c r="AB381" s="1" t="s">
        <v>3462</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74</v>
      </c>
      <c r="AP381" s="1" t="s">
        <v>3463</v>
      </c>
      <c r="AQ381" s="1" t="s">
        <v>74</v>
      </c>
      <c r="AR381" s="1" t="s">
        <v>74</v>
      </c>
      <c r="AS381" s="1" t="s">
        <v>74</v>
      </c>
      <c r="AT381" s="1" t="s">
        <v>193</v>
      </c>
      <c r="AU381" s="1">
        <v>2023.0</v>
      </c>
      <c r="AV381" s="1">
        <v>8.0</v>
      </c>
      <c r="AW381" s="1">
        <v>4.0</v>
      </c>
      <c r="AX381" s="1" t="s">
        <v>74</v>
      </c>
      <c r="AY381" s="1" t="s">
        <v>74</v>
      </c>
      <c r="AZ381" s="1" t="s">
        <v>74</v>
      </c>
      <c r="BA381" s="1" t="s">
        <v>74</v>
      </c>
      <c r="BB381" s="1" t="s">
        <v>74</v>
      </c>
      <c r="BC381" s="1" t="s">
        <v>74</v>
      </c>
      <c r="BD381" s="1">
        <v>80.0</v>
      </c>
      <c r="BE381" s="1" t="s">
        <v>3464</v>
      </c>
      <c r="BF381" s="2" t="str">
        <f>HYPERLINK("http://dx.doi.org/10.3390/infrastructures8040080","http://dx.doi.org/10.3390/infrastructures8040080")</f>
        <v>http://dx.doi.org/10.3390/infrastructures8040080</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3465</v>
      </c>
      <c r="BT381" s="1" t="str">
        <f>HYPERLINK("https%3A%2F%2Fwww.webofscience.com%2Fwos%2Fwoscc%2Ffull-record%2FWOS:000984042900001","View Full Record in Web of Science")</f>
        <v>View Full Record in Web of Science</v>
      </c>
    </row>
    <row r="382" ht="12.75" customHeight="1">
      <c r="A382" s="1" t="s">
        <v>72</v>
      </c>
      <c r="B382" s="1" t="s">
        <v>3466</v>
      </c>
      <c r="C382" s="1" t="s">
        <v>74</v>
      </c>
      <c r="D382" s="1" t="s">
        <v>74</v>
      </c>
      <c r="E382" s="1" t="s">
        <v>74</v>
      </c>
      <c r="F382" s="1" t="s">
        <v>3467</v>
      </c>
      <c r="G382" s="1" t="s">
        <v>74</v>
      </c>
      <c r="H382" s="1" t="s">
        <v>74</v>
      </c>
      <c r="I382" s="1" t="s">
        <v>3468</v>
      </c>
      <c r="J382" s="1" t="s">
        <v>2702</v>
      </c>
      <c r="K382" s="1" t="s">
        <v>74</v>
      </c>
      <c r="L382" s="1" t="s">
        <v>74</v>
      </c>
      <c r="M382" s="1" t="s">
        <v>74</v>
      </c>
      <c r="N382" s="1" t="s">
        <v>74</v>
      </c>
      <c r="O382" s="1" t="s">
        <v>74</v>
      </c>
      <c r="P382" s="1" t="s">
        <v>74</v>
      </c>
      <c r="Q382" s="1" t="s">
        <v>74</v>
      </c>
      <c r="R382" s="1" t="s">
        <v>74</v>
      </c>
      <c r="S382" s="1" t="s">
        <v>74</v>
      </c>
      <c r="T382" s="1" t="s">
        <v>74</v>
      </c>
      <c r="U382" s="1" t="s">
        <v>74</v>
      </c>
      <c r="V382" s="1" t="s">
        <v>3469</v>
      </c>
      <c r="W382" s="1" t="s">
        <v>74</v>
      </c>
      <c r="X382" s="1" t="s">
        <v>74</v>
      </c>
      <c r="Y382" s="1" t="s">
        <v>74</v>
      </c>
      <c r="Z382" s="1" t="s">
        <v>74</v>
      </c>
      <c r="AA382" s="1" t="s">
        <v>74</v>
      </c>
      <c r="AB382" s="1" t="s">
        <v>74</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2704</v>
      </c>
      <c r="AP382" s="1" t="s">
        <v>74</v>
      </c>
      <c r="AQ382" s="1" t="s">
        <v>74</v>
      </c>
      <c r="AR382" s="1" t="s">
        <v>74</v>
      </c>
      <c r="AS382" s="1" t="s">
        <v>74</v>
      </c>
      <c r="AT382" s="1" t="s">
        <v>82</v>
      </c>
      <c r="AU382" s="1">
        <v>2022.0</v>
      </c>
      <c r="AV382" s="1">
        <v>47.0</v>
      </c>
      <c r="AW382" s="1" t="s">
        <v>74</v>
      </c>
      <c r="AX382" s="1" t="s">
        <v>74</v>
      </c>
      <c r="AY382" s="1" t="s">
        <v>74</v>
      </c>
      <c r="AZ382" s="1" t="s">
        <v>74</v>
      </c>
      <c r="BA382" s="1" t="s">
        <v>74</v>
      </c>
      <c r="BB382" s="1">
        <v>3.0</v>
      </c>
      <c r="BC382" s="1">
        <v>20.0</v>
      </c>
      <c r="BD382" s="1" t="s">
        <v>74</v>
      </c>
      <c r="BE382" s="1" t="s">
        <v>3470</v>
      </c>
      <c r="BF382" s="2" t="str">
        <f>HYPERLINK("http://dx.doi.org/10.5354/0717-5051.2022.65965","http://dx.doi.org/10.5354/0717-5051.2022.65965")</f>
        <v>http://dx.doi.org/10.5354/0717-5051.2022.65965</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3471</v>
      </c>
      <c r="BT382" s="1" t="str">
        <f>HYPERLINK("https%3A%2F%2Fwww.webofscience.com%2Fwos%2Fwoscc%2Ffull-record%2FWOS:000926158600002","View Full Record in Web of Science")</f>
        <v>View Full Record in Web of Science</v>
      </c>
    </row>
    <row r="383" ht="12.75" customHeight="1">
      <c r="A383" s="1" t="s">
        <v>72</v>
      </c>
      <c r="B383" s="1" t="s">
        <v>2609</v>
      </c>
      <c r="C383" s="1" t="s">
        <v>74</v>
      </c>
      <c r="D383" s="1" t="s">
        <v>74</v>
      </c>
      <c r="E383" s="1" t="s">
        <v>74</v>
      </c>
      <c r="F383" s="1" t="s">
        <v>2610</v>
      </c>
      <c r="G383" s="1" t="s">
        <v>74</v>
      </c>
      <c r="H383" s="1" t="s">
        <v>74</v>
      </c>
      <c r="I383" s="1" t="s">
        <v>3472</v>
      </c>
      <c r="J383" s="1" t="s">
        <v>1276</v>
      </c>
      <c r="K383" s="1" t="s">
        <v>74</v>
      </c>
      <c r="L383" s="1" t="s">
        <v>74</v>
      </c>
      <c r="M383" s="1" t="s">
        <v>74</v>
      </c>
      <c r="N383" s="1" t="s">
        <v>74</v>
      </c>
      <c r="O383" s="1" t="s">
        <v>74</v>
      </c>
      <c r="P383" s="1" t="s">
        <v>74</v>
      </c>
      <c r="Q383" s="1" t="s">
        <v>74</v>
      </c>
      <c r="R383" s="1" t="s">
        <v>74</v>
      </c>
      <c r="S383" s="1" t="s">
        <v>74</v>
      </c>
      <c r="T383" s="1" t="s">
        <v>74</v>
      </c>
      <c r="U383" s="1" t="s">
        <v>74</v>
      </c>
      <c r="V383" s="1" t="s">
        <v>3473</v>
      </c>
      <c r="W383" s="1" t="s">
        <v>74</v>
      </c>
      <c r="X383" s="1" t="s">
        <v>74</v>
      </c>
      <c r="Y383" s="1" t="s">
        <v>74</v>
      </c>
      <c r="Z383" s="1" t="s">
        <v>74</v>
      </c>
      <c r="AA383" s="1" t="s">
        <v>3474</v>
      </c>
      <c r="AB383" s="1" t="s">
        <v>3475</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1280</v>
      </c>
      <c r="AP383" s="1" t="s">
        <v>1281</v>
      </c>
      <c r="AQ383" s="1" t="s">
        <v>74</v>
      </c>
      <c r="AR383" s="1" t="s">
        <v>74</v>
      </c>
      <c r="AS383" s="1" t="s">
        <v>74</v>
      </c>
      <c r="AT383" s="1" t="s">
        <v>3476</v>
      </c>
      <c r="AU383" s="1">
        <v>2024.0</v>
      </c>
      <c r="AV383" s="1">
        <v>31.0</v>
      </c>
      <c r="AW383" s="1">
        <v>4.0</v>
      </c>
      <c r="AX383" s="1" t="s">
        <v>74</v>
      </c>
      <c r="AY383" s="1" t="s">
        <v>74</v>
      </c>
      <c r="AZ383" s="1" t="s">
        <v>74</v>
      </c>
      <c r="BA383" s="1" t="s">
        <v>74</v>
      </c>
      <c r="BB383" s="1">
        <v>338.0</v>
      </c>
      <c r="BC383" s="1">
        <v>345.0</v>
      </c>
      <c r="BD383" s="1" t="s">
        <v>74</v>
      </c>
      <c r="BE383" s="1" t="s">
        <v>3477</v>
      </c>
      <c r="BF383" s="2" t="str">
        <f>HYPERLINK("http://dx.doi.org/10.1080/13504851.2022.2133892","http://dx.doi.org/10.1080/13504851.2022.2133892")</f>
        <v>http://dx.doi.org/10.1080/13504851.2022.2133892</v>
      </c>
      <c r="BG383" s="1" t="s">
        <v>74</v>
      </c>
      <c r="BH383" s="1" t="s">
        <v>2669</v>
      </c>
      <c r="BI383" s="1" t="s">
        <v>74</v>
      </c>
      <c r="BJ383" s="1" t="s">
        <v>74</v>
      </c>
      <c r="BK383" s="1" t="s">
        <v>74</v>
      </c>
      <c r="BL383" s="1" t="s">
        <v>74</v>
      </c>
      <c r="BM383" s="1" t="s">
        <v>74</v>
      </c>
      <c r="BN383" s="1" t="s">
        <v>74</v>
      </c>
      <c r="BO383" s="1" t="s">
        <v>74</v>
      </c>
      <c r="BP383" s="1" t="s">
        <v>74</v>
      </c>
      <c r="BQ383" s="1" t="s">
        <v>74</v>
      </c>
      <c r="BR383" s="1" t="s">
        <v>74</v>
      </c>
      <c r="BS383" s="1" t="s">
        <v>3478</v>
      </c>
      <c r="BT383" s="1" t="str">
        <f>HYPERLINK("https%3A%2F%2Fwww.webofscience.com%2Fwos%2Fwoscc%2Ffull-record%2FWOS:000869215000001","View Full Record in Web of Science")</f>
        <v>View Full Record in Web of Science</v>
      </c>
    </row>
    <row r="384" ht="12.75" customHeight="1">
      <c r="A384" s="1" t="s">
        <v>72</v>
      </c>
      <c r="B384" s="1" t="s">
        <v>3479</v>
      </c>
      <c r="C384" s="1" t="s">
        <v>74</v>
      </c>
      <c r="D384" s="1" t="s">
        <v>74</v>
      </c>
      <c r="E384" s="1" t="s">
        <v>74</v>
      </c>
      <c r="F384" s="1" t="s">
        <v>3480</v>
      </c>
      <c r="G384" s="1" t="s">
        <v>74</v>
      </c>
      <c r="H384" s="1" t="s">
        <v>74</v>
      </c>
      <c r="I384" s="1" t="s">
        <v>3481</v>
      </c>
      <c r="J384" s="1" t="s">
        <v>3482</v>
      </c>
      <c r="K384" s="1" t="s">
        <v>74</v>
      </c>
      <c r="L384" s="1" t="s">
        <v>74</v>
      </c>
      <c r="M384" s="1" t="s">
        <v>74</v>
      </c>
      <c r="N384" s="1" t="s">
        <v>74</v>
      </c>
      <c r="O384" s="1" t="s">
        <v>74</v>
      </c>
      <c r="P384" s="1" t="s">
        <v>74</v>
      </c>
      <c r="Q384" s="1" t="s">
        <v>74</v>
      </c>
      <c r="R384" s="1" t="s">
        <v>74</v>
      </c>
      <c r="S384" s="1" t="s">
        <v>74</v>
      </c>
      <c r="T384" s="1" t="s">
        <v>74</v>
      </c>
      <c r="U384" s="1" t="s">
        <v>74</v>
      </c>
      <c r="V384" s="1" t="s">
        <v>3483</v>
      </c>
      <c r="W384" s="1" t="s">
        <v>74</v>
      </c>
      <c r="X384" s="1" t="s">
        <v>74</v>
      </c>
      <c r="Y384" s="1" t="s">
        <v>74</v>
      </c>
      <c r="Z384" s="1" t="s">
        <v>74</v>
      </c>
      <c r="AA384" s="1" t="s">
        <v>74</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3484</v>
      </c>
      <c r="AP384" s="1" t="s">
        <v>3485</v>
      </c>
      <c r="AQ384" s="1" t="s">
        <v>74</v>
      </c>
      <c r="AR384" s="1" t="s">
        <v>74</v>
      </c>
      <c r="AS384" s="1" t="s">
        <v>74</v>
      </c>
      <c r="AT384" s="1" t="s">
        <v>148</v>
      </c>
      <c r="AU384" s="1">
        <v>2022.0</v>
      </c>
      <c r="AV384" s="1">
        <v>12.0</v>
      </c>
      <c r="AW384" s="1">
        <v>2.0</v>
      </c>
      <c r="AX384" s="1" t="s">
        <v>74</v>
      </c>
      <c r="AY384" s="1" t="s">
        <v>74</v>
      </c>
      <c r="AZ384" s="1" t="s">
        <v>74</v>
      </c>
      <c r="BA384" s="1" t="s">
        <v>74</v>
      </c>
      <c r="BB384" s="1">
        <v>155.0</v>
      </c>
      <c r="BC384" s="1">
        <v>188.0</v>
      </c>
      <c r="BD384" s="1" t="s">
        <v>74</v>
      </c>
      <c r="BE384" s="1" t="s">
        <v>74</v>
      </c>
      <c r="BF384" s="1" t="s">
        <v>74</v>
      </c>
      <c r="BG384" s="1" t="s">
        <v>74</v>
      </c>
      <c r="BH384" s="1" t="s">
        <v>74</v>
      </c>
      <c r="BI384" s="1" t="s">
        <v>74</v>
      </c>
      <c r="BJ384" s="1" t="s">
        <v>74</v>
      </c>
      <c r="BK384" s="1" t="s">
        <v>74</v>
      </c>
      <c r="BL384" s="1" t="s">
        <v>74</v>
      </c>
      <c r="BM384" s="1" t="s">
        <v>74</v>
      </c>
      <c r="BN384" s="1" t="s">
        <v>74</v>
      </c>
      <c r="BO384" s="1" t="s">
        <v>74</v>
      </c>
      <c r="BP384" s="1" t="s">
        <v>74</v>
      </c>
      <c r="BQ384" s="1" t="s">
        <v>74</v>
      </c>
      <c r="BR384" s="1" t="s">
        <v>74</v>
      </c>
      <c r="BS384" s="1" t="s">
        <v>3486</v>
      </c>
      <c r="BT384" s="1" t="str">
        <f>HYPERLINK("https%3A%2F%2Fwww.webofscience.com%2Fwos%2Fwoscc%2Ffull-record%2FWOS:000937012300006","View Full Record in Web of Science")</f>
        <v>View Full Record in Web of Science</v>
      </c>
    </row>
    <row r="385" ht="12.75" customHeight="1">
      <c r="A385" s="1" t="s">
        <v>72</v>
      </c>
      <c r="B385" s="1" t="s">
        <v>3487</v>
      </c>
      <c r="C385" s="1" t="s">
        <v>74</v>
      </c>
      <c r="D385" s="1" t="s">
        <v>74</v>
      </c>
      <c r="E385" s="1" t="s">
        <v>74</v>
      </c>
      <c r="F385" s="1" t="s">
        <v>3488</v>
      </c>
      <c r="G385" s="1" t="s">
        <v>74</v>
      </c>
      <c r="H385" s="1" t="s">
        <v>74</v>
      </c>
      <c r="I385" s="1" t="s">
        <v>3489</v>
      </c>
      <c r="J385" s="1" t="s">
        <v>176</v>
      </c>
      <c r="K385" s="1" t="s">
        <v>74</v>
      </c>
      <c r="L385" s="1" t="s">
        <v>74</v>
      </c>
      <c r="M385" s="1" t="s">
        <v>74</v>
      </c>
      <c r="N385" s="1" t="s">
        <v>74</v>
      </c>
      <c r="O385" s="1" t="s">
        <v>74</v>
      </c>
      <c r="P385" s="1" t="s">
        <v>74</v>
      </c>
      <c r="Q385" s="1" t="s">
        <v>74</v>
      </c>
      <c r="R385" s="1" t="s">
        <v>74</v>
      </c>
      <c r="S385" s="1" t="s">
        <v>74</v>
      </c>
      <c r="T385" s="1" t="s">
        <v>74</v>
      </c>
      <c r="U385" s="1" t="s">
        <v>74</v>
      </c>
      <c r="V385" s="1" t="s">
        <v>3490</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178</v>
      </c>
      <c r="AP385" s="1" t="s">
        <v>74</v>
      </c>
      <c r="AQ385" s="1" t="s">
        <v>74</v>
      </c>
      <c r="AR385" s="1" t="s">
        <v>74</v>
      </c>
      <c r="AS385" s="1" t="s">
        <v>74</v>
      </c>
      <c r="AT385" s="1" t="s">
        <v>91</v>
      </c>
      <c r="AU385" s="1">
        <v>2022.0</v>
      </c>
      <c r="AV385" s="1">
        <v>51.0</v>
      </c>
      <c r="AW385" s="1" t="s">
        <v>74</v>
      </c>
      <c r="AX385" s="1" t="s">
        <v>74</v>
      </c>
      <c r="AY385" s="1" t="s">
        <v>74</v>
      </c>
      <c r="AZ385" s="1" t="s">
        <v>74</v>
      </c>
      <c r="BA385" s="1" t="s">
        <v>74</v>
      </c>
      <c r="BB385" s="1" t="s">
        <v>74</v>
      </c>
      <c r="BC385" s="1" t="s">
        <v>74</v>
      </c>
      <c r="BD385" s="1" t="s">
        <v>74</v>
      </c>
      <c r="BE385" s="1" t="s">
        <v>74</v>
      </c>
      <c r="BF385" s="1" t="s">
        <v>74</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3491</v>
      </c>
      <c r="BT385" s="1" t="str">
        <f>HYPERLINK("https%3A%2F%2Fwww.webofscience.com%2Fwos%2Fwoscc%2Ffull-record%2FWOS:000826968400001","View Full Record in Web of Science")</f>
        <v>View Full Record in Web of Science</v>
      </c>
    </row>
    <row r="386" ht="12.75" customHeight="1">
      <c r="A386" s="1" t="s">
        <v>72</v>
      </c>
      <c r="B386" s="1" t="s">
        <v>3492</v>
      </c>
      <c r="C386" s="1" t="s">
        <v>74</v>
      </c>
      <c r="D386" s="1" t="s">
        <v>74</v>
      </c>
      <c r="E386" s="1" t="s">
        <v>74</v>
      </c>
      <c r="F386" s="1" t="s">
        <v>3493</v>
      </c>
      <c r="G386" s="1" t="s">
        <v>74</v>
      </c>
      <c r="H386" s="1" t="s">
        <v>74</v>
      </c>
      <c r="I386" s="1" t="s">
        <v>3494</v>
      </c>
      <c r="J386" s="1" t="s">
        <v>145</v>
      </c>
      <c r="K386" s="1" t="s">
        <v>74</v>
      </c>
      <c r="L386" s="1" t="s">
        <v>74</v>
      </c>
      <c r="M386" s="1" t="s">
        <v>74</v>
      </c>
      <c r="N386" s="1" t="s">
        <v>74</v>
      </c>
      <c r="O386" s="1" t="s">
        <v>74</v>
      </c>
      <c r="P386" s="1" t="s">
        <v>74</v>
      </c>
      <c r="Q386" s="1" t="s">
        <v>74</v>
      </c>
      <c r="R386" s="1" t="s">
        <v>74</v>
      </c>
      <c r="S386" s="1" t="s">
        <v>74</v>
      </c>
      <c r="T386" s="1" t="s">
        <v>74</v>
      </c>
      <c r="U386" s="1" t="s">
        <v>74</v>
      </c>
      <c r="V386" s="1" t="s">
        <v>3495</v>
      </c>
      <c r="W386" s="1" t="s">
        <v>74</v>
      </c>
      <c r="X386" s="1" t="s">
        <v>74</v>
      </c>
      <c r="Y386" s="1" t="s">
        <v>74</v>
      </c>
      <c r="Z386" s="1" t="s">
        <v>74</v>
      </c>
      <c r="AA386" s="1" t="s">
        <v>74</v>
      </c>
      <c r="AB386" s="1" t="s">
        <v>74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147</v>
      </c>
      <c r="AP386" s="1" t="s">
        <v>74</v>
      </c>
      <c r="AQ386" s="1" t="s">
        <v>74</v>
      </c>
      <c r="AR386" s="1" t="s">
        <v>74</v>
      </c>
      <c r="AS386" s="1" t="s">
        <v>74</v>
      </c>
      <c r="AT386" s="1" t="s">
        <v>148</v>
      </c>
      <c r="AU386" s="1">
        <v>2022.0</v>
      </c>
      <c r="AV386" s="1">
        <v>13.0</v>
      </c>
      <c r="AW386" s="1">
        <v>2.0</v>
      </c>
      <c r="AX386" s="1" t="s">
        <v>74</v>
      </c>
      <c r="AY386" s="1" t="s">
        <v>74</v>
      </c>
      <c r="AZ386" s="1" t="s">
        <v>74</v>
      </c>
      <c r="BA386" s="1" t="s">
        <v>74</v>
      </c>
      <c r="BB386" s="1">
        <v>20.0</v>
      </c>
      <c r="BC386" s="1">
        <v>39.0</v>
      </c>
      <c r="BD386" s="1" t="s">
        <v>3496</v>
      </c>
      <c r="BE386" s="1" t="s">
        <v>74</v>
      </c>
      <c r="BF386" s="1" t="s">
        <v>74</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3497</v>
      </c>
      <c r="BT386" s="1" t="str">
        <f>HYPERLINK("https%3A%2F%2Fwww.webofscience.com%2Fwos%2Fwoscc%2Ffull-record%2FWOS:000964706500001","View Full Record in Web of Science")</f>
        <v>View Full Record in Web of Science</v>
      </c>
    </row>
    <row r="387" ht="12.75" customHeight="1">
      <c r="A387" s="1" t="s">
        <v>72</v>
      </c>
      <c r="B387" s="1" t="s">
        <v>3498</v>
      </c>
      <c r="C387" s="1" t="s">
        <v>74</v>
      </c>
      <c r="D387" s="1" t="s">
        <v>74</v>
      </c>
      <c r="E387" s="1" t="s">
        <v>74</v>
      </c>
      <c r="F387" s="1" t="s">
        <v>3499</v>
      </c>
      <c r="G387" s="1" t="s">
        <v>74</v>
      </c>
      <c r="H387" s="1" t="s">
        <v>74</v>
      </c>
      <c r="I387" s="1" t="s">
        <v>3500</v>
      </c>
      <c r="J387" s="1" t="s">
        <v>176</v>
      </c>
      <c r="K387" s="1" t="s">
        <v>74</v>
      </c>
      <c r="L387" s="1" t="s">
        <v>74</v>
      </c>
      <c r="M387" s="1" t="s">
        <v>74</v>
      </c>
      <c r="N387" s="1" t="s">
        <v>74</v>
      </c>
      <c r="O387" s="1" t="s">
        <v>74</v>
      </c>
      <c r="P387" s="1" t="s">
        <v>74</v>
      </c>
      <c r="Q387" s="1" t="s">
        <v>74</v>
      </c>
      <c r="R387" s="1" t="s">
        <v>74</v>
      </c>
      <c r="S387" s="1" t="s">
        <v>74</v>
      </c>
      <c r="T387" s="1" t="s">
        <v>74</v>
      </c>
      <c r="U387" s="1" t="s">
        <v>74</v>
      </c>
      <c r="V387" s="1" t="s">
        <v>3501</v>
      </c>
      <c r="W387" s="1" t="s">
        <v>74</v>
      </c>
      <c r="X387" s="1" t="s">
        <v>74</v>
      </c>
      <c r="Y387" s="1" t="s">
        <v>74</v>
      </c>
      <c r="Z387" s="1" t="s">
        <v>74</v>
      </c>
      <c r="AA387" s="1" t="s">
        <v>74</v>
      </c>
      <c r="AB387" s="1" t="s">
        <v>74</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178</v>
      </c>
      <c r="AP387" s="1" t="s">
        <v>74</v>
      </c>
      <c r="AQ387" s="1" t="s">
        <v>74</v>
      </c>
      <c r="AR387" s="1" t="s">
        <v>74</v>
      </c>
      <c r="AS387" s="1" t="s">
        <v>74</v>
      </c>
      <c r="AT387" s="1" t="s">
        <v>91</v>
      </c>
      <c r="AU387" s="1">
        <v>2022.0</v>
      </c>
      <c r="AV387" s="1">
        <v>51.0</v>
      </c>
      <c r="AW387" s="1" t="s">
        <v>74</v>
      </c>
      <c r="AX387" s="1" t="s">
        <v>74</v>
      </c>
      <c r="AY387" s="1" t="s">
        <v>74</v>
      </c>
      <c r="AZ387" s="1" t="s">
        <v>74</v>
      </c>
      <c r="BA387" s="1" t="s">
        <v>74</v>
      </c>
      <c r="BB387" s="1" t="s">
        <v>74</v>
      </c>
      <c r="BC387" s="1" t="s">
        <v>74</v>
      </c>
      <c r="BD387" s="1" t="s">
        <v>74</v>
      </c>
      <c r="BE387" s="1" t="s">
        <v>74</v>
      </c>
      <c r="BF387" s="1" t="s">
        <v>74</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3502</v>
      </c>
      <c r="BT387" s="1" t="str">
        <f>HYPERLINK("https%3A%2F%2Fwww.webofscience.com%2Fwos%2Fwoscc%2Ffull-record%2FWOS:000826968400002","View Full Record in Web of Science")</f>
        <v>View Full Record in Web of Science</v>
      </c>
    </row>
    <row r="388" ht="12.75" customHeight="1">
      <c r="A388" s="1" t="s">
        <v>72</v>
      </c>
      <c r="B388" s="1" t="s">
        <v>3503</v>
      </c>
      <c r="C388" s="1" t="s">
        <v>74</v>
      </c>
      <c r="D388" s="1" t="s">
        <v>74</v>
      </c>
      <c r="E388" s="1" t="s">
        <v>74</v>
      </c>
      <c r="F388" s="1" t="s">
        <v>3504</v>
      </c>
      <c r="G388" s="1" t="s">
        <v>74</v>
      </c>
      <c r="H388" s="1" t="s">
        <v>74</v>
      </c>
      <c r="I388" s="1" t="s">
        <v>3505</v>
      </c>
      <c r="J388" s="1" t="s">
        <v>3506</v>
      </c>
      <c r="K388" s="1" t="s">
        <v>74</v>
      </c>
      <c r="L388" s="1" t="s">
        <v>74</v>
      </c>
      <c r="M388" s="1" t="s">
        <v>74</v>
      </c>
      <c r="N388" s="1" t="s">
        <v>74</v>
      </c>
      <c r="O388" s="1" t="s">
        <v>74</v>
      </c>
      <c r="P388" s="1" t="s">
        <v>74</v>
      </c>
      <c r="Q388" s="1" t="s">
        <v>74</v>
      </c>
      <c r="R388" s="1" t="s">
        <v>74</v>
      </c>
      <c r="S388" s="1" t="s">
        <v>74</v>
      </c>
      <c r="T388" s="1" t="s">
        <v>74</v>
      </c>
      <c r="U388" s="1" t="s">
        <v>74</v>
      </c>
      <c r="V388" s="1" t="s">
        <v>3507</v>
      </c>
      <c r="W388" s="1" t="s">
        <v>74</v>
      </c>
      <c r="X388" s="1" t="s">
        <v>74</v>
      </c>
      <c r="Y388" s="1" t="s">
        <v>74</v>
      </c>
      <c r="Z388" s="1" t="s">
        <v>74</v>
      </c>
      <c r="AA388" s="1" t="s">
        <v>74</v>
      </c>
      <c r="AB388" s="1" t="s">
        <v>74</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3508</v>
      </c>
      <c r="AP388" s="1" t="s">
        <v>74</v>
      </c>
      <c r="AQ388" s="1" t="s">
        <v>74</v>
      </c>
      <c r="AR388" s="1" t="s">
        <v>74</v>
      </c>
      <c r="AS388" s="1" t="s">
        <v>74</v>
      </c>
      <c r="AT388" s="1" t="s">
        <v>171</v>
      </c>
      <c r="AU388" s="1">
        <v>2022.0</v>
      </c>
      <c r="AV388" s="1" t="s">
        <v>74</v>
      </c>
      <c r="AW388" s="1">
        <v>17.0</v>
      </c>
      <c r="AX388" s="1" t="s">
        <v>74</v>
      </c>
      <c r="AY388" s="1" t="s">
        <v>74</v>
      </c>
      <c r="AZ388" s="1" t="s">
        <v>74</v>
      </c>
      <c r="BA388" s="1" t="s">
        <v>74</v>
      </c>
      <c r="BB388" s="1">
        <v>113.0</v>
      </c>
      <c r="BC388" s="1">
        <v>143.0</v>
      </c>
      <c r="BD388" s="1" t="s">
        <v>74</v>
      </c>
      <c r="BE388" s="1" t="s">
        <v>74</v>
      </c>
      <c r="BF388" s="1" t="s">
        <v>74</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3509</v>
      </c>
      <c r="BT388" s="1" t="str">
        <f>HYPERLINK("https%3A%2F%2Fwww.webofscience.com%2Fwos%2Fwoscc%2Ffull-record%2FWOS:000822643200005","View Full Record in Web of Science")</f>
        <v>View Full Record in Web of Science</v>
      </c>
    </row>
    <row r="389" ht="12.75" customHeight="1">
      <c r="A389" s="1" t="s">
        <v>72</v>
      </c>
      <c r="B389" s="1" t="s">
        <v>3510</v>
      </c>
      <c r="C389" s="1" t="s">
        <v>74</v>
      </c>
      <c r="D389" s="1" t="s">
        <v>74</v>
      </c>
      <c r="E389" s="1" t="s">
        <v>74</v>
      </c>
      <c r="F389" s="1" t="s">
        <v>3511</v>
      </c>
      <c r="G389" s="1" t="s">
        <v>74</v>
      </c>
      <c r="H389" s="1" t="s">
        <v>74</v>
      </c>
      <c r="I389" s="1" t="s">
        <v>3512</v>
      </c>
      <c r="J389" s="1" t="s">
        <v>3513</v>
      </c>
      <c r="K389" s="1" t="s">
        <v>74</v>
      </c>
      <c r="L389" s="1" t="s">
        <v>74</v>
      </c>
      <c r="M389" s="1" t="s">
        <v>74</v>
      </c>
      <c r="N389" s="1" t="s">
        <v>74</v>
      </c>
      <c r="O389" s="1" t="s">
        <v>74</v>
      </c>
      <c r="P389" s="1" t="s">
        <v>74</v>
      </c>
      <c r="Q389" s="1" t="s">
        <v>74</v>
      </c>
      <c r="R389" s="1" t="s">
        <v>74</v>
      </c>
      <c r="S389" s="1" t="s">
        <v>74</v>
      </c>
      <c r="T389" s="1" t="s">
        <v>74</v>
      </c>
      <c r="U389" s="1" t="s">
        <v>74</v>
      </c>
      <c r="V389" s="1" t="s">
        <v>3514</v>
      </c>
      <c r="W389" s="1" t="s">
        <v>74</v>
      </c>
      <c r="X389" s="1" t="s">
        <v>74</v>
      </c>
      <c r="Y389" s="1" t="s">
        <v>74</v>
      </c>
      <c r="Z389" s="1" t="s">
        <v>74</v>
      </c>
      <c r="AA389" s="1" t="s">
        <v>3515</v>
      </c>
      <c r="AB389" s="1" t="s">
        <v>3516</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3517</v>
      </c>
      <c r="AP389" s="1" t="s">
        <v>3518</v>
      </c>
      <c r="AQ389" s="1" t="s">
        <v>74</v>
      </c>
      <c r="AR389" s="1" t="s">
        <v>74</v>
      </c>
      <c r="AS389" s="1" t="s">
        <v>74</v>
      </c>
      <c r="AT389" s="1" t="s">
        <v>3519</v>
      </c>
      <c r="AU389" s="1">
        <v>2022.0</v>
      </c>
      <c r="AV389" s="1">
        <v>45.0</v>
      </c>
      <c r="AW389" s="1">
        <v>10.0</v>
      </c>
      <c r="AX389" s="1" t="s">
        <v>74</v>
      </c>
      <c r="AY389" s="1" t="s">
        <v>74</v>
      </c>
      <c r="AZ389" s="1" t="s">
        <v>74</v>
      </c>
      <c r="BA389" s="1" t="s">
        <v>74</v>
      </c>
      <c r="BB389" s="1">
        <v>6346.0</v>
      </c>
      <c r="BC389" s="1">
        <v>6377.0</v>
      </c>
      <c r="BD389" s="1" t="s">
        <v>74</v>
      </c>
      <c r="BE389" s="1" t="s">
        <v>3520</v>
      </c>
      <c r="BF389" s="2" t="str">
        <f>HYPERLINK("http://dx.doi.org/10.1002/mma.8174","http://dx.doi.org/10.1002/mma.8174")</f>
        <v>http://dx.doi.org/10.1002/mma.8174</v>
      </c>
      <c r="BG389" s="1" t="s">
        <v>74</v>
      </c>
      <c r="BH389" s="1" t="s">
        <v>3521</v>
      </c>
      <c r="BI389" s="1" t="s">
        <v>74</v>
      </c>
      <c r="BJ389" s="1" t="s">
        <v>74</v>
      </c>
      <c r="BK389" s="1" t="s">
        <v>74</v>
      </c>
      <c r="BL389" s="1" t="s">
        <v>74</v>
      </c>
      <c r="BM389" s="1" t="s">
        <v>74</v>
      </c>
      <c r="BN389" s="1" t="s">
        <v>74</v>
      </c>
      <c r="BO389" s="1" t="s">
        <v>74</v>
      </c>
      <c r="BP389" s="1" t="s">
        <v>74</v>
      </c>
      <c r="BQ389" s="1" t="s">
        <v>74</v>
      </c>
      <c r="BR389" s="1" t="s">
        <v>74</v>
      </c>
      <c r="BS389" s="1" t="s">
        <v>3522</v>
      </c>
      <c r="BT389" s="1" t="str">
        <f>HYPERLINK("https%3A%2F%2Fwww.webofscience.com%2Fwos%2Fwoscc%2Ffull-record%2FWOS:000766838100001","View Full Record in Web of Science")</f>
        <v>View Full Record in Web of Science</v>
      </c>
    </row>
    <row r="390" ht="12.75" customHeight="1">
      <c r="A390" s="1" t="s">
        <v>72</v>
      </c>
      <c r="B390" s="1" t="s">
        <v>3523</v>
      </c>
      <c r="C390" s="1" t="s">
        <v>74</v>
      </c>
      <c r="D390" s="1" t="s">
        <v>74</v>
      </c>
      <c r="E390" s="1" t="s">
        <v>74</v>
      </c>
      <c r="F390" s="1" t="s">
        <v>3524</v>
      </c>
      <c r="G390" s="1" t="s">
        <v>74</v>
      </c>
      <c r="H390" s="1" t="s">
        <v>74</v>
      </c>
      <c r="I390" s="1" t="s">
        <v>3525</v>
      </c>
      <c r="J390" s="1" t="s">
        <v>2792</v>
      </c>
      <c r="K390" s="1" t="s">
        <v>74</v>
      </c>
      <c r="L390" s="1" t="s">
        <v>74</v>
      </c>
      <c r="M390" s="1" t="s">
        <v>74</v>
      </c>
      <c r="N390" s="1" t="s">
        <v>74</v>
      </c>
      <c r="O390" s="1" t="s">
        <v>74</v>
      </c>
      <c r="P390" s="1" t="s">
        <v>74</v>
      </c>
      <c r="Q390" s="1" t="s">
        <v>74</v>
      </c>
      <c r="R390" s="1" t="s">
        <v>74</v>
      </c>
      <c r="S390" s="1" t="s">
        <v>74</v>
      </c>
      <c r="T390" s="1" t="s">
        <v>74</v>
      </c>
      <c r="U390" s="1" t="s">
        <v>74</v>
      </c>
      <c r="V390" s="1" t="s">
        <v>3526</v>
      </c>
      <c r="W390" s="1" t="s">
        <v>74</v>
      </c>
      <c r="X390" s="1" t="s">
        <v>74</v>
      </c>
      <c r="Y390" s="1" t="s">
        <v>74</v>
      </c>
      <c r="Z390" s="1" t="s">
        <v>74</v>
      </c>
      <c r="AA390" s="1" t="s">
        <v>74</v>
      </c>
      <c r="AB390" s="1" t="s">
        <v>74</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2793</v>
      </c>
      <c r="AP390" s="1" t="s">
        <v>2794</v>
      </c>
      <c r="AQ390" s="1" t="s">
        <v>74</v>
      </c>
      <c r="AR390" s="1" t="s">
        <v>74</v>
      </c>
      <c r="AS390" s="1" t="s">
        <v>74</v>
      </c>
      <c r="AT390" s="1" t="s">
        <v>74</v>
      </c>
      <c r="AU390" s="1">
        <v>2022.0</v>
      </c>
      <c r="AV390" s="1">
        <v>79.0</v>
      </c>
      <c r="AW390" s="1" t="s">
        <v>74</v>
      </c>
      <c r="AX390" s="1" t="s">
        <v>74</v>
      </c>
      <c r="AY390" s="1" t="s">
        <v>74</v>
      </c>
      <c r="AZ390" s="1" t="s">
        <v>74</v>
      </c>
      <c r="BA390" s="1" t="s">
        <v>74</v>
      </c>
      <c r="BB390" s="1">
        <v>94.0</v>
      </c>
      <c r="BC390" s="1">
        <v>114.0</v>
      </c>
      <c r="BD390" s="1" t="s">
        <v>74</v>
      </c>
      <c r="BE390" s="1" t="s">
        <v>74</v>
      </c>
      <c r="BF390" s="1" t="s">
        <v>74</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3527</v>
      </c>
      <c r="BT390" s="1" t="str">
        <f>HYPERLINK("https%3A%2F%2Fwww.webofscience.com%2Fwos%2Fwoscc%2Ffull-record%2FWOS:000934877500003","View Full Record in Web of Science")</f>
        <v>View Full Record in Web of Science</v>
      </c>
    </row>
    <row r="391" ht="12.75" customHeight="1">
      <c r="A391" s="1" t="s">
        <v>72</v>
      </c>
      <c r="B391" s="1" t="s">
        <v>3528</v>
      </c>
      <c r="C391" s="1" t="s">
        <v>74</v>
      </c>
      <c r="D391" s="1" t="s">
        <v>74</v>
      </c>
      <c r="E391" s="1" t="s">
        <v>74</v>
      </c>
      <c r="F391" s="1" t="s">
        <v>3529</v>
      </c>
      <c r="G391" s="1" t="s">
        <v>74</v>
      </c>
      <c r="H391" s="1" t="s">
        <v>74</v>
      </c>
      <c r="I391" s="1" t="s">
        <v>3530</v>
      </c>
      <c r="J391" s="1" t="s">
        <v>3531</v>
      </c>
      <c r="K391" s="1" t="s">
        <v>74</v>
      </c>
      <c r="L391" s="1" t="s">
        <v>74</v>
      </c>
      <c r="M391" s="1" t="s">
        <v>74</v>
      </c>
      <c r="N391" s="1" t="s">
        <v>74</v>
      </c>
      <c r="O391" s="1" t="s">
        <v>74</v>
      </c>
      <c r="P391" s="1" t="s">
        <v>74</v>
      </c>
      <c r="Q391" s="1" t="s">
        <v>74</v>
      </c>
      <c r="R391" s="1" t="s">
        <v>74</v>
      </c>
      <c r="S391" s="1" t="s">
        <v>74</v>
      </c>
      <c r="T391" s="1" t="s">
        <v>74</v>
      </c>
      <c r="U391" s="1" t="s">
        <v>74</v>
      </c>
      <c r="V391" s="1" t="s">
        <v>3532</v>
      </c>
      <c r="W391" s="1" t="s">
        <v>74</v>
      </c>
      <c r="X391" s="1" t="s">
        <v>74</v>
      </c>
      <c r="Y391" s="1" t="s">
        <v>74</v>
      </c>
      <c r="Z391" s="1" t="s">
        <v>74</v>
      </c>
      <c r="AA391" s="1" t="s">
        <v>3533</v>
      </c>
      <c r="AB391" s="1" t="s">
        <v>3534</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3535</v>
      </c>
      <c r="AP391" s="1" t="s">
        <v>3536</v>
      </c>
      <c r="AQ391" s="1" t="s">
        <v>74</v>
      </c>
      <c r="AR391" s="1" t="s">
        <v>74</v>
      </c>
      <c r="AS391" s="1" t="s">
        <v>74</v>
      </c>
      <c r="AT391" s="1" t="s">
        <v>82</v>
      </c>
      <c r="AU391" s="1">
        <v>2021.0</v>
      </c>
      <c r="AV391" s="1">
        <v>9.0</v>
      </c>
      <c r="AW391" s="1">
        <v>6.0</v>
      </c>
      <c r="AX391" s="1" t="s">
        <v>74</v>
      </c>
      <c r="AY391" s="1" t="s">
        <v>74</v>
      </c>
      <c r="AZ391" s="1" t="s">
        <v>74</v>
      </c>
      <c r="BA391" s="1" t="s">
        <v>74</v>
      </c>
      <c r="BB391" s="1" t="s">
        <v>74</v>
      </c>
      <c r="BC391" s="1" t="s">
        <v>74</v>
      </c>
      <c r="BD391" s="1">
        <v>106422.0</v>
      </c>
      <c r="BE391" s="1" t="s">
        <v>3537</v>
      </c>
      <c r="BF391" s="2" t="str">
        <f>HYPERLINK("http://dx.doi.org/10.1016/j.jece.2021.106422","http://dx.doi.org/10.1016/j.jece.2021.106422")</f>
        <v>http://dx.doi.org/10.1016/j.jece.2021.106422</v>
      </c>
      <c r="BG391" s="1" t="s">
        <v>74</v>
      </c>
      <c r="BH391" s="1" t="s">
        <v>3538</v>
      </c>
      <c r="BI391" s="1" t="s">
        <v>74</v>
      </c>
      <c r="BJ391" s="1" t="s">
        <v>74</v>
      </c>
      <c r="BK391" s="1" t="s">
        <v>74</v>
      </c>
      <c r="BL391" s="1" t="s">
        <v>74</v>
      </c>
      <c r="BM391" s="1" t="s">
        <v>74</v>
      </c>
      <c r="BN391" s="1" t="s">
        <v>74</v>
      </c>
      <c r="BO391" s="1" t="s">
        <v>74</v>
      </c>
      <c r="BP391" s="1" t="s">
        <v>74</v>
      </c>
      <c r="BQ391" s="1" t="s">
        <v>74</v>
      </c>
      <c r="BR391" s="1" t="s">
        <v>74</v>
      </c>
      <c r="BS391" s="1" t="s">
        <v>3539</v>
      </c>
      <c r="BT391" s="1" t="str">
        <f>HYPERLINK("https%3A%2F%2Fwww.webofscience.com%2Fwos%2Fwoscc%2Ffull-record%2FWOS:000707220600002","View Full Record in Web of Science")</f>
        <v>View Full Record in Web of Science</v>
      </c>
    </row>
    <row r="392" ht="12.75" customHeight="1">
      <c r="A392" s="1" t="s">
        <v>72</v>
      </c>
      <c r="B392" s="1" t="s">
        <v>3540</v>
      </c>
      <c r="C392" s="1" t="s">
        <v>74</v>
      </c>
      <c r="D392" s="1" t="s">
        <v>74</v>
      </c>
      <c r="E392" s="1" t="s">
        <v>74</v>
      </c>
      <c r="F392" s="1" t="s">
        <v>3541</v>
      </c>
      <c r="G392" s="1" t="s">
        <v>74</v>
      </c>
      <c r="H392" s="1" t="s">
        <v>74</v>
      </c>
      <c r="I392" s="1" t="s">
        <v>3542</v>
      </c>
      <c r="J392" s="1" t="s">
        <v>3543</v>
      </c>
      <c r="K392" s="1" t="s">
        <v>74</v>
      </c>
      <c r="L392" s="1" t="s">
        <v>74</v>
      </c>
      <c r="M392" s="1" t="s">
        <v>74</v>
      </c>
      <c r="N392" s="1" t="s">
        <v>74</v>
      </c>
      <c r="O392" s="1" t="s">
        <v>74</v>
      </c>
      <c r="P392" s="1" t="s">
        <v>74</v>
      </c>
      <c r="Q392" s="1" t="s">
        <v>74</v>
      </c>
      <c r="R392" s="1" t="s">
        <v>74</v>
      </c>
      <c r="S392" s="1" t="s">
        <v>74</v>
      </c>
      <c r="T392" s="1" t="s">
        <v>74</v>
      </c>
      <c r="U392" s="1" t="s">
        <v>74</v>
      </c>
      <c r="V392" s="1" t="s">
        <v>3544</v>
      </c>
      <c r="W392" s="1" t="s">
        <v>74</v>
      </c>
      <c r="X392" s="1" t="s">
        <v>74</v>
      </c>
      <c r="Y392" s="1" t="s">
        <v>74</v>
      </c>
      <c r="Z392" s="1" t="s">
        <v>74</v>
      </c>
      <c r="AA392" s="1" t="s">
        <v>3545</v>
      </c>
      <c r="AB392" s="1" t="s">
        <v>3546</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3547</v>
      </c>
      <c r="AP392" s="1" t="s">
        <v>3548</v>
      </c>
      <c r="AQ392" s="1" t="s">
        <v>74</v>
      </c>
      <c r="AR392" s="1" t="s">
        <v>74</v>
      </c>
      <c r="AS392" s="1" t="s">
        <v>74</v>
      </c>
      <c r="AT392" s="1" t="s">
        <v>171</v>
      </c>
      <c r="AU392" s="1">
        <v>2022.0</v>
      </c>
      <c r="AV392" s="1">
        <v>22.0</v>
      </c>
      <c r="AW392" s="1">
        <v>2.0</v>
      </c>
      <c r="AX392" s="1" t="s">
        <v>74</v>
      </c>
      <c r="AY392" s="1" t="s">
        <v>74</v>
      </c>
      <c r="AZ392" s="1" t="s">
        <v>159</v>
      </c>
      <c r="BA392" s="1" t="s">
        <v>74</v>
      </c>
      <c r="BB392" s="1">
        <v>387.0</v>
      </c>
      <c r="BC392" s="1">
        <v>402.0</v>
      </c>
      <c r="BD392" s="1" t="s">
        <v>74</v>
      </c>
      <c r="BE392" s="1" t="s">
        <v>3549</v>
      </c>
      <c r="BF392" s="2" t="str">
        <f>HYPERLINK("http://dx.doi.org/10.1007/s11115-021-00543-3","http://dx.doi.org/10.1007/s11115-021-00543-3")</f>
        <v>http://dx.doi.org/10.1007/s11115-021-00543-3</v>
      </c>
      <c r="BG392" s="1" t="s">
        <v>74</v>
      </c>
      <c r="BH392" s="1" t="s">
        <v>3550</v>
      </c>
      <c r="BI392" s="1" t="s">
        <v>74</v>
      </c>
      <c r="BJ392" s="1" t="s">
        <v>74</v>
      </c>
      <c r="BK392" s="1" t="s">
        <v>74</v>
      </c>
      <c r="BL392" s="1" t="s">
        <v>74</v>
      </c>
      <c r="BM392" s="1" t="s">
        <v>74</v>
      </c>
      <c r="BN392" s="1" t="s">
        <v>74</v>
      </c>
      <c r="BO392" s="1" t="s">
        <v>74</v>
      </c>
      <c r="BP392" s="1" t="s">
        <v>74</v>
      </c>
      <c r="BQ392" s="1" t="s">
        <v>74</v>
      </c>
      <c r="BR392" s="1" t="s">
        <v>74</v>
      </c>
      <c r="BS392" s="1" t="s">
        <v>3551</v>
      </c>
      <c r="BT392" s="1" t="str">
        <f>HYPERLINK("https%3A%2F%2Fwww.webofscience.com%2Fwos%2Fwoscc%2Ffull-record%2FWOS:000674416000001","View Full Record in Web of Science")</f>
        <v>View Full Record in Web of Science</v>
      </c>
    </row>
    <row r="393" ht="12.75" customHeight="1">
      <c r="A393" s="1" t="s">
        <v>72</v>
      </c>
      <c r="B393" s="1" t="s">
        <v>3552</v>
      </c>
      <c r="C393" s="1" t="s">
        <v>74</v>
      </c>
      <c r="D393" s="1" t="s">
        <v>74</v>
      </c>
      <c r="E393" s="1" t="s">
        <v>74</v>
      </c>
      <c r="F393" s="1" t="s">
        <v>3553</v>
      </c>
      <c r="G393" s="1" t="s">
        <v>74</v>
      </c>
      <c r="H393" s="1" t="s">
        <v>74</v>
      </c>
      <c r="I393" s="1" t="s">
        <v>3554</v>
      </c>
      <c r="J393" s="1" t="s">
        <v>3555</v>
      </c>
      <c r="K393" s="1" t="s">
        <v>74</v>
      </c>
      <c r="L393" s="1" t="s">
        <v>74</v>
      </c>
      <c r="M393" s="1" t="s">
        <v>74</v>
      </c>
      <c r="N393" s="1" t="s">
        <v>74</v>
      </c>
      <c r="O393" s="1" t="s">
        <v>74</v>
      </c>
      <c r="P393" s="1" t="s">
        <v>74</v>
      </c>
      <c r="Q393" s="1" t="s">
        <v>74</v>
      </c>
      <c r="R393" s="1" t="s">
        <v>74</v>
      </c>
      <c r="S393" s="1" t="s">
        <v>74</v>
      </c>
      <c r="T393" s="1" t="s">
        <v>74</v>
      </c>
      <c r="U393" s="1" t="s">
        <v>74</v>
      </c>
      <c r="V393" s="1" t="s">
        <v>3556</v>
      </c>
      <c r="W393" s="1" t="s">
        <v>74</v>
      </c>
      <c r="X393" s="1" t="s">
        <v>74</v>
      </c>
      <c r="Y393" s="1" t="s">
        <v>74</v>
      </c>
      <c r="Z393" s="1" t="s">
        <v>74</v>
      </c>
      <c r="AA393" s="1" t="s">
        <v>74</v>
      </c>
      <c r="AB393" s="1" t="s">
        <v>74</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3557</v>
      </c>
      <c r="AP393" s="1" t="s">
        <v>74</v>
      </c>
      <c r="AQ393" s="1" t="s">
        <v>74</v>
      </c>
      <c r="AR393" s="1" t="s">
        <v>74</v>
      </c>
      <c r="AS393" s="1" t="s">
        <v>74</v>
      </c>
      <c r="AT393" s="1" t="s">
        <v>91</v>
      </c>
      <c r="AU393" s="1">
        <v>2021.0</v>
      </c>
      <c r="AV393" s="1" t="s">
        <v>74</v>
      </c>
      <c r="AW393" s="1">
        <v>80.0</v>
      </c>
      <c r="AX393" s="1" t="s">
        <v>74</v>
      </c>
      <c r="AY393" s="1" t="s">
        <v>74</v>
      </c>
      <c r="AZ393" s="1" t="s">
        <v>74</v>
      </c>
      <c r="BA393" s="1" t="s">
        <v>74</v>
      </c>
      <c r="BB393" s="1">
        <v>73.0</v>
      </c>
      <c r="BC393" s="1">
        <v>108.0</v>
      </c>
      <c r="BD393" s="1" t="s">
        <v>74</v>
      </c>
      <c r="BE393" s="1" t="s">
        <v>74</v>
      </c>
      <c r="BF393" s="1" t="s">
        <v>74</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3558</v>
      </c>
      <c r="BT393" s="1" t="str">
        <f>HYPERLINK("https%3A%2F%2Fwww.webofscience.com%2Fwos%2Fwoscc%2Ffull-record%2FWOS:000797059200003","View Full Record in Web of Science")</f>
        <v>View Full Record in Web of Science</v>
      </c>
    </row>
    <row r="394" ht="12.75" customHeight="1">
      <c r="A394" s="1" t="s">
        <v>72</v>
      </c>
      <c r="B394" s="1" t="s">
        <v>3559</v>
      </c>
      <c r="C394" s="1" t="s">
        <v>74</v>
      </c>
      <c r="D394" s="1" t="s">
        <v>74</v>
      </c>
      <c r="E394" s="1" t="s">
        <v>74</v>
      </c>
      <c r="F394" s="1" t="s">
        <v>3560</v>
      </c>
      <c r="G394" s="1" t="s">
        <v>74</v>
      </c>
      <c r="H394" s="1" t="s">
        <v>74</v>
      </c>
      <c r="I394" s="1" t="s">
        <v>3561</v>
      </c>
      <c r="J394" s="1" t="s">
        <v>3562</v>
      </c>
      <c r="K394" s="1" t="s">
        <v>74</v>
      </c>
      <c r="L394" s="1" t="s">
        <v>74</v>
      </c>
      <c r="M394" s="1" t="s">
        <v>74</v>
      </c>
      <c r="N394" s="1" t="s">
        <v>74</v>
      </c>
      <c r="O394" s="1" t="s">
        <v>74</v>
      </c>
      <c r="P394" s="1" t="s">
        <v>74</v>
      </c>
      <c r="Q394" s="1" t="s">
        <v>74</v>
      </c>
      <c r="R394" s="1" t="s">
        <v>74</v>
      </c>
      <c r="S394" s="1" t="s">
        <v>74</v>
      </c>
      <c r="T394" s="1" t="s">
        <v>74</v>
      </c>
      <c r="U394" s="1" t="s">
        <v>74</v>
      </c>
      <c r="V394" s="1" t="s">
        <v>3563</v>
      </c>
      <c r="W394" s="1" t="s">
        <v>74</v>
      </c>
      <c r="X394" s="1" t="s">
        <v>74</v>
      </c>
      <c r="Y394" s="1" t="s">
        <v>74</v>
      </c>
      <c r="Z394" s="1" t="s">
        <v>74</v>
      </c>
      <c r="AA394" s="1" t="s">
        <v>74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3564</v>
      </c>
      <c r="AP394" s="1" t="s">
        <v>3565</v>
      </c>
      <c r="AQ394" s="1" t="s">
        <v>74</v>
      </c>
      <c r="AR394" s="1" t="s">
        <v>74</v>
      </c>
      <c r="AS394" s="1" t="s">
        <v>74</v>
      </c>
      <c r="AT394" s="1" t="s">
        <v>148</v>
      </c>
      <c r="AU394" s="1">
        <v>2021.0</v>
      </c>
      <c r="AV394" s="1">
        <v>23.0</v>
      </c>
      <c r="AW394" s="1">
        <v>2.0</v>
      </c>
      <c r="AX394" s="1" t="s">
        <v>74</v>
      </c>
      <c r="AY394" s="1" t="s">
        <v>74</v>
      </c>
      <c r="AZ394" s="1" t="s">
        <v>74</v>
      </c>
      <c r="BA394" s="1" t="s">
        <v>74</v>
      </c>
      <c r="BB394" s="1">
        <v>19.0</v>
      </c>
      <c r="BC394" s="1">
        <v>46.0</v>
      </c>
      <c r="BD394" s="1" t="s">
        <v>74</v>
      </c>
      <c r="BE394" s="1" t="s">
        <v>3566</v>
      </c>
      <c r="BF394" s="2" t="str">
        <f>HYPERLINK("http://dx.doi.org/10.15446/lthc.v23n2.94881","http://dx.doi.org/10.15446/lthc.v23n2.94881")</f>
        <v>http://dx.doi.org/10.15446/lthc.v23n2.94881</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3567</v>
      </c>
      <c r="BT394" s="1" t="str">
        <f>HYPERLINK("https%3A%2F%2Fwww.webofscience.com%2Fwos%2Fwoscc%2Ffull-record%2FWOS:000669387400002","View Full Record in Web of Science")</f>
        <v>View Full Record in Web of Science</v>
      </c>
    </row>
    <row r="395" ht="12.75" customHeight="1">
      <c r="A395" s="1" t="s">
        <v>72</v>
      </c>
      <c r="B395" s="1" t="s">
        <v>3568</v>
      </c>
      <c r="C395" s="1" t="s">
        <v>74</v>
      </c>
      <c r="D395" s="1" t="s">
        <v>74</v>
      </c>
      <c r="E395" s="1" t="s">
        <v>74</v>
      </c>
      <c r="F395" s="1" t="s">
        <v>3569</v>
      </c>
      <c r="G395" s="1" t="s">
        <v>74</v>
      </c>
      <c r="H395" s="1" t="s">
        <v>74</v>
      </c>
      <c r="I395" s="1" t="s">
        <v>3570</v>
      </c>
      <c r="J395" s="1" t="s">
        <v>2585</v>
      </c>
      <c r="K395" s="1" t="s">
        <v>74</v>
      </c>
      <c r="L395" s="1" t="s">
        <v>74</v>
      </c>
      <c r="M395" s="1" t="s">
        <v>74</v>
      </c>
      <c r="N395" s="1" t="s">
        <v>74</v>
      </c>
      <c r="O395" s="1" t="s">
        <v>74</v>
      </c>
      <c r="P395" s="1" t="s">
        <v>74</v>
      </c>
      <c r="Q395" s="1" t="s">
        <v>74</v>
      </c>
      <c r="R395" s="1" t="s">
        <v>74</v>
      </c>
      <c r="S395" s="1" t="s">
        <v>74</v>
      </c>
      <c r="T395" s="1" t="s">
        <v>74</v>
      </c>
      <c r="U395" s="1" t="s">
        <v>74</v>
      </c>
      <c r="V395" s="1" t="s">
        <v>3571</v>
      </c>
      <c r="W395" s="1" t="s">
        <v>74</v>
      </c>
      <c r="X395" s="1" t="s">
        <v>74</v>
      </c>
      <c r="Y395" s="1" t="s">
        <v>74</v>
      </c>
      <c r="Z395" s="1" t="s">
        <v>74</v>
      </c>
      <c r="AA395" s="1" t="s">
        <v>284</v>
      </c>
      <c r="AB395" s="1" t="s">
        <v>398</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74</v>
      </c>
      <c r="AP395" s="1" t="s">
        <v>2588</v>
      </c>
      <c r="AQ395" s="1" t="s">
        <v>74</v>
      </c>
      <c r="AR395" s="1" t="s">
        <v>74</v>
      </c>
      <c r="AS395" s="1" t="s">
        <v>74</v>
      </c>
      <c r="AT395" s="1" t="s">
        <v>224</v>
      </c>
      <c r="AU395" s="1">
        <v>2021.0</v>
      </c>
      <c r="AV395" s="1">
        <v>9.0</v>
      </c>
      <c r="AW395" s="1">
        <v>5.0</v>
      </c>
      <c r="AX395" s="1" t="s">
        <v>74</v>
      </c>
      <c r="AY395" s="1" t="s">
        <v>74</v>
      </c>
      <c r="AZ395" s="1" t="s">
        <v>74</v>
      </c>
      <c r="BA395" s="1" t="s">
        <v>74</v>
      </c>
      <c r="BB395" s="1" t="s">
        <v>74</v>
      </c>
      <c r="BC395" s="1" t="s">
        <v>74</v>
      </c>
      <c r="BD395" s="1">
        <v>735.0</v>
      </c>
      <c r="BE395" s="1" t="s">
        <v>3572</v>
      </c>
      <c r="BF395" s="2" t="str">
        <f>HYPERLINK("http://dx.doi.org/10.3390/pr9050735","http://dx.doi.org/10.3390/pr9050735")</f>
        <v>http://dx.doi.org/10.3390/pr9050735</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3573</v>
      </c>
      <c r="BT395" s="1" t="str">
        <f>HYPERLINK("https%3A%2F%2Fwww.webofscience.com%2Fwos%2Fwoscc%2Ffull-record%2FWOS:000654472000001","View Full Record in Web of Science")</f>
        <v>View Full Record in Web of Science</v>
      </c>
    </row>
    <row r="396" ht="12.75" customHeight="1">
      <c r="A396" s="1" t="s">
        <v>72</v>
      </c>
      <c r="B396" s="1" t="s">
        <v>3574</v>
      </c>
      <c r="C396" s="1" t="s">
        <v>74</v>
      </c>
      <c r="D396" s="1" t="s">
        <v>74</v>
      </c>
      <c r="E396" s="1" t="s">
        <v>74</v>
      </c>
      <c r="F396" s="1" t="s">
        <v>3575</v>
      </c>
      <c r="G396" s="1" t="s">
        <v>74</v>
      </c>
      <c r="H396" s="1" t="s">
        <v>74</v>
      </c>
      <c r="I396" s="1" t="s">
        <v>3576</v>
      </c>
      <c r="J396" s="1" t="s">
        <v>3577</v>
      </c>
      <c r="K396" s="1" t="s">
        <v>74</v>
      </c>
      <c r="L396" s="1" t="s">
        <v>74</v>
      </c>
      <c r="M396" s="1" t="s">
        <v>74</v>
      </c>
      <c r="N396" s="1" t="s">
        <v>74</v>
      </c>
      <c r="O396" s="1" t="s">
        <v>74</v>
      </c>
      <c r="P396" s="1" t="s">
        <v>74</v>
      </c>
      <c r="Q396" s="1" t="s">
        <v>74</v>
      </c>
      <c r="R396" s="1" t="s">
        <v>74</v>
      </c>
      <c r="S396" s="1" t="s">
        <v>74</v>
      </c>
      <c r="T396" s="1" t="s">
        <v>74</v>
      </c>
      <c r="U396" s="1" t="s">
        <v>74</v>
      </c>
      <c r="V396" s="1" t="s">
        <v>3578</v>
      </c>
      <c r="W396" s="1" t="s">
        <v>74</v>
      </c>
      <c r="X396" s="1" t="s">
        <v>74</v>
      </c>
      <c r="Y396" s="1" t="s">
        <v>74</v>
      </c>
      <c r="Z396" s="1" t="s">
        <v>74</v>
      </c>
      <c r="AA396" s="1" t="s">
        <v>3579</v>
      </c>
      <c r="AB396" s="1" t="s">
        <v>3580</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3581</v>
      </c>
      <c r="AP396" s="1" t="s">
        <v>74</v>
      </c>
      <c r="AQ396" s="1" t="s">
        <v>74</v>
      </c>
      <c r="AR396" s="1" t="s">
        <v>74</v>
      </c>
      <c r="AS396" s="1" t="s">
        <v>74</v>
      </c>
      <c r="AT396" s="1" t="s">
        <v>1769</v>
      </c>
      <c r="AU396" s="1">
        <v>2021.0</v>
      </c>
      <c r="AV396" s="1">
        <v>59.0</v>
      </c>
      <c r="AW396" s="1" t="s">
        <v>74</v>
      </c>
      <c r="AX396" s="1" t="s">
        <v>74</v>
      </c>
      <c r="AY396" s="1" t="s">
        <v>74</v>
      </c>
      <c r="AZ396" s="1" t="s">
        <v>74</v>
      </c>
      <c r="BA396" s="1" t="s">
        <v>74</v>
      </c>
      <c r="BB396" s="1" t="s">
        <v>74</v>
      </c>
      <c r="BC396" s="1" t="s">
        <v>74</v>
      </c>
      <c r="BD396" s="1">
        <v>102243.0</v>
      </c>
      <c r="BE396" s="1" t="s">
        <v>3582</v>
      </c>
      <c r="BF396" s="2" t="str">
        <f>HYPERLINK("http://dx.doi.org/10.1016/j.ijdrr.2021.102243","http://dx.doi.org/10.1016/j.ijdrr.2021.102243")</f>
        <v>http://dx.doi.org/10.1016/j.ijdrr.2021.102243</v>
      </c>
      <c r="BG396" s="1" t="s">
        <v>74</v>
      </c>
      <c r="BH396" s="1" t="s">
        <v>3583</v>
      </c>
      <c r="BI396" s="1" t="s">
        <v>74</v>
      </c>
      <c r="BJ396" s="1" t="s">
        <v>74</v>
      </c>
      <c r="BK396" s="1" t="s">
        <v>74</v>
      </c>
      <c r="BL396" s="1" t="s">
        <v>74</v>
      </c>
      <c r="BM396" s="1" t="s">
        <v>74</v>
      </c>
      <c r="BN396" s="1" t="s">
        <v>74</v>
      </c>
      <c r="BO396" s="1" t="s">
        <v>74</v>
      </c>
      <c r="BP396" s="1" t="s">
        <v>74</v>
      </c>
      <c r="BQ396" s="1" t="s">
        <v>74</v>
      </c>
      <c r="BR396" s="1" t="s">
        <v>74</v>
      </c>
      <c r="BS396" s="1" t="s">
        <v>3584</v>
      </c>
      <c r="BT396" s="1" t="str">
        <f>HYPERLINK("https%3A%2F%2Fwww.webofscience.com%2Fwos%2Fwoscc%2Ffull-record%2FWOS:000655642100004","View Full Record in Web of Science")</f>
        <v>View Full Record in Web of Science</v>
      </c>
    </row>
    <row r="397" ht="12.75" customHeight="1">
      <c r="A397" s="1" t="s">
        <v>72</v>
      </c>
      <c r="B397" s="1" t="s">
        <v>3585</v>
      </c>
      <c r="C397" s="1" t="s">
        <v>74</v>
      </c>
      <c r="D397" s="1" t="s">
        <v>74</v>
      </c>
      <c r="E397" s="1" t="s">
        <v>74</v>
      </c>
      <c r="F397" s="1" t="s">
        <v>3586</v>
      </c>
      <c r="G397" s="1" t="s">
        <v>74</v>
      </c>
      <c r="H397" s="1" t="s">
        <v>74</v>
      </c>
      <c r="I397" s="1" t="s">
        <v>3587</v>
      </c>
      <c r="J397" s="1" t="s">
        <v>3588</v>
      </c>
      <c r="K397" s="1" t="s">
        <v>74</v>
      </c>
      <c r="L397" s="1" t="s">
        <v>74</v>
      </c>
      <c r="M397" s="1" t="s">
        <v>74</v>
      </c>
      <c r="N397" s="1" t="s">
        <v>74</v>
      </c>
      <c r="O397" s="1" t="s">
        <v>74</v>
      </c>
      <c r="P397" s="1" t="s">
        <v>74</v>
      </c>
      <c r="Q397" s="1" t="s">
        <v>74</v>
      </c>
      <c r="R397" s="1" t="s">
        <v>74</v>
      </c>
      <c r="S397" s="1" t="s">
        <v>74</v>
      </c>
      <c r="T397" s="1" t="s">
        <v>74</v>
      </c>
      <c r="U397" s="1" t="s">
        <v>74</v>
      </c>
      <c r="V397" s="1" t="s">
        <v>3589</v>
      </c>
      <c r="W397" s="1" t="s">
        <v>74</v>
      </c>
      <c r="X397" s="1" t="s">
        <v>74</v>
      </c>
      <c r="Y397" s="1" t="s">
        <v>74</v>
      </c>
      <c r="Z397" s="1" t="s">
        <v>74</v>
      </c>
      <c r="AA397" s="1" t="s">
        <v>74</v>
      </c>
      <c r="AB397" s="1" t="s">
        <v>74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3590</v>
      </c>
      <c r="AP397" s="1" t="s">
        <v>74</v>
      </c>
      <c r="AQ397" s="1" t="s">
        <v>74</v>
      </c>
      <c r="AR397" s="1" t="s">
        <v>74</v>
      </c>
      <c r="AS397" s="1" t="s">
        <v>74</v>
      </c>
      <c r="AT397" s="1" t="s">
        <v>123</v>
      </c>
      <c r="AU397" s="1">
        <v>2021.0</v>
      </c>
      <c r="AV397" s="1">
        <v>8.0</v>
      </c>
      <c r="AW397" s="1">
        <v>22.0</v>
      </c>
      <c r="AX397" s="1" t="s">
        <v>74</v>
      </c>
      <c r="AY397" s="1" t="s">
        <v>74</v>
      </c>
      <c r="AZ397" s="1" t="s">
        <v>74</v>
      </c>
      <c r="BA397" s="1" t="s">
        <v>74</v>
      </c>
      <c r="BB397" s="1">
        <v>179.0</v>
      </c>
      <c r="BC397" s="1">
        <v>197.0</v>
      </c>
      <c r="BD397" s="1" t="s">
        <v>74</v>
      </c>
      <c r="BE397" s="1" t="s">
        <v>3591</v>
      </c>
      <c r="BF397" s="2" t="str">
        <f>HYPERLINK("http://dx.doi.org/10.35588/rivar.v8i22.4738","http://dx.doi.org/10.35588/rivar.v8i22.4738")</f>
        <v>http://dx.doi.org/10.35588/rivar.v8i22.4738</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3592</v>
      </c>
      <c r="BT397" s="1" t="str">
        <f>HYPERLINK("https%3A%2F%2Fwww.webofscience.com%2Fwos%2Fwoscc%2Ffull-record%2FWOS:000662315500010","View Full Record in Web of Science")</f>
        <v>View Full Record in Web of Science</v>
      </c>
    </row>
    <row r="398" ht="12.75" customHeight="1">
      <c r="A398" s="1" t="s">
        <v>72</v>
      </c>
      <c r="B398" s="1" t="s">
        <v>3593</v>
      </c>
      <c r="C398" s="1" t="s">
        <v>74</v>
      </c>
      <c r="D398" s="1" t="s">
        <v>74</v>
      </c>
      <c r="E398" s="1" t="s">
        <v>74</v>
      </c>
      <c r="F398" s="1" t="s">
        <v>3594</v>
      </c>
      <c r="G398" s="1" t="s">
        <v>74</v>
      </c>
      <c r="H398" s="1" t="s">
        <v>74</v>
      </c>
      <c r="I398" s="1" t="s">
        <v>3595</v>
      </c>
      <c r="J398" s="1" t="s">
        <v>3596</v>
      </c>
      <c r="K398" s="1" t="s">
        <v>74</v>
      </c>
      <c r="L398" s="1" t="s">
        <v>74</v>
      </c>
      <c r="M398" s="1" t="s">
        <v>74</v>
      </c>
      <c r="N398" s="1" t="s">
        <v>74</v>
      </c>
      <c r="O398" s="1" t="s">
        <v>74</v>
      </c>
      <c r="P398" s="1" t="s">
        <v>74</v>
      </c>
      <c r="Q398" s="1" t="s">
        <v>74</v>
      </c>
      <c r="R398" s="1" t="s">
        <v>74</v>
      </c>
      <c r="S398" s="1" t="s">
        <v>74</v>
      </c>
      <c r="T398" s="1" t="s">
        <v>74</v>
      </c>
      <c r="U398" s="1" t="s">
        <v>74</v>
      </c>
      <c r="V398" s="1" t="s">
        <v>3597</v>
      </c>
      <c r="W398" s="1" t="s">
        <v>74</v>
      </c>
      <c r="X398" s="1" t="s">
        <v>74</v>
      </c>
      <c r="Y398" s="1" t="s">
        <v>74</v>
      </c>
      <c r="Z398" s="1" t="s">
        <v>74</v>
      </c>
      <c r="AA398" s="1" t="s">
        <v>74</v>
      </c>
      <c r="AB398" s="1" t="s">
        <v>74</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3598</v>
      </c>
      <c r="AP398" s="1" t="s">
        <v>74</v>
      </c>
      <c r="AQ398" s="1" t="s">
        <v>74</v>
      </c>
      <c r="AR398" s="1" t="s">
        <v>74</v>
      </c>
      <c r="AS398" s="1" t="s">
        <v>74</v>
      </c>
      <c r="AT398" s="1" t="s">
        <v>74</v>
      </c>
      <c r="AU398" s="1">
        <v>2021.0</v>
      </c>
      <c r="AV398" s="1" t="s">
        <v>74</v>
      </c>
      <c r="AW398" s="1">
        <v>17.0</v>
      </c>
      <c r="AX398" s="1" t="s">
        <v>74</v>
      </c>
      <c r="AY398" s="1" t="s">
        <v>74</v>
      </c>
      <c r="AZ398" s="1" t="s">
        <v>159</v>
      </c>
      <c r="BA398" s="1" t="s">
        <v>74</v>
      </c>
      <c r="BB398" s="1">
        <v>155.0</v>
      </c>
      <c r="BC398" s="1">
        <v>179.0</v>
      </c>
      <c r="BD398" s="1" t="s">
        <v>74</v>
      </c>
      <c r="BE398" s="1" t="s">
        <v>3599</v>
      </c>
      <c r="BF398" s="2" t="str">
        <f>HYPERLINK("http://dx.doi.org/10.7203/KAM.17.18142","http://dx.doi.org/10.7203/KAM.17.18142")</f>
        <v>http://dx.doi.org/10.7203/KAM.17.18142</v>
      </c>
      <c r="BG398" s="1" t="s">
        <v>74</v>
      </c>
      <c r="BH398" s="1" t="s">
        <v>74</v>
      </c>
      <c r="BI398" s="1" t="s">
        <v>74</v>
      </c>
      <c r="BJ398" s="1" t="s">
        <v>74</v>
      </c>
      <c r="BK398" s="1" t="s">
        <v>74</v>
      </c>
      <c r="BL398" s="1" t="s">
        <v>74</v>
      </c>
      <c r="BM398" s="1" t="s">
        <v>74</v>
      </c>
      <c r="BN398" s="1" t="s">
        <v>74</v>
      </c>
      <c r="BO398" s="1" t="s">
        <v>74</v>
      </c>
      <c r="BP398" s="1" t="s">
        <v>74</v>
      </c>
      <c r="BQ398" s="1" t="s">
        <v>74</v>
      </c>
      <c r="BR398" s="1" t="s">
        <v>74</v>
      </c>
      <c r="BS398" s="1" t="s">
        <v>3600</v>
      </c>
      <c r="BT398" s="1" t="str">
        <f>HYPERLINK("https%3A%2F%2Fwww.webofscience.com%2Fwos%2Fwoscc%2Ffull-record%2FWOS:000680725300008","View Full Record in Web of Science")</f>
        <v>View Full Record in Web of Science</v>
      </c>
    </row>
    <row r="399" ht="12.75" customHeight="1">
      <c r="A399" s="1" t="s">
        <v>105</v>
      </c>
      <c r="B399" s="1" t="s">
        <v>3601</v>
      </c>
      <c r="C399" s="1" t="s">
        <v>74</v>
      </c>
      <c r="D399" s="1" t="s">
        <v>1969</v>
      </c>
      <c r="E399" s="1" t="s">
        <v>74</v>
      </c>
      <c r="F399" s="1" t="s">
        <v>3602</v>
      </c>
      <c r="G399" s="1" t="s">
        <v>74</v>
      </c>
      <c r="H399" s="1" t="s">
        <v>74</v>
      </c>
      <c r="I399" s="1" t="s">
        <v>3603</v>
      </c>
      <c r="J399" s="1" t="s">
        <v>1972</v>
      </c>
      <c r="K399" s="1" t="s">
        <v>74</v>
      </c>
      <c r="L399" s="1" t="s">
        <v>74</v>
      </c>
      <c r="M399" s="1" t="s">
        <v>74</v>
      </c>
      <c r="N399" s="1" t="s">
        <v>74</v>
      </c>
      <c r="O399" s="1" t="s">
        <v>74</v>
      </c>
      <c r="P399" s="1" t="s">
        <v>74</v>
      </c>
      <c r="Q399" s="1" t="s">
        <v>74</v>
      </c>
      <c r="R399" s="1" t="s">
        <v>74</v>
      </c>
      <c r="S399" s="1" t="s">
        <v>74</v>
      </c>
      <c r="T399" s="1" t="s">
        <v>74</v>
      </c>
      <c r="U399" s="1" t="s">
        <v>74</v>
      </c>
      <c r="V399" s="1" t="s">
        <v>74</v>
      </c>
      <c r="W399" s="1" t="s">
        <v>74</v>
      </c>
      <c r="X399" s="1" t="s">
        <v>74</v>
      </c>
      <c r="Y399" s="1" t="s">
        <v>74</v>
      </c>
      <c r="Z399" s="1" t="s">
        <v>74</v>
      </c>
      <c r="AA399" s="1" t="s">
        <v>74</v>
      </c>
      <c r="AB399" s="1" t="s">
        <v>74</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74</v>
      </c>
      <c r="AP399" s="1" t="s">
        <v>74</v>
      </c>
      <c r="AQ399" s="1" t="s">
        <v>1974</v>
      </c>
      <c r="AR399" s="1" t="s">
        <v>74</v>
      </c>
      <c r="AS399" s="1" t="s">
        <v>74</v>
      </c>
      <c r="AT399" s="1" t="s">
        <v>74</v>
      </c>
      <c r="AU399" s="1">
        <v>2021.0</v>
      </c>
      <c r="AV399" s="1" t="s">
        <v>74</v>
      </c>
      <c r="AW399" s="1" t="s">
        <v>74</v>
      </c>
      <c r="AX399" s="1" t="s">
        <v>74</v>
      </c>
      <c r="AY399" s="1" t="s">
        <v>74</v>
      </c>
      <c r="AZ399" s="1" t="s">
        <v>74</v>
      </c>
      <c r="BA399" s="1" t="s">
        <v>74</v>
      </c>
      <c r="BB399" s="1">
        <v>331.0</v>
      </c>
      <c r="BC399" s="1">
        <v>352.0</v>
      </c>
      <c r="BD399" s="1" t="s">
        <v>74</v>
      </c>
      <c r="BE399" s="1" t="s">
        <v>74</v>
      </c>
      <c r="BF399" s="1" t="s">
        <v>74</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3604</v>
      </c>
      <c r="BT399" s="1" t="str">
        <f>HYPERLINK("https%3A%2F%2Fwww.webofscience.com%2Fwos%2Fwoscc%2Ffull-record%2FWOS:000651158400017","View Full Record in Web of Science")</f>
        <v>View Full Record in Web of Science</v>
      </c>
    </row>
    <row r="400" ht="12.75" customHeight="1">
      <c r="A400" s="1" t="s">
        <v>126</v>
      </c>
      <c r="B400" s="1" t="s">
        <v>3605</v>
      </c>
      <c r="C400" s="1" t="s">
        <v>74</v>
      </c>
      <c r="D400" s="1" t="s">
        <v>74</v>
      </c>
      <c r="E400" s="1" t="s">
        <v>128</v>
      </c>
      <c r="F400" s="1" t="s">
        <v>3606</v>
      </c>
      <c r="G400" s="1" t="s">
        <v>74</v>
      </c>
      <c r="H400" s="1" t="s">
        <v>74</v>
      </c>
      <c r="I400" s="1" t="s">
        <v>3607</v>
      </c>
      <c r="J400" s="1" t="s">
        <v>1070</v>
      </c>
      <c r="K400" s="1" t="s">
        <v>74</v>
      </c>
      <c r="L400" s="1" t="s">
        <v>74</v>
      </c>
      <c r="M400" s="1" t="s">
        <v>74</v>
      </c>
      <c r="N400" s="1" t="s">
        <v>74</v>
      </c>
      <c r="O400" s="1" t="s">
        <v>1071</v>
      </c>
      <c r="P400" s="1" t="s">
        <v>1072</v>
      </c>
      <c r="Q400" s="1" t="s">
        <v>1073</v>
      </c>
      <c r="R400" s="1" t="s">
        <v>1074</v>
      </c>
      <c r="S400" s="1" t="s">
        <v>74</v>
      </c>
      <c r="T400" s="1" t="s">
        <v>74</v>
      </c>
      <c r="U400" s="1" t="s">
        <v>74</v>
      </c>
      <c r="V400" s="1" t="s">
        <v>3608</v>
      </c>
      <c r="W400" s="1" t="s">
        <v>74</v>
      </c>
      <c r="X400" s="1" t="s">
        <v>74</v>
      </c>
      <c r="Y400" s="1" t="s">
        <v>74</v>
      </c>
      <c r="Z400" s="1" t="s">
        <v>74</v>
      </c>
      <c r="AA400" s="1" t="s">
        <v>3609</v>
      </c>
      <c r="AB400" s="1" t="s">
        <v>3610</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74</v>
      </c>
      <c r="AP400" s="1" t="s">
        <v>74</v>
      </c>
      <c r="AQ400" s="1" t="s">
        <v>1078</v>
      </c>
      <c r="AR400" s="1" t="s">
        <v>74</v>
      </c>
      <c r="AS400" s="1" t="s">
        <v>74</v>
      </c>
      <c r="AT400" s="1" t="s">
        <v>74</v>
      </c>
      <c r="AU400" s="1">
        <v>2021.0</v>
      </c>
      <c r="AV400" s="1" t="s">
        <v>74</v>
      </c>
      <c r="AW400" s="1" t="s">
        <v>74</v>
      </c>
      <c r="AX400" s="1" t="s">
        <v>74</v>
      </c>
      <c r="AY400" s="1" t="s">
        <v>74</v>
      </c>
      <c r="AZ400" s="1" t="s">
        <v>74</v>
      </c>
      <c r="BA400" s="1" t="s">
        <v>74</v>
      </c>
      <c r="BB400" s="1" t="s">
        <v>74</v>
      </c>
      <c r="BC400" s="1" t="s">
        <v>74</v>
      </c>
      <c r="BD400" s="1" t="s">
        <v>74</v>
      </c>
      <c r="BE400" s="1" t="s">
        <v>3611</v>
      </c>
      <c r="BF400" s="2" t="str">
        <f>HYPERLINK("http://dx.doi.org/10.1109/ICAACCA51523.2021.9465203","http://dx.doi.org/10.1109/ICAACCA51523.2021.9465203")</f>
        <v>http://dx.doi.org/10.1109/ICAACCA51523.2021.9465203</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3612</v>
      </c>
      <c r="BT400" s="1" t="str">
        <f>HYPERLINK("https%3A%2F%2Fwww.webofscience.com%2Fwos%2Fwoscc%2Ffull-record%2FWOS:000855764500041","View Full Record in Web of Science")</f>
        <v>View Full Record in Web of Science</v>
      </c>
    </row>
    <row r="401" ht="12.75" customHeight="1">
      <c r="A401" s="1" t="s">
        <v>72</v>
      </c>
      <c r="B401" s="1" t="s">
        <v>3613</v>
      </c>
      <c r="C401" s="1" t="s">
        <v>74</v>
      </c>
      <c r="D401" s="1" t="s">
        <v>74</v>
      </c>
      <c r="E401" s="1" t="s">
        <v>74</v>
      </c>
      <c r="F401" s="1" t="s">
        <v>3614</v>
      </c>
      <c r="G401" s="1" t="s">
        <v>74</v>
      </c>
      <c r="H401" s="1" t="s">
        <v>74</v>
      </c>
      <c r="I401" s="1" t="s">
        <v>3615</v>
      </c>
      <c r="J401" s="1" t="s">
        <v>3616</v>
      </c>
      <c r="K401" s="1" t="s">
        <v>74</v>
      </c>
      <c r="L401" s="1" t="s">
        <v>74</v>
      </c>
      <c r="M401" s="1" t="s">
        <v>74</v>
      </c>
      <c r="N401" s="1" t="s">
        <v>74</v>
      </c>
      <c r="O401" s="1" t="s">
        <v>74</v>
      </c>
      <c r="P401" s="1" t="s">
        <v>74</v>
      </c>
      <c r="Q401" s="1" t="s">
        <v>74</v>
      </c>
      <c r="R401" s="1" t="s">
        <v>74</v>
      </c>
      <c r="S401" s="1" t="s">
        <v>74</v>
      </c>
      <c r="T401" s="1" t="s">
        <v>74</v>
      </c>
      <c r="U401" s="1" t="s">
        <v>74</v>
      </c>
      <c r="V401" s="1" t="s">
        <v>3617</v>
      </c>
      <c r="W401" s="1" t="s">
        <v>74</v>
      </c>
      <c r="X401" s="1" t="s">
        <v>74</v>
      </c>
      <c r="Y401" s="1" t="s">
        <v>74</v>
      </c>
      <c r="Z401" s="1" t="s">
        <v>74</v>
      </c>
      <c r="AA401" s="1" t="s">
        <v>3618</v>
      </c>
      <c r="AB401" s="1" t="s">
        <v>3619</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3620</v>
      </c>
      <c r="AP401" s="1" t="s">
        <v>74</v>
      </c>
      <c r="AQ401" s="1" t="s">
        <v>74</v>
      </c>
      <c r="AR401" s="1" t="s">
        <v>74</v>
      </c>
      <c r="AS401" s="1" t="s">
        <v>74</v>
      </c>
      <c r="AT401" s="1" t="s">
        <v>3621</v>
      </c>
      <c r="AU401" s="1">
        <v>2020.0</v>
      </c>
      <c r="AV401" s="1">
        <v>16.0</v>
      </c>
      <c r="AW401" s="1">
        <v>2.0</v>
      </c>
      <c r="AX401" s="1" t="s">
        <v>74</v>
      </c>
      <c r="AY401" s="1" t="s">
        <v>74</v>
      </c>
      <c r="AZ401" s="1" t="s">
        <v>74</v>
      </c>
      <c r="BA401" s="1" t="s">
        <v>74</v>
      </c>
      <c r="BB401" s="1" t="s">
        <v>74</v>
      </c>
      <c r="BC401" s="1" t="s">
        <v>74</v>
      </c>
      <c r="BD401" s="1">
        <v>23101.0</v>
      </c>
      <c r="BE401" s="1" t="s">
        <v>3622</v>
      </c>
      <c r="BF401" s="2" t="str">
        <f>HYPERLINK("http://dx.doi.org/10.1103/PhysRevPhysEducRes.16.023101","http://dx.doi.org/10.1103/PhysRevPhysEducRes.16.023101")</f>
        <v>http://dx.doi.org/10.1103/PhysRevPhysEducRes.16.023101</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3623</v>
      </c>
      <c r="BT401" s="1" t="str">
        <f>HYPERLINK("https%3A%2F%2Fwww.webofscience.com%2Fwos%2Fwoscc%2Ffull-record%2FWOS:000548061600003","View Full Record in Web of Science")</f>
        <v>View Full Record in Web of Science</v>
      </c>
    </row>
    <row r="402" ht="12.75" customHeight="1">
      <c r="A402" s="1" t="s">
        <v>72</v>
      </c>
      <c r="B402" s="1" t="s">
        <v>3624</v>
      </c>
      <c r="C402" s="1" t="s">
        <v>74</v>
      </c>
      <c r="D402" s="1" t="s">
        <v>74</v>
      </c>
      <c r="E402" s="1" t="s">
        <v>74</v>
      </c>
      <c r="F402" s="1" t="s">
        <v>3625</v>
      </c>
      <c r="G402" s="1" t="s">
        <v>74</v>
      </c>
      <c r="H402" s="1" t="s">
        <v>74</v>
      </c>
      <c r="I402" s="1" t="s">
        <v>3626</v>
      </c>
      <c r="J402" s="1" t="s">
        <v>3627</v>
      </c>
      <c r="K402" s="1" t="s">
        <v>74</v>
      </c>
      <c r="L402" s="1" t="s">
        <v>74</v>
      </c>
      <c r="M402" s="1" t="s">
        <v>74</v>
      </c>
      <c r="N402" s="1" t="s">
        <v>74</v>
      </c>
      <c r="O402" s="1" t="s">
        <v>74</v>
      </c>
      <c r="P402" s="1" t="s">
        <v>74</v>
      </c>
      <c r="Q402" s="1" t="s">
        <v>74</v>
      </c>
      <c r="R402" s="1" t="s">
        <v>74</v>
      </c>
      <c r="S402" s="1" t="s">
        <v>74</v>
      </c>
      <c r="T402" s="1" t="s">
        <v>74</v>
      </c>
      <c r="U402" s="1" t="s">
        <v>74</v>
      </c>
      <c r="V402" s="1" t="s">
        <v>3628</v>
      </c>
      <c r="W402" s="1" t="s">
        <v>74</v>
      </c>
      <c r="X402" s="1" t="s">
        <v>74</v>
      </c>
      <c r="Y402" s="1" t="s">
        <v>74</v>
      </c>
      <c r="Z402" s="1" t="s">
        <v>74</v>
      </c>
      <c r="AA402" s="1" t="s">
        <v>74</v>
      </c>
      <c r="AB402" s="1" t="s">
        <v>74</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3629</v>
      </c>
      <c r="AP402" s="1" t="s">
        <v>3630</v>
      </c>
      <c r="AQ402" s="1" t="s">
        <v>74</v>
      </c>
      <c r="AR402" s="1" t="s">
        <v>74</v>
      </c>
      <c r="AS402" s="1" t="s">
        <v>74</v>
      </c>
      <c r="AT402" s="1" t="s">
        <v>148</v>
      </c>
      <c r="AU402" s="1">
        <v>2020.0</v>
      </c>
      <c r="AV402" s="1" t="s">
        <v>74</v>
      </c>
      <c r="AW402" s="1">
        <v>59.0</v>
      </c>
      <c r="AX402" s="1" t="s">
        <v>74</v>
      </c>
      <c r="AY402" s="1" t="s">
        <v>74</v>
      </c>
      <c r="AZ402" s="1" t="s">
        <v>74</v>
      </c>
      <c r="BA402" s="1" t="s">
        <v>74</v>
      </c>
      <c r="BB402" s="1">
        <v>121.0</v>
      </c>
      <c r="BC402" s="1">
        <v>151.0</v>
      </c>
      <c r="BD402" s="1" t="s">
        <v>74</v>
      </c>
      <c r="BE402" s="1" t="s">
        <v>3631</v>
      </c>
      <c r="BF402" s="2" t="str">
        <f>HYPERLINK("http://dx.doi.org/10.21555/top.v0i59.1074","http://dx.doi.org/10.21555/top.v0i59.1074")</f>
        <v>http://dx.doi.org/10.21555/top.v0i59.1074</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3632</v>
      </c>
      <c r="BT402" s="1" t="str">
        <f>HYPERLINK("https%3A%2F%2Fwww.webofscience.com%2Fwos%2Fwoscc%2Ffull-record%2FWOS:000612269100004","View Full Record in Web of Science")</f>
        <v>View Full Record in Web of Science</v>
      </c>
    </row>
    <row r="403" ht="12.75" customHeight="1">
      <c r="A403" s="1" t="s">
        <v>72</v>
      </c>
      <c r="B403" s="1" t="s">
        <v>3633</v>
      </c>
      <c r="C403" s="1" t="s">
        <v>74</v>
      </c>
      <c r="D403" s="1" t="s">
        <v>74</v>
      </c>
      <c r="E403" s="1" t="s">
        <v>74</v>
      </c>
      <c r="F403" s="1" t="s">
        <v>3634</v>
      </c>
      <c r="G403" s="1" t="s">
        <v>74</v>
      </c>
      <c r="H403" s="1" t="s">
        <v>74</v>
      </c>
      <c r="I403" s="1" t="s">
        <v>3635</v>
      </c>
      <c r="J403" s="1" t="s">
        <v>2695</v>
      </c>
      <c r="K403" s="1" t="s">
        <v>74</v>
      </c>
      <c r="L403" s="1" t="s">
        <v>74</v>
      </c>
      <c r="M403" s="1" t="s">
        <v>74</v>
      </c>
      <c r="N403" s="1" t="s">
        <v>74</v>
      </c>
      <c r="O403" s="1" t="s">
        <v>74</v>
      </c>
      <c r="P403" s="1" t="s">
        <v>74</v>
      </c>
      <c r="Q403" s="1" t="s">
        <v>74</v>
      </c>
      <c r="R403" s="1" t="s">
        <v>74</v>
      </c>
      <c r="S403" s="1" t="s">
        <v>74</v>
      </c>
      <c r="T403" s="1" t="s">
        <v>74</v>
      </c>
      <c r="U403" s="1" t="s">
        <v>74</v>
      </c>
      <c r="V403" s="1" t="s">
        <v>74</v>
      </c>
      <c r="W403" s="1" t="s">
        <v>74</v>
      </c>
      <c r="X403" s="1" t="s">
        <v>74</v>
      </c>
      <c r="Y403" s="1" t="s">
        <v>74</v>
      </c>
      <c r="Z403" s="1" t="s">
        <v>74</v>
      </c>
      <c r="AA403" s="1" t="s">
        <v>2106</v>
      </c>
      <c r="AB403" s="1" t="s">
        <v>74</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2696</v>
      </c>
      <c r="AP403" s="1" t="s">
        <v>74</v>
      </c>
      <c r="AQ403" s="1" t="s">
        <v>74</v>
      </c>
      <c r="AR403" s="1" t="s">
        <v>74</v>
      </c>
      <c r="AS403" s="1" t="s">
        <v>74</v>
      </c>
      <c r="AT403" s="1" t="s">
        <v>2819</v>
      </c>
      <c r="AU403" s="1">
        <v>2020.0</v>
      </c>
      <c r="AV403" s="1">
        <v>65.0</v>
      </c>
      <c r="AW403" s="1">
        <v>239.0</v>
      </c>
      <c r="AX403" s="1" t="s">
        <v>74</v>
      </c>
      <c r="AY403" s="1" t="s">
        <v>74</v>
      </c>
      <c r="AZ403" s="1" t="s">
        <v>74</v>
      </c>
      <c r="BA403" s="1" t="s">
        <v>74</v>
      </c>
      <c r="BB403" s="1">
        <v>379.0</v>
      </c>
      <c r="BC403" s="1">
        <v>393.0</v>
      </c>
      <c r="BD403" s="1" t="s">
        <v>74</v>
      </c>
      <c r="BE403" s="1" t="s">
        <v>3636</v>
      </c>
      <c r="BF403" s="2" t="str">
        <f>HYPERLINK("http://dx.doi.org/10.22201/fcpys.2448492xe.2020.239.67896","http://dx.doi.org/10.22201/fcpys.2448492xe.2020.239.67896")</f>
        <v>http://dx.doi.org/10.22201/fcpys.2448492xe.2020.239.67896</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3637</v>
      </c>
      <c r="BT403" s="1" t="str">
        <f>HYPERLINK("https%3A%2F%2Fwww.webofscience.com%2Fwos%2Fwoscc%2Ffull-record%2FWOS:000624135500016","View Full Record in Web of Science")</f>
        <v>View Full Record in Web of Science</v>
      </c>
    </row>
    <row r="404" ht="12.75" customHeight="1">
      <c r="A404" s="1" t="s">
        <v>72</v>
      </c>
      <c r="B404" s="1" t="s">
        <v>3638</v>
      </c>
      <c r="C404" s="1" t="s">
        <v>74</v>
      </c>
      <c r="D404" s="1" t="s">
        <v>74</v>
      </c>
      <c r="E404" s="1" t="s">
        <v>74</v>
      </c>
      <c r="F404" s="1" t="s">
        <v>3639</v>
      </c>
      <c r="G404" s="1" t="s">
        <v>74</v>
      </c>
      <c r="H404" s="1" t="s">
        <v>74</v>
      </c>
      <c r="I404" s="1" t="s">
        <v>3640</v>
      </c>
      <c r="J404" s="1" t="s">
        <v>2874</v>
      </c>
      <c r="K404" s="1" t="s">
        <v>74</v>
      </c>
      <c r="L404" s="1" t="s">
        <v>74</v>
      </c>
      <c r="M404" s="1" t="s">
        <v>74</v>
      </c>
      <c r="N404" s="1" t="s">
        <v>74</v>
      </c>
      <c r="O404" s="1" t="s">
        <v>74</v>
      </c>
      <c r="P404" s="1" t="s">
        <v>74</v>
      </c>
      <c r="Q404" s="1" t="s">
        <v>74</v>
      </c>
      <c r="R404" s="1" t="s">
        <v>74</v>
      </c>
      <c r="S404" s="1" t="s">
        <v>74</v>
      </c>
      <c r="T404" s="1" t="s">
        <v>74</v>
      </c>
      <c r="U404" s="1" t="s">
        <v>74</v>
      </c>
      <c r="V404" s="1" t="s">
        <v>3641</v>
      </c>
      <c r="W404" s="1" t="s">
        <v>74</v>
      </c>
      <c r="X404" s="1" t="s">
        <v>74</v>
      </c>
      <c r="Y404" s="1" t="s">
        <v>74</v>
      </c>
      <c r="Z404" s="1" t="s">
        <v>74</v>
      </c>
      <c r="AA404" s="1" t="s">
        <v>3642</v>
      </c>
      <c r="AB404" s="1" t="s">
        <v>3643</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2878</v>
      </c>
      <c r="AP404" s="1" t="s">
        <v>2879</v>
      </c>
      <c r="AQ404" s="1" t="s">
        <v>74</v>
      </c>
      <c r="AR404" s="1" t="s">
        <v>74</v>
      </c>
      <c r="AS404" s="1" t="s">
        <v>74</v>
      </c>
      <c r="AT404" s="1" t="s">
        <v>3644</v>
      </c>
      <c r="AU404" s="1">
        <v>2020.0</v>
      </c>
      <c r="AV404" s="1">
        <v>231.0</v>
      </c>
      <c r="AW404" s="1" t="s">
        <v>74</v>
      </c>
      <c r="AX404" s="1" t="s">
        <v>74</v>
      </c>
      <c r="AY404" s="1" t="s">
        <v>74</v>
      </c>
      <c r="AZ404" s="1" t="s">
        <v>74</v>
      </c>
      <c r="BA404" s="1" t="s">
        <v>74</v>
      </c>
      <c r="BB404" s="1" t="s">
        <v>74</v>
      </c>
      <c r="BC404" s="1" t="s">
        <v>74</v>
      </c>
      <c r="BD404" s="1">
        <v>115702.0</v>
      </c>
      <c r="BE404" s="1" t="s">
        <v>3645</v>
      </c>
      <c r="BF404" s="2" t="str">
        <f>HYPERLINK("http://dx.doi.org/10.1016/j.carbpol.2019.115702","http://dx.doi.org/10.1016/j.carbpol.2019.115702")</f>
        <v>http://dx.doi.org/10.1016/j.carbpol.2019.115702</v>
      </c>
      <c r="BG404" s="1" t="s">
        <v>74</v>
      </c>
      <c r="BH404" s="1" t="s">
        <v>74</v>
      </c>
      <c r="BI404" s="1" t="s">
        <v>74</v>
      </c>
      <c r="BJ404" s="1" t="s">
        <v>74</v>
      </c>
      <c r="BK404" s="1" t="s">
        <v>74</v>
      </c>
      <c r="BL404" s="1" t="s">
        <v>74</v>
      </c>
      <c r="BM404" s="1" t="s">
        <v>74</v>
      </c>
      <c r="BN404" s="1">
        <v>3.1888827E7</v>
      </c>
      <c r="BO404" s="1" t="s">
        <v>74</v>
      </c>
      <c r="BP404" s="1" t="s">
        <v>74</v>
      </c>
      <c r="BQ404" s="1" t="s">
        <v>74</v>
      </c>
      <c r="BR404" s="1" t="s">
        <v>74</v>
      </c>
      <c r="BS404" s="1" t="s">
        <v>3646</v>
      </c>
      <c r="BT404" s="1" t="str">
        <f>HYPERLINK("https%3A%2F%2Fwww.webofscience.com%2Fwos%2Fwoscc%2Ffull-record%2FWOS:000504650500032","View Full Record in Web of Science")</f>
        <v>View Full Record in Web of Science</v>
      </c>
    </row>
    <row r="405" ht="12.75" customHeight="1">
      <c r="A405" s="1" t="s">
        <v>72</v>
      </c>
      <c r="B405" s="1" t="s">
        <v>3647</v>
      </c>
      <c r="C405" s="1" t="s">
        <v>74</v>
      </c>
      <c r="D405" s="1" t="s">
        <v>74</v>
      </c>
      <c r="E405" s="1" t="s">
        <v>74</v>
      </c>
      <c r="F405" s="1" t="s">
        <v>3648</v>
      </c>
      <c r="G405" s="1" t="s">
        <v>74</v>
      </c>
      <c r="H405" s="1" t="s">
        <v>74</v>
      </c>
      <c r="I405" s="1" t="s">
        <v>3649</v>
      </c>
      <c r="J405" s="1" t="s">
        <v>3650</v>
      </c>
      <c r="K405" s="1" t="s">
        <v>74</v>
      </c>
      <c r="L405" s="1" t="s">
        <v>74</v>
      </c>
      <c r="M405" s="1" t="s">
        <v>74</v>
      </c>
      <c r="N405" s="1" t="s">
        <v>74</v>
      </c>
      <c r="O405" s="1" t="s">
        <v>74</v>
      </c>
      <c r="P405" s="1" t="s">
        <v>74</v>
      </c>
      <c r="Q405" s="1" t="s">
        <v>74</v>
      </c>
      <c r="R405" s="1" t="s">
        <v>74</v>
      </c>
      <c r="S405" s="1" t="s">
        <v>74</v>
      </c>
      <c r="T405" s="1" t="s">
        <v>74</v>
      </c>
      <c r="U405" s="1" t="s">
        <v>74</v>
      </c>
      <c r="V405" s="1" t="s">
        <v>74</v>
      </c>
      <c r="W405" s="1" t="s">
        <v>74</v>
      </c>
      <c r="X405" s="1" t="s">
        <v>74</v>
      </c>
      <c r="Y405" s="1" t="s">
        <v>74</v>
      </c>
      <c r="Z405" s="1" t="s">
        <v>74</v>
      </c>
      <c r="AA405" s="1" t="s">
        <v>74</v>
      </c>
      <c r="AB405" s="1" t="s">
        <v>74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3651</v>
      </c>
      <c r="AP405" s="1" t="s">
        <v>3652</v>
      </c>
      <c r="AQ405" s="1" t="s">
        <v>74</v>
      </c>
      <c r="AR405" s="1" t="s">
        <v>74</v>
      </c>
      <c r="AS405" s="1" t="s">
        <v>74</v>
      </c>
      <c r="AT405" s="1" t="s">
        <v>74</v>
      </c>
      <c r="AU405" s="1">
        <v>2020.0</v>
      </c>
      <c r="AV405" s="1">
        <v>20.0</v>
      </c>
      <c r="AW405" s="1">
        <v>2.0</v>
      </c>
      <c r="AX405" s="1" t="s">
        <v>74</v>
      </c>
      <c r="AY405" s="1" t="s">
        <v>74</v>
      </c>
      <c r="AZ405" s="1" t="s">
        <v>74</v>
      </c>
      <c r="BA405" s="1" t="s">
        <v>74</v>
      </c>
      <c r="BB405" s="1">
        <v>215.0</v>
      </c>
      <c r="BC405" s="1">
        <v>218.0</v>
      </c>
      <c r="BD405" s="1" t="s">
        <v>74</v>
      </c>
      <c r="BE405" s="1" t="s">
        <v>74</v>
      </c>
      <c r="BF405" s="1" t="s">
        <v>74</v>
      </c>
      <c r="BG405" s="1" t="s">
        <v>74</v>
      </c>
      <c r="BH405" s="1" t="s">
        <v>74</v>
      </c>
      <c r="BI405" s="1" t="s">
        <v>74</v>
      </c>
      <c r="BJ405" s="1" t="s">
        <v>74</v>
      </c>
      <c r="BK405" s="1" t="s">
        <v>74</v>
      </c>
      <c r="BL405" s="1" t="s">
        <v>74</v>
      </c>
      <c r="BM405" s="1" t="s">
        <v>74</v>
      </c>
      <c r="BN405" s="1" t="s">
        <v>74</v>
      </c>
      <c r="BO405" s="1" t="s">
        <v>74</v>
      </c>
      <c r="BP405" s="1" t="s">
        <v>74</v>
      </c>
      <c r="BQ405" s="1" t="s">
        <v>74</v>
      </c>
      <c r="BR405" s="1" t="s">
        <v>74</v>
      </c>
      <c r="BS405" s="1" t="s">
        <v>3653</v>
      </c>
      <c r="BT405" s="1" t="str">
        <f>HYPERLINK("https%3A%2F%2Fwww.webofscience.com%2Fwos%2Fwoscc%2Ffull-record%2FWOS:000606328000010","View Full Record in Web of Science")</f>
        <v>View Full Record in Web of Science</v>
      </c>
    </row>
    <row r="406" ht="12.75" customHeight="1">
      <c r="A406" s="1" t="s">
        <v>72</v>
      </c>
      <c r="B406" s="1" t="s">
        <v>3654</v>
      </c>
      <c r="C406" s="1" t="s">
        <v>74</v>
      </c>
      <c r="D406" s="1" t="s">
        <v>74</v>
      </c>
      <c r="E406" s="1" t="s">
        <v>74</v>
      </c>
      <c r="F406" s="1" t="s">
        <v>3655</v>
      </c>
      <c r="G406" s="1" t="s">
        <v>74</v>
      </c>
      <c r="H406" s="1" t="s">
        <v>74</v>
      </c>
      <c r="I406" s="1" t="s">
        <v>3656</v>
      </c>
      <c r="J406" s="1" t="s">
        <v>3657</v>
      </c>
      <c r="K406" s="1" t="s">
        <v>74</v>
      </c>
      <c r="L406" s="1" t="s">
        <v>74</v>
      </c>
      <c r="M406" s="1" t="s">
        <v>74</v>
      </c>
      <c r="N406" s="1" t="s">
        <v>74</v>
      </c>
      <c r="O406" s="1" t="s">
        <v>74</v>
      </c>
      <c r="P406" s="1" t="s">
        <v>74</v>
      </c>
      <c r="Q406" s="1" t="s">
        <v>74</v>
      </c>
      <c r="R406" s="1" t="s">
        <v>74</v>
      </c>
      <c r="S406" s="1" t="s">
        <v>74</v>
      </c>
      <c r="T406" s="1" t="s">
        <v>74</v>
      </c>
      <c r="U406" s="1" t="s">
        <v>74</v>
      </c>
      <c r="V406" s="1" t="s">
        <v>3658</v>
      </c>
      <c r="W406" s="1" t="s">
        <v>74</v>
      </c>
      <c r="X406" s="1" t="s">
        <v>74</v>
      </c>
      <c r="Y406" s="1" t="s">
        <v>74</v>
      </c>
      <c r="Z406" s="1" t="s">
        <v>74</v>
      </c>
      <c r="AA406" s="1" t="s">
        <v>3659</v>
      </c>
      <c r="AB406" s="1" t="s">
        <v>2828</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3660</v>
      </c>
      <c r="AP406" s="1" t="s">
        <v>3661</v>
      </c>
      <c r="AQ406" s="1" t="s">
        <v>74</v>
      </c>
      <c r="AR406" s="1" t="s">
        <v>74</v>
      </c>
      <c r="AS406" s="1" t="s">
        <v>74</v>
      </c>
      <c r="AT406" s="1" t="s">
        <v>123</v>
      </c>
      <c r="AU406" s="1">
        <v>2020.0</v>
      </c>
      <c r="AV406" s="1">
        <v>36.0</v>
      </c>
      <c r="AW406" s="1" t="s">
        <v>74</v>
      </c>
      <c r="AX406" s="1" t="s">
        <v>74</v>
      </c>
      <c r="AY406" s="1" t="s">
        <v>74</v>
      </c>
      <c r="AZ406" s="1" t="s">
        <v>74</v>
      </c>
      <c r="BA406" s="1" t="s">
        <v>74</v>
      </c>
      <c r="BB406" s="1" t="s">
        <v>74</v>
      </c>
      <c r="BC406" s="1" t="s">
        <v>74</v>
      </c>
      <c r="BD406" s="1">
        <v>100819.0</v>
      </c>
      <c r="BE406" s="1" t="s">
        <v>3662</v>
      </c>
      <c r="BF406" s="2" t="str">
        <f>HYPERLINK("http://dx.doi.org/10.1016/j.ehb.2019.100819","http://dx.doi.org/10.1016/j.ehb.2019.100819")</f>
        <v>http://dx.doi.org/10.1016/j.ehb.2019.100819</v>
      </c>
      <c r="BG406" s="1" t="s">
        <v>74</v>
      </c>
      <c r="BH406" s="1" t="s">
        <v>74</v>
      </c>
      <c r="BI406" s="1" t="s">
        <v>74</v>
      </c>
      <c r="BJ406" s="1" t="s">
        <v>74</v>
      </c>
      <c r="BK406" s="1" t="s">
        <v>74</v>
      </c>
      <c r="BL406" s="1" t="s">
        <v>74</v>
      </c>
      <c r="BM406" s="1" t="s">
        <v>74</v>
      </c>
      <c r="BN406" s="1">
        <v>3.1653593E7</v>
      </c>
      <c r="BO406" s="1" t="s">
        <v>74</v>
      </c>
      <c r="BP406" s="1" t="s">
        <v>74</v>
      </c>
      <c r="BQ406" s="1" t="s">
        <v>74</v>
      </c>
      <c r="BR406" s="1" t="s">
        <v>74</v>
      </c>
      <c r="BS406" s="1" t="s">
        <v>3663</v>
      </c>
      <c r="BT406" s="1" t="str">
        <f>HYPERLINK("https%3A%2F%2Fwww.webofscience.com%2Fwos%2Fwoscc%2Ffull-record%2FWOS:000512477500017","View Full Record in Web of Science")</f>
        <v>View Full Record in Web of Science</v>
      </c>
    </row>
    <row r="407" ht="12.75" customHeight="1">
      <c r="A407" s="1" t="s">
        <v>72</v>
      </c>
      <c r="B407" s="1" t="s">
        <v>3664</v>
      </c>
      <c r="C407" s="1" t="s">
        <v>74</v>
      </c>
      <c r="D407" s="1" t="s">
        <v>74</v>
      </c>
      <c r="E407" s="1" t="s">
        <v>74</v>
      </c>
      <c r="F407" s="1" t="s">
        <v>3665</v>
      </c>
      <c r="G407" s="1" t="s">
        <v>74</v>
      </c>
      <c r="H407" s="1" t="s">
        <v>74</v>
      </c>
      <c r="I407" s="1" t="s">
        <v>3666</v>
      </c>
      <c r="J407" s="1" t="s">
        <v>448</v>
      </c>
      <c r="K407" s="1" t="s">
        <v>74</v>
      </c>
      <c r="L407" s="1" t="s">
        <v>74</v>
      </c>
      <c r="M407" s="1" t="s">
        <v>74</v>
      </c>
      <c r="N407" s="1" t="s">
        <v>74</v>
      </c>
      <c r="O407" s="1" t="s">
        <v>74</v>
      </c>
      <c r="P407" s="1" t="s">
        <v>74</v>
      </c>
      <c r="Q407" s="1" t="s">
        <v>74</v>
      </c>
      <c r="R407" s="1" t="s">
        <v>74</v>
      </c>
      <c r="S407" s="1" t="s">
        <v>74</v>
      </c>
      <c r="T407" s="1" t="s">
        <v>74</v>
      </c>
      <c r="U407" s="1" t="s">
        <v>74</v>
      </c>
      <c r="V407" s="1" t="s">
        <v>3667</v>
      </c>
      <c r="W407" s="1" t="s">
        <v>74</v>
      </c>
      <c r="X407" s="1" t="s">
        <v>74</v>
      </c>
      <c r="Y407" s="1" t="s">
        <v>74</v>
      </c>
      <c r="Z407" s="1" t="s">
        <v>74</v>
      </c>
      <c r="AA407" s="1" t="s">
        <v>3668</v>
      </c>
      <c r="AB407" s="1" t="s">
        <v>3669</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452</v>
      </c>
      <c r="AP407" s="1" t="s">
        <v>74</v>
      </c>
      <c r="AQ407" s="1" t="s">
        <v>74</v>
      </c>
      <c r="AR407" s="1" t="s">
        <v>74</v>
      </c>
      <c r="AS407" s="1" t="s">
        <v>74</v>
      </c>
      <c r="AT407" s="1" t="s">
        <v>3670</v>
      </c>
      <c r="AU407" s="1">
        <v>2019.0</v>
      </c>
      <c r="AV407" s="1">
        <v>385.0</v>
      </c>
      <c r="AW407" s="1" t="s">
        <v>74</v>
      </c>
      <c r="AX407" s="1" t="s">
        <v>74</v>
      </c>
      <c r="AY407" s="1" t="s">
        <v>74</v>
      </c>
      <c r="AZ407" s="1" t="s">
        <v>74</v>
      </c>
      <c r="BA407" s="1" t="s">
        <v>74</v>
      </c>
      <c r="BB407" s="1" t="s">
        <v>74</v>
      </c>
      <c r="BC407" s="1" t="s">
        <v>74</v>
      </c>
      <c r="BD407" s="1">
        <v>112052.0</v>
      </c>
      <c r="BE407" s="1" t="s">
        <v>3671</v>
      </c>
      <c r="BF407" s="2" t="str">
        <f>HYPERLINK("http://dx.doi.org/10.1016/j.jphotochem.2019.112052","http://dx.doi.org/10.1016/j.jphotochem.2019.112052")</f>
        <v>http://dx.doi.org/10.1016/j.jphotochem.2019.112052</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3672</v>
      </c>
      <c r="BT407" s="1" t="str">
        <f>HYPERLINK("https%3A%2F%2Fwww.webofscience.com%2Fwos%2Fwoscc%2Ffull-record%2FWOS:000490630700001","View Full Record in Web of Science")</f>
        <v>View Full Record in Web of Science</v>
      </c>
    </row>
    <row r="408" ht="12.75" customHeight="1">
      <c r="A408" s="1" t="s">
        <v>72</v>
      </c>
      <c r="B408" s="1" t="s">
        <v>3673</v>
      </c>
      <c r="C408" s="1" t="s">
        <v>74</v>
      </c>
      <c r="D408" s="1" t="s">
        <v>74</v>
      </c>
      <c r="E408" s="1" t="s">
        <v>74</v>
      </c>
      <c r="F408" s="1" t="s">
        <v>3674</v>
      </c>
      <c r="G408" s="1" t="s">
        <v>74</v>
      </c>
      <c r="H408" s="1" t="s">
        <v>74</v>
      </c>
      <c r="I408" s="1" t="s">
        <v>3675</v>
      </c>
      <c r="J408" s="1" t="s">
        <v>3676</v>
      </c>
      <c r="K408" s="1" t="s">
        <v>74</v>
      </c>
      <c r="L408" s="1" t="s">
        <v>74</v>
      </c>
      <c r="M408" s="1" t="s">
        <v>74</v>
      </c>
      <c r="N408" s="1" t="s">
        <v>74</v>
      </c>
      <c r="O408" s="1" t="s">
        <v>74</v>
      </c>
      <c r="P408" s="1" t="s">
        <v>74</v>
      </c>
      <c r="Q408" s="1" t="s">
        <v>74</v>
      </c>
      <c r="R408" s="1" t="s">
        <v>74</v>
      </c>
      <c r="S408" s="1" t="s">
        <v>74</v>
      </c>
      <c r="T408" s="1" t="s">
        <v>74</v>
      </c>
      <c r="U408" s="1" t="s">
        <v>74</v>
      </c>
      <c r="V408" s="1" t="s">
        <v>3677</v>
      </c>
      <c r="W408" s="1" t="s">
        <v>74</v>
      </c>
      <c r="X408" s="1" t="s">
        <v>74</v>
      </c>
      <c r="Y408" s="1" t="s">
        <v>74</v>
      </c>
      <c r="Z408" s="1" t="s">
        <v>74</v>
      </c>
      <c r="AA408" s="1" t="s">
        <v>74</v>
      </c>
      <c r="AB408" s="1" t="s">
        <v>3678</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3679</v>
      </c>
      <c r="AP408" s="1" t="s">
        <v>3680</v>
      </c>
      <c r="AQ408" s="1" t="s">
        <v>74</v>
      </c>
      <c r="AR408" s="1" t="s">
        <v>74</v>
      </c>
      <c r="AS408" s="1" t="s">
        <v>74</v>
      </c>
      <c r="AT408" s="1" t="s">
        <v>3681</v>
      </c>
      <c r="AU408" s="1">
        <v>2019.0</v>
      </c>
      <c r="AV408" s="1">
        <v>37.0</v>
      </c>
      <c r="AW408" s="1">
        <v>6.0</v>
      </c>
      <c r="AX408" s="1" t="s">
        <v>74</v>
      </c>
      <c r="AY408" s="1" t="s">
        <v>74</v>
      </c>
      <c r="AZ408" s="1" t="s">
        <v>74</v>
      </c>
      <c r="BA408" s="1" t="s">
        <v>74</v>
      </c>
      <c r="BB408" s="1">
        <v>1511.0</v>
      </c>
      <c r="BC408" s="1">
        <v>1519.0</v>
      </c>
      <c r="BD408" s="1" t="s">
        <v>74</v>
      </c>
      <c r="BE408" s="1" t="s">
        <v>3682</v>
      </c>
      <c r="BF408" s="2" t="str">
        <f>HYPERLINK("http://dx.doi.org/10.1080/07391102.2018.1461687","http://dx.doi.org/10.1080/07391102.2018.1461687")</f>
        <v>http://dx.doi.org/10.1080/07391102.2018.1461687</v>
      </c>
      <c r="BG408" s="1" t="s">
        <v>74</v>
      </c>
      <c r="BH408" s="1" t="s">
        <v>74</v>
      </c>
      <c r="BI408" s="1" t="s">
        <v>74</v>
      </c>
      <c r="BJ408" s="1" t="s">
        <v>74</v>
      </c>
      <c r="BK408" s="1" t="s">
        <v>74</v>
      </c>
      <c r="BL408" s="1" t="s">
        <v>74</v>
      </c>
      <c r="BM408" s="1" t="s">
        <v>74</v>
      </c>
      <c r="BN408" s="1">
        <v>2.9624122E7</v>
      </c>
      <c r="BO408" s="1" t="s">
        <v>74</v>
      </c>
      <c r="BP408" s="1" t="s">
        <v>74</v>
      </c>
      <c r="BQ408" s="1" t="s">
        <v>74</v>
      </c>
      <c r="BR408" s="1" t="s">
        <v>74</v>
      </c>
      <c r="BS408" s="1" t="s">
        <v>3683</v>
      </c>
      <c r="BT408" s="1" t="str">
        <f>HYPERLINK("https%3A%2F%2Fwww.webofscience.com%2Fwos%2Fwoscc%2Ffull-record%2FWOS:000461434300011","View Full Record in Web of Science")</f>
        <v>View Full Record in Web of Science</v>
      </c>
    </row>
    <row r="409" ht="12.75" customHeight="1">
      <c r="A409" s="1" t="s">
        <v>72</v>
      </c>
      <c r="B409" s="1" t="s">
        <v>3684</v>
      </c>
      <c r="C409" s="1" t="s">
        <v>74</v>
      </c>
      <c r="D409" s="1" t="s">
        <v>74</v>
      </c>
      <c r="E409" s="1" t="s">
        <v>74</v>
      </c>
      <c r="F409" s="1" t="s">
        <v>3685</v>
      </c>
      <c r="G409" s="1" t="s">
        <v>74</v>
      </c>
      <c r="H409" s="1" t="s">
        <v>74</v>
      </c>
      <c r="I409" s="1" t="s">
        <v>3686</v>
      </c>
      <c r="J409" s="1" t="s">
        <v>3687</v>
      </c>
      <c r="K409" s="1" t="s">
        <v>74</v>
      </c>
      <c r="L409" s="1" t="s">
        <v>74</v>
      </c>
      <c r="M409" s="1" t="s">
        <v>74</v>
      </c>
      <c r="N409" s="1" t="s">
        <v>74</v>
      </c>
      <c r="O409" s="1" t="s">
        <v>74</v>
      </c>
      <c r="P409" s="1" t="s">
        <v>74</v>
      </c>
      <c r="Q409" s="1" t="s">
        <v>74</v>
      </c>
      <c r="R409" s="1" t="s">
        <v>74</v>
      </c>
      <c r="S409" s="1" t="s">
        <v>74</v>
      </c>
      <c r="T409" s="1" t="s">
        <v>74</v>
      </c>
      <c r="U409" s="1" t="s">
        <v>74</v>
      </c>
      <c r="V409" s="1" t="s">
        <v>3688</v>
      </c>
      <c r="W409" s="1" t="s">
        <v>74</v>
      </c>
      <c r="X409" s="1" t="s">
        <v>74</v>
      </c>
      <c r="Y409" s="1" t="s">
        <v>74</v>
      </c>
      <c r="Z409" s="1" t="s">
        <v>74</v>
      </c>
      <c r="AA409" s="1" t="s">
        <v>3689</v>
      </c>
      <c r="AB409" s="1" t="s">
        <v>3690</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3691</v>
      </c>
      <c r="AP409" s="1" t="s">
        <v>3692</v>
      </c>
      <c r="AQ409" s="1" t="s">
        <v>74</v>
      </c>
      <c r="AR409" s="1" t="s">
        <v>74</v>
      </c>
      <c r="AS409" s="1" t="s">
        <v>74</v>
      </c>
      <c r="AT409" s="1" t="s">
        <v>1560</v>
      </c>
      <c r="AU409" s="1">
        <v>2019.0</v>
      </c>
      <c r="AV409" s="1">
        <v>119.0</v>
      </c>
      <c r="AW409" s="1">
        <v>2.0</v>
      </c>
      <c r="AX409" s="1" t="s">
        <v>74</v>
      </c>
      <c r="AY409" s="1" t="s">
        <v>74</v>
      </c>
      <c r="AZ409" s="1" t="s">
        <v>159</v>
      </c>
      <c r="BA409" s="1" t="s">
        <v>74</v>
      </c>
      <c r="BB409" s="1" t="s">
        <v>74</v>
      </c>
      <c r="BC409" s="1" t="s">
        <v>74</v>
      </c>
      <c r="BD409" s="1" t="s">
        <v>3693</v>
      </c>
      <c r="BE409" s="1" t="s">
        <v>3694</v>
      </c>
      <c r="BF409" s="2" t="str">
        <f>HYPERLINK("http://dx.doi.org/10.1002/qua.25821","http://dx.doi.org/10.1002/qua.25821")</f>
        <v>http://dx.doi.org/10.1002/qua.25821</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3695</v>
      </c>
      <c r="BT409" s="1" t="str">
        <f>HYPERLINK("https%3A%2F%2Fwww.webofscience.com%2Fwos%2Fwoscc%2Ffull-record%2FWOS:000452623400009","View Full Record in Web of Science")</f>
        <v>View Full Record in Web of Science</v>
      </c>
    </row>
    <row r="410" ht="12.75" customHeight="1">
      <c r="A410" s="1" t="s">
        <v>72</v>
      </c>
      <c r="B410" s="1" t="s">
        <v>1299</v>
      </c>
      <c r="C410" s="1" t="s">
        <v>74</v>
      </c>
      <c r="D410" s="1" t="s">
        <v>74</v>
      </c>
      <c r="E410" s="1" t="s">
        <v>74</v>
      </c>
      <c r="F410" s="1" t="s">
        <v>1300</v>
      </c>
      <c r="G410" s="1" t="s">
        <v>74</v>
      </c>
      <c r="H410" s="1" t="s">
        <v>74</v>
      </c>
      <c r="I410" s="1" t="s">
        <v>3696</v>
      </c>
      <c r="J410" s="1" t="s">
        <v>3697</v>
      </c>
      <c r="K410" s="1" t="s">
        <v>74</v>
      </c>
      <c r="L410" s="1" t="s">
        <v>74</v>
      </c>
      <c r="M410" s="1" t="s">
        <v>74</v>
      </c>
      <c r="N410" s="1" t="s">
        <v>74</v>
      </c>
      <c r="O410" s="1" t="s">
        <v>74</v>
      </c>
      <c r="P410" s="1" t="s">
        <v>74</v>
      </c>
      <c r="Q410" s="1" t="s">
        <v>74</v>
      </c>
      <c r="R410" s="1" t="s">
        <v>74</v>
      </c>
      <c r="S410" s="1" t="s">
        <v>74</v>
      </c>
      <c r="T410" s="1" t="s">
        <v>74</v>
      </c>
      <c r="U410" s="1" t="s">
        <v>74</v>
      </c>
      <c r="V410" s="1" t="s">
        <v>74</v>
      </c>
      <c r="W410" s="1" t="s">
        <v>74</v>
      </c>
      <c r="X410" s="1" t="s">
        <v>74</v>
      </c>
      <c r="Y410" s="1" t="s">
        <v>74</v>
      </c>
      <c r="Z410" s="1" t="s">
        <v>74</v>
      </c>
      <c r="AA410" s="1" t="s">
        <v>74</v>
      </c>
      <c r="AB410" s="1" t="s">
        <v>74</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3698</v>
      </c>
      <c r="AP410" s="1" t="s">
        <v>3699</v>
      </c>
      <c r="AQ410" s="1" t="s">
        <v>74</v>
      </c>
      <c r="AR410" s="1" t="s">
        <v>74</v>
      </c>
      <c r="AS410" s="1" t="s">
        <v>74</v>
      </c>
      <c r="AT410" s="1" t="s">
        <v>3700</v>
      </c>
      <c r="AU410" s="1">
        <v>2019.0</v>
      </c>
      <c r="AV410" s="1">
        <v>52.0</v>
      </c>
      <c r="AW410" s="1">
        <v>1.0</v>
      </c>
      <c r="AX410" s="1" t="s">
        <v>74</v>
      </c>
      <c r="AY410" s="1" t="s">
        <v>74</v>
      </c>
      <c r="AZ410" s="1" t="s">
        <v>159</v>
      </c>
      <c r="BA410" s="1" t="s">
        <v>74</v>
      </c>
      <c r="BB410" s="1">
        <v>106.0</v>
      </c>
      <c r="BC410" s="1">
        <v>112.0</v>
      </c>
      <c r="BD410" s="1" t="s">
        <v>74</v>
      </c>
      <c r="BE410" s="1" t="s">
        <v>3701</v>
      </c>
      <c r="BF410" s="2" t="str">
        <f>HYPERLINK("http://dx.doi.org/10.1080/08905762.2019.1619386","http://dx.doi.org/10.1080/08905762.2019.1619386")</f>
        <v>http://dx.doi.org/10.1080/08905762.2019.1619386</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3702</v>
      </c>
      <c r="BT410" s="1" t="str">
        <f>HYPERLINK("https%3A%2F%2Fwww.webofscience.com%2Fwos%2Fwoscc%2Ffull-record%2FWOS:000477671700022","View Full Record in Web of Science")</f>
        <v>View Full Record in Web of Science</v>
      </c>
    </row>
    <row r="411" ht="12.75" customHeight="1">
      <c r="A411" s="1" t="s">
        <v>72</v>
      </c>
      <c r="B411" s="1" t="s">
        <v>3703</v>
      </c>
      <c r="C411" s="1" t="s">
        <v>74</v>
      </c>
      <c r="D411" s="1" t="s">
        <v>74</v>
      </c>
      <c r="E411" s="1" t="s">
        <v>74</v>
      </c>
      <c r="F411" s="1" t="s">
        <v>3704</v>
      </c>
      <c r="G411" s="1" t="s">
        <v>74</v>
      </c>
      <c r="H411" s="1" t="s">
        <v>74</v>
      </c>
      <c r="I411" s="1" t="s">
        <v>3705</v>
      </c>
      <c r="J411" s="1" t="s">
        <v>3706</v>
      </c>
      <c r="K411" s="1" t="s">
        <v>74</v>
      </c>
      <c r="L411" s="1" t="s">
        <v>74</v>
      </c>
      <c r="M411" s="1" t="s">
        <v>74</v>
      </c>
      <c r="N411" s="1" t="s">
        <v>74</v>
      </c>
      <c r="O411" s="1" t="s">
        <v>74</v>
      </c>
      <c r="P411" s="1" t="s">
        <v>74</v>
      </c>
      <c r="Q411" s="1" t="s">
        <v>74</v>
      </c>
      <c r="R411" s="1" t="s">
        <v>74</v>
      </c>
      <c r="S411" s="1" t="s">
        <v>74</v>
      </c>
      <c r="T411" s="1" t="s">
        <v>74</v>
      </c>
      <c r="U411" s="1" t="s">
        <v>74</v>
      </c>
      <c r="V411" s="1" t="s">
        <v>3707</v>
      </c>
      <c r="W411" s="1" t="s">
        <v>74</v>
      </c>
      <c r="X411" s="1" t="s">
        <v>74</v>
      </c>
      <c r="Y411" s="1" t="s">
        <v>74</v>
      </c>
      <c r="Z411" s="1" t="s">
        <v>74</v>
      </c>
      <c r="AA411" s="1" t="s">
        <v>3708</v>
      </c>
      <c r="AB411" s="1" t="s">
        <v>3077</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3709</v>
      </c>
      <c r="AP411" s="1" t="s">
        <v>3710</v>
      </c>
      <c r="AQ411" s="1" t="s">
        <v>74</v>
      </c>
      <c r="AR411" s="1" t="s">
        <v>74</v>
      </c>
      <c r="AS411" s="1" t="s">
        <v>74</v>
      </c>
      <c r="AT411" s="1" t="s">
        <v>123</v>
      </c>
      <c r="AU411" s="1">
        <v>2019.0</v>
      </c>
      <c r="AV411" s="1">
        <v>96.0</v>
      </c>
      <c r="AW411" s="1" t="s">
        <v>74</v>
      </c>
      <c r="AX411" s="1">
        <v>1.0</v>
      </c>
      <c r="AY411" s="1" t="s">
        <v>74</v>
      </c>
      <c r="AZ411" s="1" t="s">
        <v>74</v>
      </c>
      <c r="BA411" s="1" t="s">
        <v>74</v>
      </c>
      <c r="BB411" s="1">
        <v>532.0</v>
      </c>
      <c r="BC411" s="1">
        <v>539.0</v>
      </c>
      <c r="BD411" s="1" t="s">
        <v>74</v>
      </c>
      <c r="BE411" s="1" t="s">
        <v>3711</v>
      </c>
      <c r="BF411" s="2" t="str">
        <f>HYPERLINK("http://dx.doi.org/10.1016/j.ecolind.2018.09.018","http://dx.doi.org/10.1016/j.ecolind.2018.09.018")</f>
        <v>http://dx.doi.org/10.1016/j.ecolind.2018.09.018</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3712</v>
      </c>
      <c r="BT411" s="1" t="str">
        <f>HYPERLINK("https%3A%2F%2Fwww.webofscience.com%2Fwos%2Fwoscc%2Ffull-record%2FWOS:000464889600052","View Full Record in Web of Science")</f>
        <v>View Full Record in Web of Science</v>
      </c>
    </row>
    <row r="412" ht="12.75" customHeight="1">
      <c r="A412" s="1" t="s">
        <v>126</v>
      </c>
      <c r="B412" s="1" t="s">
        <v>3713</v>
      </c>
      <c r="C412" s="1" t="s">
        <v>74</v>
      </c>
      <c r="D412" s="1" t="s">
        <v>74</v>
      </c>
      <c r="E412" s="1" t="s">
        <v>128</v>
      </c>
      <c r="F412" s="1" t="s">
        <v>3714</v>
      </c>
      <c r="G412" s="1" t="s">
        <v>74</v>
      </c>
      <c r="H412" s="1" t="s">
        <v>74</v>
      </c>
      <c r="I412" s="1" t="s">
        <v>3715</v>
      </c>
      <c r="J412" s="1" t="s">
        <v>3716</v>
      </c>
      <c r="K412" s="1" t="s">
        <v>74</v>
      </c>
      <c r="L412" s="1" t="s">
        <v>74</v>
      </c>
      <c r="M412" s="1" t="s">
        <v>74</v>
      </c>
      <c r="N412" s="1" t="s">
        <v>74</v>
      </c>
      <c r="O412" s="1" t="s">
        <v>3717</v>
      </c>
      <c r="P412" s="1" t="s">
        <v>3718</v>
      </c>
      <c r="Q412" s="1" t="s">
        <v>3719</v>
      </c>
      <c r="R412" s="1" t="s">
        <v>128</v>
      </c>
      <c r="S412" s="1" t="s">
        <v>74</v>
      </c>
      <c r="T412" s="1" t="s">
        <v>74</v>
      </c>
      <c r="U412" s="1" t="s">
        <v>74</v>
      </c>
      <c r="V412" s="1" t="s">
        <v>3720</v>
      </c>
      <c r="W412" s="1" t="s">
        <v>74</v>
      </c>
      <c r="X412" s="1" t="s">
        <v>74</v>
      </c>
      <c r="Y412" s="1" t="s">
        <v>74</v>
      </c>
      <c r="Z412" s="1" t="s">
        <v>74</v>
      </c>
      <c r="AA412" s="1" t="s">
        <v>74</v>
      </c>
      <c r="AB412" s="1" t="s">
        <v>74</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74</v>
      </c>
      <c r="AP412" s="1" t="s">
        <v>74</v>
      </c>
      <c r="AQ412" s="1" t="s">
        <v>3721</v>
      </c>
      <c r="AR412" s="1" t="s">
        <v>74</v>
      </c>
      <c r="AS412" s="1" t="s">
        <v>74</v>
      </c>
      <c r="AT412" s="1" t="s">
        <v>74</v>
      </c>
      <c r="AU412" s="1">
        <v>2019.0</v>
      </c>
      <c r="AV412" s="1" t="s">
        <v>74</v>
      </c>
      <c r="AW412" s="1" t="s">
        <v>74</v>
      </c>
      <c r="AX412" s="1" t="s">
        <v>74</v>
      </c>
      <c r="AY412" s="1" t="s">
        <v>74</v>
      </c>
      <c r="AZ412" s="1" t="s">
        <v>74</v>
      </c>
      <c r="BA412" s="1" t="s">
        <v>74</v>
      </c>
      <c r="BB412" s="1" t="s">
        <v>74</v>
      </c>
      <c r="BC412" s="1" t="s">
        <v>74</v>
      </c>
      <c r="BD412" s="1" t="s">
        <v>74</v>
      </c>
      <c r="BE412" s="1" t="s">
        <v>74</v>
      </c>
      <c r="BF412" s="1" t="s">
        <v>74</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3722</v>
      </c>
      <c r="BT412" s="1" t="str">
        <f>HYPERLINK("https%3A%2F%2Fwww.webofscience.com%2Fwos%2Fwoscc%2Ffull-record%2FWOS:000531166202015","View Full Record in Web of Science")</f>
        <v>View Full Record in Web of Science</v>
      </c>
    </row>
    <row r="413" ht="12.75" customHeight="1">
      <c r="A413" s="1" t="s">
        <v>72</v>
      </c>
      <c r="B413" s="1" t="s">
        <v>3723</v>
      </c>
      <c r="C413" s="1" t="s">
        <v>74</v>
      </c>
      <c r="D413" s="1" t="s">
        <v>74</v>
      </c>
      <c r="E413" s="1" t="s">
        <v>74</v>
      </c>
      <c r="F413" s="1" t="s">
        <v>3724</v>
      </c>
      <c r="G413" s="1" t="s">
        <v>74</v>
      </c>
      <c r="H413" s="1" t="s">
        <v>74</v>
      </c>
      <c r="I413" s="1" t="s">
        <v>3725</v>
      </c>
      <c r="J413" s="1" t="s">
        <v>2048</v>
      </c>
      <c r="K413" s="1" t="s">
        <v>74</v>
      </c>
      <c r="L413" s="1" t="s">
        <v>74</v>
      </c>
      <c r="M413" s="1" t="s">
        <v>74</v>
      </c>
      <c r="N413" s="1" t="s">
        <v>74</v>
      </c>
      <c r="O413" s="1" t="s">
        <v>74</v>
      </c>
      <c r="P413" s="1" t="s">
        <v>74</v>
      </c>
      <c r="Q413" s="1" t="s">
        <v>74</v>
      </c>
      <c r="R413" s="1" t="s">
        <v>74</v>
      </c>
      <c r="S413" s="1" t="s">
        <v>74</v>
      </c>
      <c r="T413" s="1" t="s">
        <v>74</v>
      </c>
      <c r="U413" s="1" t="s">
        <v>74</v>
      </c>
      <c r="V413" s="1" t="s">
        <v>3726</v>
      </c>
      <c r="W413" s="1" t="s">
        <v>74</v>
      </c>
      <c r="X413" s="1" t="s">
        <v>74</v>
      </c>
      <c r="Y413" s="1" t="s">
        <v>74</v>
      </c>
      <c r="Z413" s="1" t="s">
        <v>74</v>
      </c>
      <c r="AA413" s="1" t="s">
        <v>74</v>
      </c>
      <c r="AB413" s="1" t="s">
        <v>74</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2050</v>
      </c>
      <c r="AP413" s="1" t="s">
        <v>74</v>
      </c>
      <c r="AQ413" s="1" t="s">
        <v>74</v>
      </c>
      <c r="AR413" s="1" t="s">
        <v>74</v>
      </c>
      <c r="AS413" s="1" t="s">
        <v>74</v>
      </c>
      <c r="AT413" s="1" t="s">
        <v>410</v>
      </c>
      <c r="AU413" s="1">
        <v>2018.0</v>
      </c>
      <c r="AV413" s="1">
        <v>17.0</v>
      </c>
      <c r="AW413" s="1">
        <v>6.0</v>
      </c>
      <c r="AX413" s="1" t="s">
        <v>74</v>
      </c>
      <c r="AY413" s="1" t="s">
        <v>74</v>
      </c>
      <c r="AZ413" s="1" t="s">
        <v>74</v>
      </c>
      <c r="BA413" s="1" t="s">
        <v>74</v>
      </c>
      <c r="BB413" s="1">
        <v>575.0</v>
      </c>
      <c r="BC413" s="1">
        <v>582.0</v>
      </c>
      <c r="BD413" s="1" t="s">
        <v>74</v>
      </c>
      <c r="BE413" s="1" t="s">
        <v>74</v>
      </c>
      <c r="BF413" s="1" t="s">
        <v>74</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3727</v>
      </c>
      <c r="BT413" s="1" t="str">
        <f>HYPERLINK("https%3A%2F%2Fwww.webofscience.com%2Fwos%2Fwoscc%2Ffull-record%2FWOS:000448822200004","View Full Record in Web of Science")</f>
        <v>View Full Record in Web of Science</v>
      </c>
    </row>
    <row r="414" ht="12.75" customHeight="1">
      <c r="A414" s="1" t="s">
        <v>72</v>
      </c>
      <c r="B414" s="1" t="s">
        <v>3728</v>
      </c>
      <c r="C414" s="1" t="s">
        <v>74</v>
      </c>
      <c r="D414" s="1" t="s">
        <v>74</v>
      </c>
      <c r="E414" s="1" t="s">
        <v>74</v>
      </c>
      <c r="F414" s="1" t="s">
        <v>3729</v>
      </c>
      <c r="G414" s="1" t="s">
        <v>74</v>
      </c>
      <c r="H414" s="1" t="s">
        <v>74</v>
      </c>
      <c r="I414" s="1" t="s">
        <v>3730</v>
      </c>
      <c r="J414" s="1" t="s">
        <v>3731</v>
      </c>
      <c r="K414" s="1" t="s">
        <v>74</v>
      </c>
      <c r="L414" s="1" t="s">
        <v>74</v>
      </c>
      <c r="M414" s="1" t="s">
        <v>74</v>
      </c>
      <c r="N414" s="1" t="s">
        <v>74</v>
      </c>
      <c r="O414" s="1" t="s">
        <v>74</v>
      </c>
      <c r="P414" s="1" t="s">
        <v>74</v>
      </c>
      <c r="Q414" s="1" t="s">
        <v>74</v>
      </c>
      <c r="R414" s="1" t="s">
        <v>74</v>
      </c>
      <c r="S414" s="1" t="s">
        <v>74</v>
      </c>
      <c r="T414" s="1" t="s">
        <v>74</v>
      </c>
      <c r="U414" s="1" t="s">
        <v>74</v>
      </c>
      <c r="V414" s="1" t="s">
        <v>3732</v>
      </c>
      <c r="W414" s="1" t="s">
        <v>74</v>
      </c>
      <c r="X414" s="1" t="s">
        <v>74</v>
      </c>
      <c r="Y414" s="1" t="s">
        <v>74</v>
      </c>
      <c r="Z414" s="1" t="s">
        <v>74</v>
      </c>
      <c r="AA414" s="1" t="s">
        <v>74</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3733</v>
      </c>
      <c r="AP414" s="1" t="s">
        <v>3734</v>
      </c>
      <c r="AQ414" s="1" t="s">
        <v>74</v>
      </c>
      <c r="AR414" s="1" t="s">
        <v>74</v>
      </c>
      <c r="AS414" s="1" t="s">
        <v>74</v>
      </c>
      <c r="AT414" s="1" t="s">
        <v>3735</v>
      </c>
      <c r="AU414" s="1">
        <v>2017.0</v>
      </c>
      <c r="AV414" s="1">
        <v>233.0</v>
      </c>
      <c r="AW414" s="1" t="s">
        <v>74</v>
      </c>
      <c r="AX414" s="1" t="s">
        <v>74</v>
      </c>
      <c r="AY414" s="1" t="s">
        <v>74</v>
      </c>
      <c r="AZ414" s="1" t="s">
        <v>74</v>
      </c>
      <c r="BA414" s="1" t="s">
        <v>74</v>
      </c>
      <c r="BB414" s="1">
        <v>492.0</v>
      </c>
      <c r="BC414" s="1">
        <v>499.0</v>
      </c>
      <c r="BD414" s="1" t="s">
        <v>74</v>
      </c>
      <c r="BE414" s="1" t="s">
        <v>3736</v>
      </c>
      <c r="BF414" s="2" t="str">
        <f>HYPERLINK("http://dx.doi.org/10.1016/j.foodchem.2017.04.144","http://dx.doi.org/10.1016/j.foodchem.2017.04.144")</f>
        <v>http://dx.doi.org/10.1016/j.foodchem.2017.04.144</v>
      </c>
      <c r="BG414" s="1" t="s">
        <v>74</v>
      </c>
      <c r="BH414" s="1" t="s">
        <v>74</v>
      </c>
      <c r="BI414" s="1" t="s">
        <v>74</v>
      </c>
      <c r="BJ414" s="1" t="s">
        <v>74</v>
      </c>
      <c r="BK414" s="1" t="s">
        <v>74</v>
      </c>
      <c r="BL414" s="1" t="s">
        <v>74</v>
      </c>
      <c r="BM414" s="1" t="s">
        <v>74</v>
      </c>
      <c r="BN414" s="1">
        <v>2.8530603E7</v>
      </c>
      <c r="BO414" s="1" t="s">
        <v>74</v>
      </c>
      <c r="BP414" s="1" t="s">
        <v>74</v>
      </c>
      <c r="BQ414" s="1" t="s">
        <v>74</v>
      </c>
      <c r="BR414" s="1" t="s">
        <v>74</v>
      </c>
      <c r="BS414" s="1" t="s">
        <v>3737</v>
      </c>
      <c r="BT414" s="1" t="str">
        <f>HYPERLINK("https%3A%2F%2Fwww.webofscience.com%2Fwos%2Fwoscc%2Ffull-record%2FWOS:000402343100058","View Full Record in Web of Science")</f>
        <v>View Full Record in Web of Science</v>
      </c>
    </row>
    <row r="415" ht="12.75" customHeight="1">
      <c r="A415" s="1" t="s">
        <v>72</v>
      </c>
      <c r="B415" s="1" t="s">
        <v>3738</v>
      </c>
      <c r="C415" s="1" t="s">
        <v>74</v>
      </c>
      <c r="D415" s="1" t="s">
        <v>74</v>
      </c>
      <c r="E415" s="1" t="s">
        <v>74</v>
      </c>
      <c r="F415" s="1" t="s">
        <v>3739</v>
      </c>
      <c r="G415" s="1" t="s">
        <v>74</v>
      </c>
      <c r="H415" s="1" t="s">
        <v>74</v>
      </c>
      <c r="I415" s="1" t="s">
        <v>3740</v>
      </c>
      <c r="J415" s="1" t="s">
        <v>3741</v>
      </c>
      <c r="K415" s="1" t="s">
        <v>74</v>
      </c>
      <c r="L415" s="1" t="s">
        <v>74</v>
      </c>
      <c r="M415" s="1" t="s">
        <v>74</v>
      </c>
      <c r="N415" s="1" t="s">
        <v>74</v>
      </c>
      <c r="O415" s="1" t="s">
        <v>74</v>
      </c>
      <c r="P415" s="1" t="s">
        <v>74</v>
      </c>
      <c r="Q415" s="1" t="s">
        <v>74</v>
      </c>
      <c r="R415" s="1" t="s">
        <v>74</v>
      </c>
      <c r="S415" s="1" t="s">
        <v>74</v>
      </c>
      <c r="T415" s="1" t="s">
        <v>74</v>
      </c>
      <c r="U415" s="1" t="s">
        <v>74</v>
      </c>
      <c r="V415" s="1" t="s">
        <v>3742</v>
      </c>
      <c r="W415" s="1" t="s">
        <v>74</v>
      </c>
      <c r="X415" s="1" t="s">
        <v>74</v>
      </c>
      <c r="Y415" s="1" t="s">
        <v>74</v>
      </c>
      <c r="Z415" s="1" t="s">
        <v>74</v>
      </c>
      <c r="AA415" s="1" t="s">
        <v>74</v>
      </c>
      <c r="AB415" s="1" t="s">
        <v>74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3743</v>
      </c>
      <c r="AP415" s="1" t="s">
        <v>74</v>
      </c>
      <c r="AQ415" s="1" t="s">
        <v>74</v>
      </c>
      <c r="AR415" s="1" t="s">
        <v>74</v>
      </c>
      <c r="AS415" s="1" t="s">
        <v>74</v>
      </c>
      <c r="AT415" s="1" t="s">
        <v>148</v>
      </c>
      <c r="AU415" s="1">
        <v>2017.0</v>
      </c>
      <c r="AV415" s="1">
        <v>14.0</v>
      </c>
      <c r="AW415" s="1">
        <v>27.0</v>
      </c>
      <c r="AX415" s="1" t="s">
        <v>74</v>
      </c>
      <c r="AY415" s="1" t="s">
        <v>74</v>
      </c>
      <c r="AZ415" s="1" t="s">
        <v>74</v>
      </c>
      <c r="BA415" s="1" t="s">
        <v>74</v>
      </c>
      <c r="BB415" s="1">
        <v>65.0</v>
      </c>
      <c r="BC415" s="1">
        <v>87.0</v>
      </c>
      <c r="BD415" s="1" t="s">
        <v>74</v>
      </c>
      <c r="BE415" s="1" t="s">
        <v>3744</v>
      </c>
      <c r="BF415" s="2" t="str">
        <f>HYPERLINK("http://dx.doi.org/10.17230/co-herencia.14.27.3","http://dx.doi.org/10.17230/co-herencia.14.27.3")</f>
        <v>http://dx.doi.org/10.17230/co-herencia.14.27.3</v>
      </c>
      <c r="BG415" s="1" t="s">
        <v>74</v>
      </c>
      <c r="BH415" s="1" t="s">
        <v>74</v>
      </c>
      <c r="BI415" s="1" t="s">
        <v>74</v>
      </c>
      <c r="BJ415" s="1" t="s">
        <v>74</v>
      </c>
      <c r="BK415" s="1" t="s">
        <v>74</v>
      </c>
      <c r="BL415" s="1" t="s">
        <v>74</v>
      </c>
      <c r="BM415" s="1" t="s">
        <v>74</v>
      </c>
      <c r="BN415" s="1" t="s">
        <v>74</v>
      </c>
      <c r="BO415" s="1" t="s">
        <v>74</v>
      </c>
      <c r="BP415" s="1" t="s">
        <v>74</v>
      </c>
      <c r="BQ415" s="1" t="s">
        <v>74</v>
      </c>
      <c r="BR415" s="1" t="s">
        <v>74</v>
      </c>
      <c r="BS415" s="1" t="s">
        <v>3745</v>
      </c>
      <c r="BT415" s="1" t="str">
        <f>HYPERLINK("https%3A%2F%2Fwww.webofscience.com%2Fwos%2Fwoscc%2Ffull-record%2FWOS:000423677500003","View Full Record in Web of Science")</f>
        <v>View Full Record in Web of Science</v>
      </c>
    </row>
    <row r="416" ht="12.75" customHeight="1">
      <c r="A416" s="1" t="s">
        <v>72</v>
      </c>
      <c r="B416" s="1" t="s">
        <v>3746</v>
      </c>
      <c r="C416" s="1" t="s">
        <v>74</v>
      </c>
      <c r="D416" s="1" t="s">
        <v>74</v>
      </c>
      <c r="E416" s="1" t="s">
        <v>74</v>
      </c>
      <c r="F416" s="1" t="s">
        <v>3747</v>
      </c>
      <c r="G416" s="1" t="s">
        <v>74</v>
      </c>
      <c r="H416" s="1" t="s">
        <v>74</v>
      </c>
      <c r="I416" s="1" t="s">
        <v>3748</v>
      </c>
      <c r="J416" s="1" t="s">
        <v>1296</v>
      </c>
      <c r="K416" s="1" t="s">
        <v>74</v>
      </c>
      <c r="L416" s="1" t="s">
        <v>74</v>
      </c>
      <c r="M416" s="1" t="s">
        <v>74</v>
      </c>
      <c r="N416" s="1" t="s">
        <v>74</v>
      </c>
      <c r="O416" s="1" t="s">
        <v>74</v>
      </c>
      <c r="P416" s="1" t="s">
        <v>74</v>
      </c>
      <c r="Q416" s="1" t="s">
        <v>74</v>
      </c>
      <c r="R416" s="1" t="s">
        <v>74</v>
      </c>
      <c r="S416" s="1" t="s">
        <v>74</v>
      </c>
      <c r="T416" s="1" t="s">
        <v>74</v>
      </c>
      <c r="U416" s="1" t="s">
        <v>74</v>
      </c>
      <c r="V416" s="1" t="s">
        <v>74</v>
      </c>
      <c r="W416" s="1" t="s">
        <v>74</v>
      </c>
      <c r="X416" s="1" t="s">
        <v>74</v>
      </c>
      <c r="Y416" s="1" t="s">
        <v>74</v>
      </c>
      <c r="Z416" s="1" t="s">
        <v>74</v>
      </c>
      <c r="AA416" s="1" t="s">
        <v>74</v>
      </c>
      <c r="AB416" s="1" t="s">
        <v>74</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1297</v>
      </c>
      <c r="AP416" s="1" t="s">
        <v>74</v>
      </c>
      <c r="AQ416" s="1" t="s">
        <v>74</v>
      </c>
      <c r="AR416" s="1" t="s">
        <v>74</v>
      </c>
      <c r="AS416" s="1" t="s">
        <v>74</v>
      </c>
      <c r="AT416" s="1" t="s">
        <v>91</v>
      </c>
      <c r="AU416" s="1">
        <v>2017.0</v>
      </c>
      <c r="AV416" s="1" t="s">
        <v>74</v>
      </c>
      <c r="AW416" s="1">
        <v>44.0</v>
      </c>
      <c r="AX416" s="1" t="s">
        <v>74</v>
      </c>
      <c r="AY416" s="1" t="s">
        <v>74</v>
      </c>
      <c r="AZ416" s="1" t="s">
        <v>74</v>
      </c>
      <c r="BA416" s="1" t="s">
        <v>74</v>
      </c>
      <c r="BB416" s="1">
        <v>221.0</v>
      </c>
      <c r="BC416" s="1">
        <v>242.0</v>
      </c>
      <c r="BD416" s="1" t="s">
        <v>74</v>
      </c>
      <c r="BE416" s="1" t="s">
        <v>74</v>
      </c>
      <c r="BF416" s="1" t="s">
        <v>74</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3749</v>
      </c>
      <c r="BT416" s="1" t="str">
        <f>HYPERLINK("https%3A%2F%2Fwww.webofscience.com%2Fwos%2Fwoscc%2Ffull-record%2FWOS:000408762400014","View Full Record in Web of Science")</f>
        <v>View Full Record in Web of Science</v>
      </c>
    </row>
    <row r="417" ht="12.75" customHeight="1">
      <c r="A417" s="1" t="s">
        <v>72</v>
      </c>
      <c r="B417" s="1" t="s">
        <v>3750</v>
      </c>
      <c r="C417" s="1" t="s">
        <v>74</v>
      </c>
      <c r="D417" s="1" t="s">
        <v>74</v>
      </c>
      <c r="E417" s="1" t="s">
        <v>74</v>
      </c>
      <c r="F417" s="1" t="s">
        <v>3751</v>
      </c>
      <c r="G417" s="1" t="s">
        <v>74</v>
      </c>
      <c r="H417" s="1" t="s">
        <v>74</v>
      </c>
      <c r="I417" s="1" t="s">
        <v>3752</v>
      </c>
      <c r="J417" s="1" t="s">
        <v>3753</v>
      </c>
      <c r="K417" s="1" t="s">
        <v>74</v>
      </c>
      <c r="L417" s="1" t="s">
        <v>74</v>
      </c>
      <c r="M417" s="1" t="s">
        <v>74</v>
      </c>
      <c r="N417" s="1" t="s">
        <v>74</v>
      </c>
      <c r="O417" s="1" t="s">
        <v>74</v>
      </c>
      <c r="P417" s="1" t="s">
        <v>74</v>
      </c>
      <c r="Q417" s="1" t="s">
        <v>74</v>
      </c>
      <c r="R417" s="1" t="s">
        <v>74</v>
      </c>
      <c r="S417" s="1" t="s">
        <v>74</v>
      </c>
      <c r="T417" s="1" t="s">
        <v>74</v>
      </c>
      <c r="U417" s="1" t="s">
        <v>74</v>
      </c>
      <c r="V417" s="1" t="s">
        <v>74</v>
      </c>
      <c r="W417" s="1" t="s">
        <v>74</v>
      </c>
      <c r="X417" s="1" t="s">
        <v>74</v>
      </c>
      <c r="Y417" s="1" t="s">
        <v>74</v>
      </c>
      <c r="Z417" s="1" t="s">
        <v>74</v>
      </c>
      <c r="AA417" s="1" t="s">
        <v>74</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3754</v>
      </c>
      <c r="AP417" s="1" t="s">
        <v>3755</v>
      </c>
      <c r="AQ417" s="1" t="s">
        <v>74</v>
      </c>
      <c r="AR417" s="1" t="s">
        <v>74</v>
      </c>
      <c r="AS417" s="1" t="s">
        <v>74</v>
      </c>
      <c r="AT417" s="1" t="s">
        <v>171</v>
      </c>
      <c r="AU417" s="1">
        <v>2017.0</v>
      </c>
      <c r="AV417" s="1">
        <v>50.0</v>
      </c>
      <c r="AW417" s="1">
        <v>2.0</v>
      </c>
      <c r="AX417" s="1" t="s">
        <v>74</v>
      </c>
      <c r="AY417" s="1" t="s">
        <v>74</v>
      </c>
      <c r="AZ417" s="1" t="s">
        <v>74</v>
      </c>
      <c r="BA417" s="1" t="s">
        <v>74</v>
      </c>
      <c r="BB417" s="1">
        <v>636.0</v>
      </c>
      <c r="BC417" s="1">
        <v>637.0</v>
      </c>
      <c r="BD417" s="1" t="s">
        <v>74</v>
      </c>
      <c r="BE417" s="1" t="s">
        <v>3756</v>
      </c>
      <c r="BF417" s="2" t="str">
        <f>HYPERLINK("http://dx.doi.org/10.1017/S0008423917000336","http://dx.doi.org/10.1017/S0008423917000336")</f>
        <v>http://dx.doi.org/10.1017/S0008423917000336</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3757</v>
      </c>
      <c r="BT417" s="1" t="str">
        <f>HYPERLINK("https%3A%2F%2Fwww.webofscience.com%2Fwos%2Fwoscc%2Ffull-record%2FWOS:000404977200017","View Full Record in Web of Science")</f>
        <v>View Full Record in Web of Science</v>
      </c>
    </row>
    <row r="418" ht="12.75" customHeight="1">
      <c r="A418" s="1" t="s">
        <v>72</v>
      </c>
      <c r="B418" s="1" t="s">
        <v>3758</v>
      </c>
      <c r="C418" s="1" t="s">
        <v>74</v>
      </c>
      <c r="D418" s="1" t="s">
        <v>74</v>
      </c>
      <c r="E418" s="1" t="s">
        <v>74</v>
      </c>
      <c r="F418" s="1" t="s">
        <v>3759</v>
      </c>
      <c r="G418" s="1" t="s">
        <v>74</v>
      </c>
      <c r="H418" s="1" t="s">
        <v>74</v>
      </c>
      <c r="I418" s="1" t="s">
        <v>3760</v>
      </c>
      <c r="J418" s="1" t="s">
        <v>3761</v>
      </c>
      <c r="K418" s="1" t="s">
        <v>74</v>
      </c>
      <c r="L418" s="1" t="s">
        <v>74</v>
      </c>
      <c r="M418" s="1" t="s">
        <v>74</v>
      </c>
      <c r="N418" s="1" t="s">
        <v>74</v>
      </c>
      <c r="O418" s="1" t="s">
        <v>74</v>
      </c>
      <c r="P418" s="1" t="s">
        <v>74</v>
      </c>
      <c r="Q418" s="1" t="s">
        <v>74</v>
      </c>
      <c r="R418" s="1" t="s">
        <v>74</v>
      </c>
      <c r="S418" s="1" t="s">
        <v>74</v>
      </c>
      <c r="T418" s="1" t="s">
        <v>74</v>
      </c>
      <c r="U418" s="1" t="s">
        <v>74</v>
      </c>
      <c r="V418" s="1" t="s">
        <v>3762</v>
      </c>
      <c r="W418" s="1" t="s">
        <v>74</v>
      </c>
      <c r="X418" s="1" t="s">
        <v>74</v>
      </c>
      <c r="Y418" s="1" t="s">
        <v>74</v>
      </c>
      <c r="Z418" s="1" t="s">
        <v>74</v>
      </c>
      <c r="AA418" s="1" t="s">
        <v>3763</v>
      </c>
      <c r="AB418" s="1" t="s">
        <v>3764</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3765</v>
      </c>
      <c r="AP418" s="1" t="s">
        <v>74</v>
      </c>
      <c r="AQ418" s="1" t="s">
        <v>74</v>
      </c>
      <c r="AR418" s="1" t="s">
        <v>74</v>
      </c>
      <c r="AS418" s="1" t="s">
        <v>74</v>
      </c>
      <c r="AT418" s="1" t="s">
        <v>3766</v>
      </c>
      <c r="AU418" s="1">
        <v>2017.0</v>
      </c>
      <c r="AV418" s="1">
        <v>7.0</v>
      </c>
      <c r="AW418" s="1" t="s">
        <v>74</v>
      </c>
      <c r="AX418" s="1" t="s">
        <v>74</v>
      </c>
      <c r="AY418" s="1" t="s">
        <v>74</v>
      </c>
      <c r="AZ418" s="1" t="s">
        <v>74</v>
      </c>
      <c r="BA418" s="1" t="s">
        <v>74</v>
      </c>
      <c r="BB418" s="1" t="s">
        <v>74</v>
      </c>
      <c r="BC418" s="1" t="s">
        <v>74</v>
      </c>
      <c r="BD418" s="1">
        <v>2061.0</v>
      </c>
      <c r="BE418" s="1" t="s">
        <v>3767</v>
      </c>
      <c r="BF418" s="2" t="str">
        <f>HYPERLINK("http://dx.doi.org/10.3389/fpsyg.2016.02061","http://dx.doi.org/10.3389/fpsyg.2016.02061")</f>
        <v>http://dx.doi.org/10.3389/fpsyg.2016.02061</v>
      </c>
      <c r="BG418" s="1" t="s">
        <v>74</v>
      </c>
      <c r="BH418" s="1" t="s">
        <v>74</v>
      </c>
      <c r="BI418" s="1" t="s">
        <v>74</v>
      </c>
      <c r="BJ418" s="1" t="s">
        <v>74</v>
      </c>
      <c r="BK418" s="1" t="s">
        <v>74</v>
      </c>
      <c r="BL418" s="1" t="s">
        <v>74</v>
      </c>
      <c r="BM418" s="1" t="s">
        <v>74</v>
      </c>
      <c r="BN418" s="1">
        <v>2.8111564E7</v>
      </c>
      <c r="BO418" s="1" t="s">
        <v>74</v>
      </c>
      <c r="BP418" s="1" t="s">
        <v>74</v>
      </c>
      <c r="BQ418" s="1" t="s">
        <v>74</v>
      </c>
      <c r="BR418" s="1" t="s">
        <v>74</v>
      </c>
      <c r="BS418" s="1" t="s">
        <v>3768</v>
      </c>
      <c r="BT418" s="1" t="str">
        <f>HYPERLINK("https%3A%2F%2Fwww.webofscience.com%2Fwos%2Fwoscc%2Ffull-record%2FWOS:000391396900001","View Full Record in Web of Science")</f>
        <v>View Full Record in Web of Science</v>
      </c>
    </row>
    <row r="419" ht="12.75" customHeight="1">
      <c r="A419" s="1" t="s">
        <v>72</v>
      </c>
      <c r="B419" s="1" t="s">
        <v>3769</v>
      </c>
      <c r="C419" s="1" t="s">
        <v>74</v>
      </c>
      <c r="D419" s="1" t="s">
        <v>74</v>
      </c>
      <c r="E419" s="1" t="s">
        <v>74</v>
      </c>
      <c r="F419" s="1" t="s">
        <v>3770</v>
      </c>
      <c r="G419" s="1" t="s">
        <v>74</v>
      </c>
      <c r="H419" s="1" t="s">
        <v>74</v>
      </c>
      <c r="I419" s="1" t="s">
        <v>3771</v>
      </c>
      <c r="J419" s="1" t="s">
        <v>3772</v>
      </c>
      <c r="K419" s="1" t="s">
        <v>74</v>
      </c>
      <c r="L419" s="1" t="s">
        <v>74</v>
      </c>
      <c r="M419" s="1" t="s">
        <v>74</v>
      </c>
      <c r="N419" s="1" t="s">
        <v>74</v>
      </c>
      <c r="O419" s="1" t="s">
        <v>74</v>
      </c>
      <c r="P419" s="1" t="s">
        <v>74</v>
      </c>
      <c r="Q419" s="1" t="s">
        <v>74</v>
      </c>
      <c r="R419" s="1" t="s">
        <v>74</v>
      </c>
      <c r="S419" s="1" t="s">
        <v>74</v>
      </c>
      <c r="T419" s="1" t="s">
        <v>74</v>
      </c>
      <c r="U419" s="1" t="s">
        <v>74</v>
      </c>
      <c r="V419" s="1" t="s">
        <v>74</v>
      </c>
      <c r="W419" s="1" t="s">
        <v>74</v>
      </c>
      <c r="X419" s="1" t="s">
        <v>74</v>
      </c>
      <c r="Y419" s="1" t="s">
        <v>74</v>
      </c>
      <c r="Z419" s="1" t="s">
        <v>74</v>
      </c>
      <c r="AA419" s="1" t="s">
        <v>3773</v>
      </c>
      <c r="AB419" s="1" t="s">
        <v>3774</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3775</v>
      </c>
      <c r="AP419" s="1" t="s">
        <v>3776</v>
      </c>
      <c r="AQ419" s="1" t="s">
        <v>74</v>
      </c>
      <c r="AR419" s="1" t="s">
        <v>74</v>
      </c>
      <c r="AS419" s="1" t="s">
        <v>74</v>
      </c>
      <c r="AT419" s="1" t="s">
        <v>74</v>
      </c>
      <c r="AU419" s="1">
        <v>2017.0</v>
      </c>
      <c r="AV419" s="1">
        <v>71.0</v>
      </c>
      <c r="AW419" s="1">
        <v>281.0</v>
      </c>
      <c r="AX419" s="1" t="s">
        <v>74</v>
      </c>
      <c r="AY419" s="1" t="s">
        <v>74</v>
      </c>
      <c r="AZ419" s="1" t="s">
        <v>74</v>
      </c>
      <c r="BA419" s="1" t="s">
        <v>74</v>
      </c>
      <c r="BB419" s="1">
        <v>331.0</v>
      </c>
      <c r="BC419" s="1">
        <v>347.0</v>
      </c>
      <c r="BD419" s="1" t="s">
        <v>74</v>
      </c>
      <c r="BE419" s="1" t="s">
        <v>74</v>
      </c>
      <c r="BF419" s="1" t="s">
        <v>74</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3777</v>
      </c>
      <c r="BT419" s="1" t="str">
        <f>HYPERLINK("https%3A%2F%2Fwww.webofscience.com%2Fwos%2Fwoscc%2Ffull-record%2FWOS:000413710400007","View Full Record in Web of Science")</f>
        <v>View Full Record in Web of Science</v>
      </c>
    </row>
    <row r="420" ht="12.75" customHeight="1">
      <c r="A420" s="1" t="s">
        <v>126</v>
      </c>
      <c r="B420" s="1" t="s">
        <v>3778</v>
      </c>
      <c r="C420" s="1" t="s">
        <v>74</v>
      </c>
      <c r="D420" s="1" t="s">
        <v>74</v>
      </c>
      <c r="E420" s="1" t="s">
        <v>128</v>
      </c>
      <c r="F420" s="1" t="s">
        <v>3779</v>
      </c>
      <c r="G420" s="1" t="s">
        <v>74</v>
      </c>
      <c r="H420" s="1" t="s">
        <v>74</v>
      </c>
      <c r="I420" s="1" t="s">
        <v>3780</v>
      </c>
      <c r="J420" s="1" t="s">
        <v>3781</v>
      </c>
      <c r="K420" s="1" t="s">
        <v>74</v>
      </c>
      <c r="L420" s="1" t="s">
        <v>74</v>
      </c>
      <c r="M420" s="1" t="s">
        <v>74</v>
      </c>
      <c r="N420" s="1" t="s">
        <v>74</v>
      </c>
      <c r="O420" s="1" t="s">
        <v>3782</v>
      </c>
      <c r="P420" s="1" t="s">
        <v>1256</v>
      </c>
      <c r="Q420" s="1" t="s">
        <v>502</v>
      </c>
      <c r="R420" s="1" t="s">
        <v>3783</v>
      </c>
      <c r="S420" s="1" t="s">
        <v>74</v>
      </c>
      <c r="T420" s="1" t="s">
        <v>74</v>
      </c>
      <c r="U420" s="1" t="s">
        <v>74</v>
      </c>
      <c r="V420" s="1" t="s">
        <v>3784</v>
      </c>
      <c r="W420" s="1" t="s">
        <v>74</v>
      </c>
      <c r="X420" s="1" t="s">
        <v>74</v>
      </c>
      <c r="Y420" s="1" t="s">
        <v>74</v>
      </c>
      <c r="Z420" s="1" t="s">
        <v>74</v>
      </c>
      <c r="AA420" s="1" t="s">
        <v>1137</v>
      </c>
      <c r="AB420" s="1" t="s">
        <v>1138</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74</v>
      </c>
      <c r="AP420" s="1" t="s">
        <v>74</v>
      </c>
      <c r="AQ420" s="1" t="s">
        <v>3785</v>
      </c>
      <c r="AR420" s="1" t="s">
        <v>74</v>
      </c>
      <c r="AS420" s="1" t="s">
        <v>74</v>
      </c>
      <c r="AT420" s="1" t="s">
        <v>74</v>
      </c>
      <c r="AU420" s="1">
        <v>2017.0</v>
      </c>
      <c r="AV420" s="1" t="s">
        <v>74</v>
      </c>
      <c r="AW420" s="1" t="s">
        <v>74</v>
      </c>
      <c r="AX420" s="1" t="s">
        <v>74</v>
      </c>
      <c r="AY420" s="1" t="s">
        <v>74</v>
      </c>
      <c r="AZ420" s="1" t="s">
        <v>74</v>
      </c>
      <c r="BA420" s="1" t="s">
        <v>74</v>
      </c>
      <c r="BB420" s="1" t="s">
        <v>74</v>
      </c>
      <c r="BC420" s="1" t="s">
        <v>74</v>
      </c>
      <c r="BD420" s="1" t="s">
        <v>74</v>
      </c>
      <c r="BE420" s="1" t="s">
        <v>74</v>
      </c>
      <c r="BF420" s="1" t="s">
        <v>74</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3786</v>
      </c>
      <c r="BT420" s="1" t="str">
        <f>HYPERLINK("https%3A%2F%2Fwww.webofscience.com%2Fwos%2Fwoscc%2Ffull-record%2FWOS:000425925000043","View Full Record in Web of Science")</f>
        <v>View Full Record in Web of Science</v>
      </c>
    </row>
    <row r="421" ht="12.75" customHeight="1">
      <c r="A421" s="1" t="s">
        <v>126</v>
      </c>
      <c r="B421" s="1" t="s">
        <v>3787</v>
      </c>
      <c r="C421" s="1" t="s">
        <v>74</v>
      </c>
      <c r="D421" s="1" t="s">
        <v>74</v>
      </c>
      <c r="E421" s="1" t="s">
        <v>128</v>
      </c>
      <c r="F421" s="1" t="s">
        <v>3788</v>
      </c>
      <c r="G421" s="1" t="s">
        <v>74</v>
      </c>
      <c r="H421" s="1" t="s">
        <v>74</v>
      </c>
      <c r="I421" s="1" t="s">
        <v>3789</v>
      </c>
      <c r="J421" s="1" t="s">
        <v>3790</v>
      </c>
      <c r="K421" s="1" t="s">
        <v>74</v>
      </c>
      <c r="L421" s="1" t="s">
        <v>74</v>
      </c>
      <c r="M421" s="1" t="s">
        <v>74</v>
      </c>
      <c r="N421" s="1" t="s">
        <v>74</v>
      </c>
      <c r="O421" s="1" t="s">
        <v>3791</v>
      </c>
      <c r="P421" s="1" t="s">
        <v>3792</v>
      </c>
      <c r="Q421" s="1" t="s">
        <v>2123</v>
      </c>
      <c r="R421" s="1" t="s">
        <v>3793</v>
      </c>
      <c r="S421" s="1" t="s">
        <v>74</v>
      </c>
      <c r="T421" s="1" t="s">
        <v>74</v>
      </c>
      <c r="U421" s="1" t="s">
        <v>74</v>
      </c>
      <c r="V421" s="1" t="s">
        <v>3794</v>
      </c>
      <c r="W421" s="1" t="s">
        <v>74</v>
      </c>
      <c r="X421" s="1" t="s">
        <v>74</v>
      </c>
      <c r="Y421" s="1" t="s">
        <v>74</v>
      </c>
      <c r="Z421" s="1" t="s">
        <v>74</v>
      </c>
      <c r="AA421" s="1" t="s">
        <v>3795</v>
      </c>
      <c r="AB421" s="1" t="s">
        <v>74</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74</v>
      </c>
      <c r="AP421" s="1" t="s">
        <v>74</v>
      </c>
      <c r="AQ421" s="1" t="s">
        <v>3796</v>
      </c>
      <c r="AR421" s="1" t="s">
        <v>74</v>
      </c>
      <c r="AS421" s="1" t="s">
        <v>74</v>
      </c>
      <c r="AT421" s="1" t="s">
        <v>74</v>
      </c>
      <c r="AU421" s="1">
        <v>2017.0</v>
      </c>
      <c r="AV421" s="1" t="s">
        <v>74</v>
      </c>
      <c r="AW421" s="1" t="s">
        <v>74</v>
      </c>
      <c r="AX421" s="1" t="s">
        <v>74</v>
      </c>
      <c r="AY421" s="1" t="s">
        <v>74</v>
      </c>
      <c r="AZ421" s="1" t="s">
        <v>74</v>
      </c>
      <c r="BA421" s="1" t="s">
        <v>74</v>
      </c>
      <c r="BB421" s="1">
        <v>46.0</v>
      </c>
      <c r="BC421" s="1" t="s">
        <v>509</v>
      </c>
      <c r="BD421" s="1" t="s">
        <v>74</v>
      </c>
      <c r="BE421" s="1" t="s">
        <v>74</v>
      </c>
      <c r="BF421" s="1" t="s">
        <v>74</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3797</v>
      </c>
      <c r="BT421" s="1" t="str">
        <f>HYPERLINK("https%3A%2F%2Fwww.webofscience.com%2Fwos%2Fwoscc%2Ffull-record%2FWOS:000428142700013","View Full Record in Web of Science")</f>
        <v>View Full Record in Web of Science</v>
      </c>
    </row>
    <row r="422" ht="12.75" customHeight="1">
      <c r="A422" s="1" t="s">
        <v>126</v>
      </c>
      <c r="B422" s="1" t="s">
        <v>3798</v>
      </c>
      <c r="C422" s="1" t="s">
        <v>74</v>
      </c>
      <c r="D422" s="1" t="s">
        <v>74</v>
      </c>
      <c r="E422" s="1" t="s">
        <v>128</v>
      </c>
      <c r="F422" s="1" t="s">
        <v>3799</v>
      </c>
      <c r="G422" s="1" t="s">
        <v>74</v>
      </c>
      <c r="H422" s="1" t="s">
        <v>74</v>
      </c>
      <c r="I422" s="1" t="s">
        <v>3800</v>
      </c>
      <c r="J422" s="1" t="s">
        <v>3781</v>
      </c>
      <c r="K422" s="1" t="s">
        <v>74</v>
      </c>
      <c r="L422" s="1" t="s">
        <v>74</v>
      </c>
      <c r="M422" s="1" t="s">
        <v>74</v>
      </c>
      <c r="N422" s="1" t="s">
        <v>74</v>
      </c>
      <c r="O422" s="1" t="s">
        <v>3782</v>
      </c>
      <c r="P422" s="1" t="s">
        <v>1256</v>
      </c>
      <c r="Q422" s="1" t="s">
        <v>502</v>
      </c>
      <c r="R422" s="1" t="s">
        <v>3783</v>
      </c>
      <c r="S422" s="1" t="s">
        <v>74</v>
      </c>
      <c r="T422" s="1" t="s">
        <v>74</v>
      </c>
      <c r="U422" s="1" t="s">
        <v>74</v>
      </c>
      <c r="V422" s="1" t="s">
        <v>3801</v>
      </c>
      <c r="W422" s="1" t="s">
        <v>74</v>
      </c>
      <c r="X422" s="1" t="s">
        <v>74</v>
      </c>
      <c r="Y422" s="1" t="s">
        <v>74</v>
      </c>
      <c r="Z422" s="1" t="s">
        <v>74</v>
      </c>
      <c r="AA422" s="1" t="s">
        <v>74</v>
      </c>
      <c r="AB422" s="1" t="s">
        <v>74</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74</v>
      </c>
      <c r="AP422" s="1" t="s">
        <v>74</v>
      </c>
      <c r="AQ422" s="1" t="s">
        <v>3785</v>
      </c>
      <c r="AR422" s="1" t="s">
        <v>74</v>
      </c>
      <c r="AS422" s="1" t="s">
        <v>74</v>
      </c>
      <c r="AT422" s="1" t="s">
        <v>74</v>
      </c>
      <c r="AU422" s="1">
        <v>2017.0</v>
      </c>
      <c r="AV422" s="1" t="s">
        <v>74</v>
      </c>
      <c r="AW422" s="1" t="s">
        <v>74</v>
      </c>
      <c r="AX422" s="1" t="s">
        <v>74</v>
      </c>
      <c r="AY422" s="1" t="s">
        <v>74</v>
      </c>
      <c r="AZ422" s="1" t="s">
        <v>74</v>
      </c>
      <c r="BA422" s="1" t="s">
        <v>74</v>
      </c>
      <c r="BB422" s="1" t="s">
        <v>74</v>
      </c>
      <c r="BC422" s="1" t="s">
        <v>74</v>
      </c>
      <c r="BD422" s="1" t="s">
        <v>74</v>
      </c>
      <c r="BE422" s="1" t="s">
        <v>74</v>
      </c>
      <c r="BF422" s="1" t="s">
        <v>74</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3802</v>
      </c>
      <c r="BT422" s="1" t="str">
        <f>HYPERLINK("https%3A%2F%2Fwww.webofscience.com%2Fwos%2Fwoscc%2Ffull-record%2FWOS:000425925000083","View Full Record in Web of Science")</f>
        <v>View Full Record in Web of Science</v>
      </c>
    </row>
    <row r="423" ht="12.75" customHeight="1">
      <c r="A423" s="1" t="s">
        <v>126</v>
      </c>
      <c r="B423" s="1" t="s">
        <v>3803</v>
      </c>
      <c r="C423" s="1" t="s">
        <v>74</v>
      </c>
      <c r="D423" s="1" t="s">
        <v>3804</v>
      </c>
      <c r="E423" s="1" t="s">
        <v>74</v>
      </c>
      <c r="F423" s="1" t="s">
        <v>3805</v>
      </c>
      <c r="G423" s="1" t="s">
        <v>74</v>
      </c>
      <c r="H423" s="1" t="s">
        <v>74</v>
      </c>
      <c r="I423" s="1" t="s">
        <v>3806</v>
      </c>
      <c r="J423" s="1" t="s">
        <v>3807</v>
      </c>
      <c r="K423" s="1" t="s">
        <v>3808</v>
      </c>
      <c r="L423" s="1" t="s">
        <v>74</v>
      </c>
      <c r="M423" s="1" t="s">
        <v>74</v>
      </c>
      <c r="N423" s="1" t="s">
        <v>74</v>
      </c>
      <c r="O423" s="1" t="s">
        <v>3809</v>
      </c>
      <c r="P423" s="1" t="s">
        <v>3810</v>
      </c>
      <c r="Q423" s="1" t="s">
        <v>3811</v>
      </c>
      <c r="R423" s="1" t="s">
        <v>3812</v>
      </c>
      <c r="S423" s="1" t="s">
        <v>74</v>
      </c>
      <c r="T423" s="1" t="s">
        <v>74</v>
      </c>
      <c r="U423" s="1" t="s">
        <v>74</v>
      </c>
      <c r="V423" s="1" t="s">
        <v>3813</v>
      </c>
      <c r="W423" s="1" t="s">
        <v>74</v>
      </c>
      <c r="X423" s="1" t="s">
        <v>74</v>
      </c>
      <c r="Y423" s="1" t="s">
        <v>74</v>
      </c>
      <c r="Z423" s="1" t="s">
        <v>74</v>
      </c>
      <c r="AA423" s="1" t="s">
        <v>859</v>
      </c>
      <c r="AB423" s="1" t="s">
        <v>74</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3814</v>
      </c>
      <c r="AP423" s="1" t="s">
        <v>74</v>
      </c>
      <c r="AQ423" s="1" t="s">
        <v>3815</v>
      </c>
      <c r="AR423" s="1" t="s">
        <v>74</v>
      </c>
      <c r="AS423" s="1" t="s">
        <v>74</v>
      </c>
      <c r="AT423" s="1" t="s">
        <v>74</v>
      </c>
      <c r="AU423" s="1">
        <v>2017.0</v>
      </c>
      <c r="AV423" s="1">
        <v>210.0</v>
      </c>
      <c r="AW423" s="1" t="s">
        <v>74</v>
      </c>
      <c r="AX423" s="1" t="s">
        <v>74</v>
      </c>
      <c r="AY423" s="1" t="s">
        <v>74</v>
      </c>
      <c r="AZ423" s="1" t="s">
        <v>74</v>
      </c>
      <c r="BA423" s="1" t="s">
        <v>74</v>
      </c>
      <c r="BB423" s="1">
        <v>653.0</v>
      </c>
      <c r="BC423" s="1">
        <v>661.0</v>
      </c>
      <c r="BD423" s="1" t="s">
        <v>74</v>
      </c>
      <c r="BE423" s="1" t="s">
        <v>3816</v>
      </c>
      <c r="BF423" s="2" t="str">
        <f>HYPERLINK("http://dx.doi.org/10.2495/SDP160551","http://dx.doi.org/10.2495/SDP160551")</f>
        <v>http://dx.doi.org/10.2495/SDP160551</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3817</v>
      </c>
      <c r="BT423" s="1" t="str">
        <f>HYPERLINK("https%3A%2F%2Fwww.webofscience.com%2Fwos%2Fwoscc%2Ffull-record%2FWOS:000618346600055","View Full Record in Web of Science")</f>
        <v>View Full Record in Web of Science</v>
      </c>
    </row>
    <row r="424" ht="12.75" customHeight="1">
      <c r="A424" s="1" t="s">
        <v>72</v>
      </c>
      <c r="B424" s="1" t="s">
        <v>3818</v>
      </c>
      <c r="C424" s="1" t="s">
        <v>74</v>
      </c>
      <c r="D424" s="1" t="s">
        <v>74</v>
      </c>
      <c r="E424" s="1" t="s">
        <v>74</v>
      </c>
      <c r="F424" s="1" t="s">
        <v>3819</v>
      </c>
      <c r="G424" s="1" t="s">
        <v>74</v>
      </c>
      <c r="H424" s="1" t="s">
        <v>74</v>
      </c>
      <c r="I424" s="1" t="s">
        <v>3820</v>
      </c>
      <c r="J424" s="1" t="s">
        <v>3821</v>
      </c>
      <c r="K424" s="1" t="s">
        <v>74</v>
      </c>
      <c r="L424" s="1" t="s">
        <v>74</v>
      </c>
      <c r="M424" s="1" t="s">
        <v>74</v>
      </c>
      <c r="N424" s="1" t="s">
        <v>74</v>
      </c>
      <c r="O424" s="1" t="s">
        <v>74</v>
      </c>
      <c r="P424" s="1" t="s">
        <v>74</v>
      </c>
      <c r="Q424" s="1" t="s">
        <v>74</v>
      </c>
      <c r="R424" s="1" t="s">
        <v>74</v>
      </c>
      <c r="S424" s="1" t="s">
        <v>74</v>
      </c>
      <c r="T424" s="1" t="s">
        <v>74</v>
      </c>
      <c r="U424" s="1" t="s">
        <v>74</v>
      </c>
      <c r="V424" s="1" t="s">
        <v>3822</v>
      </c>
      <c r="W424" s="1" t="s">
        <v>74</v>
      </c>
      <c r="X424" s="1" t="s">
        <v>74</v>
      </c>
      <c r="Y424" s="1" t="s">
        <v>74</v>
      </c>
      <c r="Z424" s="1" t="s">
        <v>74</v>
      </c>
      <c r="AA424" s="1" t="s">
        <v>3823</v>
      </c>
      <c r="AB424" s="1" t="s">
        <v>3824</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3825</v>
      </c>
      <c r="AP424" s="1" t="s">
        <v>3826</v>
      </c>
      <c r="AQ424" s="1" t="s">
        <v>74</v>
      </c>
      <c r="AR424" s="1" t="s">
        <v>74</v>
      </c>
      <c r="AS424" s="1" t="s">
        <v>74</v>
      </c>
      <c r="AT424" s="1" t="s">
        <v>276</v>
      </c>
      <c r="AU424" s="1">
        <v>2016.0</v>
      </c>
      <c r="AV424" s="1">
        <v>186.0</v>
      </c>
      <c r="AW424" s="1" t="s">
        <v>74</v>
      </c>
      <c r="AX424" s="1" t="s">
        <v>74</v>
      </c>
      <c r="AY424" s="1" t="s">
        <v>74</v>
      </c>
      <c r="AZ424" s="1" t="s">
        <v>74</v>
      </c>
      <c r="BA424" s="1" t="s">
        <v>74</v>
      </c>
      <c r="BB424" s="1">
        <v>27.0</v>
      </c>
      <c r="BC424" s="1">
        <v>33.0</v>
      </c>
      <c r="BD424" s="1" t="s">
        <v>74</v>
      </c>
      <c r="BE424" s="1" t="s">
        <v>3827</v>
      </c>
      <c r="BF424" s="2" t="str">
        <f>HYPERLINK("http://dx.doi.org/10.1016/j.jfoodeng.2016.04.007","http://dx.doi.org/10.1016/j.jfoodeng.2016.04.007")</f>
        <v>http://dx.doi.org/10.1016/j.jfoodeng.2016.04.007</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3828</v>
      </c>
      <c r="BT424" s="1" t="str">
        <f>HYPERLINK("https%3A%2F%2Fwww.webofscience.com%2Fwos%2Fwoscc%2Ffull-record%2FWOS:000376808800004","View Full Record in Web of Science")</f>
        <v>View Full Record in Web of Science</v>
      </c>
    </row>
    <row r="425" ht="12.75" customHeight="1">
      <c r="A425" s="1" t="s">
        <v>72</v>
      </c>
      <c r="B425" s="1" t="s">
        <v>218</v>
      </c>
      <c r="C425" s="1" t="s">
        <v>74</v>
      </c>
      <c r="D425" s="1" t="s">
        <v>74</v>
      </c>
      <c r="E425" s="1" t="s">
        <v>74</v>
      </c>
      <c r="F425" s="1" t="s">
        <v>219</v>
      </c>
      <c r="G425" s="1" t="s">
        <v>74</v>
      </c>
      <c r="H425" s="1" t="s">
        <v>74</v>
      </c>
      <c r="I425" s="1" t="s">
        <v>3829</v>
      </c>
      <c r="J425" s="1" t="s">
        <v>3830</v>
      </c>
      <c r="K425" s="1" t="s">
        <v>74</v>
      </c>
      <c r="L425" s="1" t="s">
        <v>74</v>
      </c>
      <c r="M425" s="1" t="s">
        <v>74</v>
      </c>
      <c r="N425" s="1" t="s">
        <v>74</v>
      </c>
      <c r="O425" s="1" t="s">
        <v>74</v>
      </c>
      <c r="P425" s="1" t="s">
        <v>74</v>
      </c>
      <c r="Q425" s="1" t="s">
        <v>74</v>
      </c>
      <c r="R425" s="1" t="s">
        <v>74</v>
      </c>
      <c r="S425" s="1" t="s">
        <v>74</v>
      </c>
      <c r="T425" s="1" t="s">
        <v>74</v>
      </c>
      <c r="U425" s="1" t="s">
        <v>74</v>
      </c>
      <c r="V425" s="1" t="s">
        <v>3831</v>
      </c>
      <c r="W425" s="1" t="s">
        <v>74</v>
      </c>
      <c r="X425" s="1" t="s">
        <v>74</v>
      </c>
      <c r="Y425" s="1" t="s">
        <v>74</v>
      </c>
      <c r="Z425" s="1" t="s">
        <v>74</v>
      </c>
      <c r="AA425" s="1" t="s">
        <v>74</v>
      </c>
      <c r="AB425" s="1" t="s">
        <v>74</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381</v>
      </c>
      <c r="AP425" s="1" t="s">
        <v>74</v>
      </c>
      <c r="AQ425" s="1" t="s">
        <v>74</v>
      </c>
      <c r="AR425" s="1" t="s">
        <v>74</v>
      </c>
      <c r="AS425" s="1" t="s">
        <v>74</v>
      </c>
      <c r="AT425" s="1" t="s">
        <v>148</v>
      </c>
      <c r="AU425" s="1">
        <v>2016.0</v>
      </c>
      <c r="AV425" s="1">
        <v>49.0</v>
      </c>
      <c r="AW425" s="1">
        <v>2.0</v>
      </c>
      <c r="AX425" s="1" t="s">
        <v>74</v>
      </c>
      <c r="AY425" s="1" t="s">
        <v>74</v>
      </c>
      <c r="AZ425" s="1" t="s">
        <v>74</v>
      </c>
      <c r="BA425" s="1" t="s">
        <v>74</v>
      </c>
      <c r="BB425" s="1">
        <v>547.0</v>
      </c>
      <c r="BC425" s="1">
        <v>578.0</v>
      </c>
      <c r="BD425" s="1" t="s">
        <v>74</v>
      </c>
      <c r="BE425" s="1" t="s">
        <v>74</v>
      </c>
      <c r="BF425" s="1" t="s">
        <v>74</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3832</v>
      </c>
      <c r="BT425" s="1" t="str">
        <f>HYPERLINK("https%3A%2F%2Fwww.webofscience.com%2Fwos%2Fwoscc%2Ffull-record%2FWOS:000392752300008","View Full Record in Web of Science")</f>
        <v>View Full Record in Web of Science</v>
      </c>
    </row>
    <row r="426" ht="12.75" customHeight="1">
      <c r="A426" s="1" t="s">
        <v>638</v>
      </c>
      <c r="B426" s="1" t="s">
        <v>1344</v>
      </c>
      <c r="C426" s="1" t="s">
        <v>74</v>
      </c>
      <c r="D426" s="1" t="s">
        <v>3833</v>
      </c>
      <c r="E426" s="1" t="s">
        <v>74</v>
      </c>
      <c r="F426" s="1" t="s">
        <v>1346</v>
      </c>
      <c r="G426" s="1" t="s">
        <v>74</v>
      </c>
      <c r="H426" s="1" t="s">
        <v>74</v>
      </c>
      <c r="I426" s="1" t="s">
        <v>3834</v>
      </c>
      <c r="J426" s="1" t="s">
        <v>3835</v>
      </c>
      <c r="K426" s="1" t="s">
        <v>3836</v>
      </c>
      <c r="L426" s="1" t="s">
        <v>74</v>
      </c>
      <c r="M426" s="1" t="s">
        <v>74</v>
      </c>
      <c r="N426" s="1" t="s">
        <v>74</v>
      </c>
      <c r="O426" s="1" t="s">
        <v>74</v>
      </c>
      <c r="P426" s="1" t="s">
        <v>74</v>
      </c>
      <c r="Q426" s="1" t="s">
        <v>74</v>
      </c>
      <c r="R426" s="1" t="s">
        <v>74</v>
      </c>
      <c r="S426" s="1" t="s">
        <v>74</v>
      </c>
      <c r="T426" s="1" t="s">
        <v>74</v>
      </c>
      <c r="U426" s="1" t="s">
        <v>74</v>
      </c>
      <c r="V426" s="1" t="s">
        <v>74</v>
      </c>
      <c r="W426" s="1" t="s">
        <v>74</v>
      </c>
      <c r="X426" s="1" t="s">
        <v>74</v>
      </c>
      <c r="Y426" s="1" t="s">
        <v>74</v>
      </c>
      <c r="Z426" s="1" t="s">
        <v>74</v>
      </c>
      <c r="AA426" s="1" t="s">
        <v>74</v>
      </c>
      <c r="AB426" s="1" t="s">
        <v>1010</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3837</v>
      </c>
      <c r="AP426" s="1" t="s">
        <v>74</v>
      </c>
      <c r="AQ426" s="1" t="s">
        <v>3838</v>
      </c>
      <c r="AR426" s="1" t="s">
        <v>74</v>
      </c>
      <c r="AS426" s="1" t="s">
        <v>74</v>
      </c>
      <c r="AT426" s="1" t="s">
        <v>74</v>
      </c>
      <c r="AU426" s="1">
        <v>2016.0</v>
      </c>
      <c r="AV426" s="1">
        <v>59.0</v>
      </c>
      <c r="AW426" s="1" t="s">
        <v>74</v>
      </c>
      <c r="AX426" s="1" t="s">
        <v>74</v>
      </c>
      <c r="AY426" s="1" t="s">
        <v>74</v>
      </c>
      <c r="AZ426" s="1" t="s">
        <v>74</v>
      </c>
      <c r="BA426" s="1" t="s">
        <v>74</v>
      </c>
      <c r="BB426" s="1">
        <v>61.0</v>
      </c>
      <c r="BC426" s="1">
        <v>69.0</v>
      </c>
      <c r="BD426" s="1" t="s">
        <v>74</v>
      </c>
      <c r="BE426" s="1" t="s">
        <v>3839</v>
      </c>
      <c r="BF426" s="2" t="str">
        <f>HYPERLINK("http://dx.doi.org/10.1007/978-3-319-16441-0_6","http://dx.doi.org/10.1007/978-3-319-16441-0_6")</f>
        <v>http://dx.doi.org/10.1007/978-3-319-16441-0_6</v>
      </c>
      <c r="BG426" s="1" t="s">
        <v>3840</v>
      </c>
      <c r="BH426" s="1" t="s">
        <v>74</v>
      </c>
      <c r="BI426" s="1" t="s">
        <v>74</v>
      </c>
      <c r="BJ426" s="1" t="s">
        <v>74</v>
      </c>
      <c r="BK426" s="1" t="s">
        <v>74</v>
      </c>
      <c r="BL426" s="1" t="s">
        <v>74</v>
      </c>
      <c r="BM426" s="1" t="s">
        <v>74</v>
      </c>
      <c r="BN426" s="1" t="s">
        <v>74</v>
      </c>
      <c r="BO426" s="1" t="s">
        <v>74</v>
      </c>
      <c r="BP426" s="1" t="s">
        <v>74</v>
      </c>
      <c r="BQ426" s="1" t="s">
        <v>74</v>
      </c>
      <c r="BR426" s="1" t="s">
        <v>74</v>
      </c>
      <c r="BS426" s="1" t="s">
        <v>3841</v>
      </c>
      <c r="BT426" s="1" t="str">
        <f>HYPERLINK("https%3A%2F%2Fwww.webofscience.com%2Fwos%2Fwoscc%2Ffull-record%2FWOS:000368274200007","View Full Record in Web of Science")</f>
        <v>View Full Record in Web of Science</v>
      </c>
    </row>
    <row r="427" ht="12.75" customHeight="1">
      <c r="A427" s="1" t="s">
        <v>105</v>
      </c>
      <c r="B427" s="1" t="s">
        <v>374</v>
      </c>
      <c r="C427" s="1" t="s">
        <v>3842</v>
      </c>
      <c r="D427" s="1" t="s">
        <v>74</v>
      </c>
      <c r="E427" s="1" t="s">
        <v>74</v>
      </c>
      <c r="F427" s="1" t="s">
        <v>375</v>
      </c>
      <c r="G427" s="1" t="s">
        <v>3842</v>
      </c>
      <c r="H427" s="1" t="s">
        <v>74</v>
      </c>
      <c r="I427" s="1" t="s">
        <v>3843</v>
      </c>
      <c r="J427" s="1" t="s">
        <v>3844</v>
      </c>
      <c r="K427" s="1" t="s">
        <v>3845</v>
      </c>
      <c r="L427" s="1" t="s">
        <v>74</v>
      </c>
      <c r="M427" s="1" t="s">
        <v>74</v>
      </c>
      <c r="N427" s="1" t="s">
        <v>74</v>
      </c>
      <c r="O427" s="1" t="s">
        <v>74</v>
      </c>
      <c r="P427" s="1" t="s">
        <v>74</v>
      </c>
      <c r="Q427" s="1" t="s">
        <v>74</v>
      </c>
      <c r="R427" s="1" t="s">
        <v>74</v>
      </c>
      <c r="S427" s="1" t="s">
        <v>74</v>
      </c>
      <c r="T427" s="1" t="s">
        <v>74</v>
      </c>
      <c r="U427" s="1" t="s">
        <v>74</v>
      </c>
      <c r="V427" s="1" t="s">
        <v>74</v>
      </c>
      <c r="W427" s="1" t="s">
        <v>74</v>
      </c>
      <c r="X427" s="1" t="s">
        <v>74</v>
      </c>
      <c r="Y427" s="1" t="s">
        <v>74</v>
      </c>
      <c r="Z427" s="1" t="s">
        <v>74</v>
      </c>
      <c r="AA427" s="1" t="s">
        <v>379</v>
      </c>
      <c r="AB427" s="1" t="s">
        <v>74</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74</v>
      </c>
      <c r="AP427" s="1" t="s">
        <v>74</v>
      </c>
      <c r="AQ427" s="1" t="s">
        <v>3846</v>
      </c>
      <c r="AR427" s="1" t="s">
        <v>74</v>
      </c>
      <c r="AS427" s="1" t="s">
        <v>74</v>
      </c>
      <c r="AT427" s="1" t="s">
        <v>74</v>
      </c>
      <c r="AU427" s="1">
        <v>2016.0</v>
      </c>
      <c r="AV427" s="1" t="s">
        <v>74</v>
      </c>
      <c r="AW427" s="1" t="s">
        <v>74</v>
      </c>
      <c r="AX427" s="1" t="s">
        <v>74</v>
      </c>
      <c r="AY427" s="1" t="s">
        <v>74</v>
      </c>
      <c r="AZ427" s="1" t="s">
        <v>74</v>
      </c>
      <c r="BA427" s="1" t="s">
        <v>74</v>
      </c>
      <c r="BB427" s="1">
        <v>11.0</v>
      </c>
      <c r="BC427" s="1">
        <v>28.0</v>
      </c>
      <c r="BD427" s="1" t="s">
        <v>74</v>
      </c>
      <c r="BE427" s="1" t="s">
        <v>74</v>
      </c>
      <c r="BF427" s="1" t="s">
        <v>74</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3847</v>
      </c>
      <c r="BT427" s="1" t="str">
        <f>HYPERLINK("https%3A%2F%2Fwww.webofscience.com%2Fwos%2Fwoscc%2Ffull-record%2FWOS:000458913900002","View Full Record in Web of Science")</f>
        <v>View Full Record in Web of Science</v>
      </c>
    </row>
    <row r="428" ht="12.75" customHeight="1">
      <c r="A428" s="1" t="s">
        <v>72</v>
      </c>
      <c r="B428" s="1" t="s">
        <v>3129</v>
      </c>
      <c r="C428" s="1" t="s">
        <v>74</v>
      </c>
      <c r="D428" s="1" t="s">
        <v>74</v>
      </c>
      <c r="E428" s="1" t="s">
        <v>74</v>
      </c>
      <c r="F428" s="1" t="s">
        <v>3130</v>
      </c>
      <c r="G428" s="1" t="s">
        <v>74</v>
      </c>
      <c r="H428" s="1" t="s">
        <v>74</v>
      </c>
      <c r="I428" s="1" t="s">
        <v>3848</v>
      </c>
      <c r="J428" s="1" t="s">
        <v>3849</v>
      </c>
      <c r="K428" s="1" t="s">
        <v>74</v>
      </c>
      <c r="L428" s="1" t="s">
        <v>74</v>
      </c>
      <c r="M428" s="1" t="s">
        <v>74</v>
      </c>
      <c r="N428" s="1" t="s">
        <v>74</v>
      </c>
      <c r="O428" s="1" t="s">
        <v>74</v>
      </c>
      <c r="P428" s="1" t="s">
        <v>74</v>
      </c>
      <c r="Q428" s="1" t="s">
        <v>74</v>
      </c>
      <c r="R428" s="1" t="s">
        <v>74</v>
      </c>
      <c r="S428" s="1" t="s">
        <v>74</v>
      </c>
      <c r="T428" s="1" t="s">
        <v>74</v>
      </c>
      <c r="U428" s="1" t="s">
        <v>74</v>
      </c>
      <c r="V428" s="1" t="s">
        <v>74</v>
      </c>
      <c r="W428" s="1" t="s">
        <v>74</v>
      </c>
      <c r="X428" s="1" t="s">
        <v>74</v>
      </c>
      <c r="Y428" s="1" t="s">
        <v>74</v>
      </c>
      <c r="Z428" s="1" t="s">
        <v>74</v>
      </c>
      <c r="AA428" s="1" t="s">
        <v>74</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3850</v>
      </c>
      <c r="AP428" s="1" t="s">
        <v>74</v>
      </c>
      <c r="AQ428" s="1" t="s">
        <v>74</v>
      </c>
      <c r="AR428" s="1" t="s">
        <v>74</v>
      </c>
      <c r="AS428" s="1" t="s">
        <v>74</v>
      </c>
      <c r="AT428" s="1" t="s">
        <v>74</v>
      </c>
      <c r="AU428" s="1">
        <v>2016.0</v>
      </c>
      <c r="AV428" s="1" t="s">
        <v>74</v>
      </c>
      <c r="AW428" s="1">
        <v>58.0</v>
      </c>
      <c r="AX428" s="1" t="s">
        <v>74</v>
      </c>
      <c r="AY428" s="1" t="s">
        <v>74</v>
      </c>
      <c r="AZ428" s="1" t="s">
        <v>74</v>
      </c>
      <c r="BA428" s="1" t="s">
        <v>74</v>
      </c>
      <c r="BB428" s="1">
        <v>193.0</v>
      </c>
      <c r="BC428" s="1">
        <v>195.0</v>
      </c>
      <c r="BD428" s="1" t="s">
        <v>74</v>
      </c>
      <c r="BE428" s="1" t="s">
        <v>74</v>
      </c>
      <c r="BF428" s="1" t="s">
        <v>74</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3851</v>
      </c>
      <c r="BT428" s="1" t="str">
        <f>HYPERLINK("https%3A%2F%2Fwww.webofscience.com%2Fwos%2Fwoscc%2Ffull-record%2FWOS:000385903400015","View Full Record in Web of Science")</f>
        <v>View Full Record in Web of Science</v>
      </c>
    </row>
    <row r="429" ht="12.75" customHeight="1">
      <c r="A429" s="1" t="s">
        <v>72</v>
      </c>
      <c r="B429" s="1" t="s">
        <v>3852</v>
      </c>
      <c r="C429" s="1" t="s">
        <v>74</v>
      </c>
      <c r="D429" s="1" t="s">
        <v>74</v>
      </c>
      <c r="E429" s="1" t="s">
        <v>74</v>
      </c>
      <c r="F429" s="1" t="s">
        <v>3853</v>
      </c>
      <c r="G429" s="1" t="s">
        <v>74</v>
      </c>
      <c r="H429" s="1" t="s">
        <v>74</v>
      </c>
      <c r="I429" s="1" t="s">
        <v>3854</v>
      </c>
      <c r="J429" s="1" t="s">
        <v>3855</v>
      </c>
      <c r="K429" s="1" t="s">
        <v>74</v>
      </c>
      <c r="L429" s="1" t="s">
        <v>74</v>
      </c>
      <c r="M429" s="1" t="s">
        <v>74</v>
      </c>
      <c r="N429" s="1" t="s">
        <v>74</v>
      </c>
      <c r="O429" s="1" t="s">
        <v>74</v>
      </c>
      <c r="P429" s="1" t="s">
        <v>74</v>
      </c>
      <c r="Q429" s="1" t="s">
        <v>74</v>
      </c>
      <c r="R429" s="1" t="s">
        <v>74</v>
      </c>
      <c r="S429" s="1" t="s">
        <v>74</v>
      </c>
      <c r="T429" s="1" t="s">
        <v>74</v>
      </c>
      <c r="U429" s="1" t="s">
        <v>74</v>
      </c>
      <c r="V429" s="1" t="s">
        <v>3856</v>
      </c>
      <c r="W429" s="1" t="s">
        <v>74</v>
      </c>
      <c r="X429" s="1" t="s">
        <v>74</v>
      </c>
      <c r="Y429" s="1" t="s">
        <v>74</v>
      </c>
      <c r="Z429" s="1" t="s">
        <v>74</v>
      </c>
      <c r="AA429" s="1" t="s">
        <v>74</v>
      </c>
      <c r="AB429" s="1" t="s">
        <v>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3857</v>
      </c>
      <c r="AP429" s="1" t="s">
        <v>3858</v>
      </c>
      <c r="AQ429" s="1" t="s">
        <v>74</v>
      </c>
      <c r="AR429" s="1" t="s">
        <v>74</v>
      </c>
      <c r="AS429" s="1" t="s">
        <v>74</v>
      </c>
      <c r="AT429" s="1" t="s">
        <v>346</v>
      </c>
      <c r="AU429" s="1">
        <v>2015.0</v>
      </c>
      <c r="AV429" s="1" t="s">
        <v>74</v>
      </c>
      <c r="AW429" s="1">
        <v>58.0</v>
      </c>
      <c r="AX429" s="1" t="s">
        <v>74</v>
      </c>
      <c r="AY429" s="1" t="s">
        <v>74</v>
      </c>
      <c r="AZ429" s="1" t="s">
        <v>74</v>
      </c>
      <c r="BA429" s="1" t="s">
        <v>74</v>
      </c>
      <c r="BB429" s="1">
        <v>117.0</v>
      </c>
      <c r="BC429" s="1">
        <v>136.0</v>
      </c>
      <c r="BD429" s="1" t="s">
        <v>74</v>
      </c>
      <c r="BE429" s="1" t="s">
        <v>3859</v>
      </c>
      <c r="BF429" s="2" t="str">
        <f>HYPERLINK("http://dx.doi.org/10.7440/histcrit58.2015.06","http://dx.doi.org/10.7440/histcrit58.2015.06")</f>
        <v>http://dx.doi.org/10.7440/histcrit58.2015.06</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3860</v>
      </c>
      <c r="BT429" s="1" t="str">
        <f>HYPERLINK("https%3A%2F%2Fwww.webofscience.com%2Fwos%2Fwoscc%2Ffull-record%2FWOS:000364982600007","View Full Record in Web of Science")</f>
        <v>View Full Record in Web of Science</v>
      </c>
    </row>
    <row r="430" ht="12.75" customHeight="1">
      <c r="A430" s="1" t="s">
        <v>72</v>
      </c>
      <c r="B430" s="1" t="s">
        <v>3861</v>
      </c>
      <c r="C430" s="1" t="s">
        <v>74</v>
      </c>
      <c r="D430" s="1" t="s">
        <v>74</v>
      </c>
      <c r="E430" s="1" t="s">
        <v>74</v>
      </c>
      <c r="F430" s="1" t="s">
        <v>3862</v>
      </c>
      <c r="G430" s="1" t="s">
        <v>74</v>
      </c>
      <c r="H430" s="1" t="s">
        <v>74</v>
      </c>
      <c r="I430" s="1" t="s">
        <v>3863</v>
      </c>
      <c r="J430" s="1" t="s">
        <v>656</v>
      </c>
      <c r="K430" s="1" t="s">
        <v>74</v>
      </c>
      <c r="L430" s="1" t="s">
        <v>74</v>
      </c>
      <c r="M430" s="1" t="s">
        <v>74</v>
      </c>
      <c r="N430" s="1" t="s">
        <v>74</v>
      </c>
      <c r="O430" s="1" t="s">
        <v>74</v>
      </c>
      <c r="P430" s="1" t="s">
        <v>74</v>
      </c>
      <c r="Q430" s="1" t="s">
        <v>74</v>
      </c>
      <c r="R430" s="1" t="s">
        <v>74</v>
      </c>
      <c r="S430" s="1" t="s">
        <v>74</v>
      </c>
      <c r="T430" s="1" t="s">
        <v>74</v>
      </c>
      <c r="U430" s="1" t="s">
        <v>74</v>
      </c>
      <c r="V430" s="1" t="s">
        <v>74</v>
      </c>
      <c r="W430" s="1" t="s">
        <v>74</v>
      </c>
      <c r="X430" s="1" t="s">
        <v>74</v>
      </c>
      <c r="Y430" s="1" t="s">
        <v>74</v>
      </c>
      <c r="Z430" s="1" t="s">
        <v>74</v>
      </c>
      <c r="AA430" s="1" t="s">
        <v>3864</v>
      </c>
      <c r="AB430" s="1" t="s">
        <v>74</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657</v>
      </c>
      <c r="AP430" s="1" t="s">
        <v>74</v>
      </c>
      <c r="AQ430" s="1" t="s">
        <v>74</v>
      </c>
      <c r="AR430" s="1" t="s">
        <v>74</v>
      </c>
      <c r="AS430" s="1" t="s">
        <v>74</v>
      </c>
      <c r="AT430" s="1" t="s">
        <v>3865</v>
      </c>
      <c r="AU430" s="1">
        <v>2015.0</v>
      </c>
      <c r="AV430" s="1">
        <v>250.0</v>
      </c>
      <c r="AW430" s="1" t="s">
        <v>74</v>
      </c>
      <c r="AX430" s="1" t="s">
        <v>74</v>
      </c>
      <c r="AY430" s="1" t="s">
        <v>74</v>
      </c>
      <c r="AZ430" s="1" t="s">
        <v>74</v>
      </c>
      <c r="BA430" s="1">
        <v>445.0</v>
      </c>
      <c r="BB430" s="1" t="s">
        <v>74</v>
      </c>
      <c r="BC430" s="1" t="s">
        <v>74</v>
      </c>
      <c r="BD430" s="1" t="s">
        <v>74</v>
      </c>
      <c r="BE430" s="1" t="s">
        <v>74</v>
      </c>
      <c r="BF430" s="1" t="s">
        <v>74</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3866</v>
      </c>
      <c r="BT430" s="1" t="str">
        <f>HYPERLINK("https%3A%2F%2Fwww.webofscience.com%2Fwos%2Fwoscc%2Ffull-record%2FWOS:000432475505072","View Full Record in Web of Science")</f>
        <v>View Full Record in Web of Science</v>
      </c>
    </row>
    <row r="431" ht="12.75" customHeight="1">
      <c r="A431" s="1" t="s">
        <v>72</v>
      </c>
      <c r="B431" s="1" t="s">
        <v>374</v>
      </c>
      <c r="C431" s="1" t="s">
        <v>74</v>
      </c>
      <c r="D431" s="1" t="s">
        <v>74</v>
      </c>
      <c r="E431" s="1" t="s">
        <v>74</v>
      </c>
      <c r="F431" s="1" t="s">
        <v>375</v>
      </c>
      <c r="G431" s="1" t="s">
        <v>74</v>
      </c>
      <c r="H431" s="1" t="s">
        <v>74</v>
      </c>
      <c r="I431" s="1" t="s">
        <v>3867</v>
      </c>
      <c r="J431" s="1" t="s">
        <v>3868</v>
      </c>
      <c r="K431" s="1" t="s">
        <v>74</v>
      </c>
      <c r="L431" s="1" t="s">
        <v>74</v>
      </c>
      <c r="M431" s="1" t="s">
        <v>74</v>
      </c>
      <c r="N431" s="1" t="s">
        <v>74</v>
      </c>
      <c r="O431" s="1" t="s">
        <v>74</v>
      </c>
      <c r="P431" s="1" t="s">
        <v>74</v>
      </c>
      <c r="Q431" s="1" t="s">
        <v>74</v>
      </c>
      <c r="R431" s="1" t="s">
        <v>74</v>
      </c>
      <c r="S431" s="1" t="s">
        <v>74</v>
      </c>
      <c r="T431" s="1" t="s">
        <v>74</v>
      </c>
      <c r="U431" s="1" t="s">
        <v>74</v>
      </c>
      <c r="V431" s="1" t="s">
        <v>74</v>
      </c>
      <c r="W431" s="1" t="s">
        <v>74</v>
      </c>
      <c r="X431" s="1" t="s">
        <v>74</v>
      </c>
      <c r="Y431" s="1" t="s">
        <v>74</v>
      </c>
      <c r="Z431" s="1" t="s">
        <v>74</v>
      </c>
      <c r="AA431" s="1" t="s">
        <v>379</v>
      </c>
      <c r="AB431" s="1" t="s">
        <v>74</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3869</v>
      </c>
      <c r="AP431" s="1" t="s">
        <v>3870</v>
      </c>
      <c r="AQ431" s="1" t="s">
        <v>74</v>
      </c>
      <c r="AR431" s="1" t="s">
        <v>74</v>
      </c>
      <c r="AS431" s="1" t="s">
        <v>74</v>
      </c>
      <c r="AT431" s="1" t="s">
        <v>974</v>
      </c>
      <c r="AU431" s="1">
        <v>2015.0</v>
      </c>
      <c r="AV431" s="1">
        <v>68.0</v>
      </c>
      <c r="AW431" s="1">
        <v>3.0</v>
      </c>
      <c r="AX431" s="1" t="s">
        <v>74</v>
      </c>
      <c r="AY431" s="1" t="s">
        <v>74</v>
      </c>
      <c r="AZ431" s="1" t="s">
        <v>74</v>
      </c>
      <c r="BA431" s="1" t="s">
        <v>74</v>
      </c>
      <c r="BB431" s="1">
        <v>1076.0</v>
      </c>
      <c r="BC431" s="1">
        <v>1077.0</v>
      </c>
      <c r="BD431" s="1" t="s">
        <v>74</v>
      </c>
      <c r="BE431" s="1" t="s">
        <v>3871</v>
      </c>
      <c r="BF431" s="2" t="str">
        <f>HYPERLINK("http://dx.doi.org/10.1111/ehr.12144","http://dx.doi.org/10.1111/ehr.12144")</f>
        <v>http://dx.doi.org/10.1111/ehr.12144</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3872</v>
      </c>
      <c r="BT431" s="1" t="str">
        <f>HYPERLINK("https%3A%2F%2Fwww.webofscience.com%2Fwos%2Fwoscc%2Ffull-record%2FWOS:000358087500023","View Full Record in Web of Science")</f>
        <v>View Full Record in Web of Science</v>
      </c>
    </row>
    <row r="432" ht="12.75" customHeight="1">
      <c r="A432" s="1" t="s">
        <v>72</v>
      </c>
      <c r="B432" s="1" t="s">
        <v>3873</v>
      </c>
      <c r="C432" s="1" t="s">
        <v>74</v>
      </c>
      <c r="D432" s="1" t="s">
        <v>74</v>
      </c>
      <c r="E432" s="1" t="s">
        <v>74</v>
      </c>
      <c r="F432" s="1" t="s">
        <v>3874</v>
      </c>
      <c r="G432" s="1" t="s">
        <v>74</v>
      </c>
      <c r="H432" s="1" t="s">
        <v>74</v>
      </c>
      <c r="I432" s="1" t="s">
        <v>3875</v>
      </c>
      <c r="J432" s="1" t="s">
        <v>3876</v>
      </c>
      <c r="K432" s="1" t="s">
        <v>74</v>
      </c>
      <c r="L432" s="1" t="s">
        <v>74</v>
      </c>
      <c r="M432" s="1" t="s">
        <v>74</v>
      </c>
      <c r="N432" s="1" t="s">
        <v>74</v>
      </c>
      <c r="O432" s="1" t="s">
        <v>74</v>
      </c>
      <c r="P432" s="1" t="s">
        <v>74</v>
      </c>
      <c r="Q432" s="1" t="s">
        <v>74</v>
      </c>
      <c r="R432" s="1" t="s">
        <v>74</v>
      </c>
      <c r="S432" s="1" t="s">
        <v>74</v>
      </c>
      <c r="T432" s="1" t="s">
        <v>74</v>
      </c>
      <c r="U432" s="1" t="s">
        <v>74</v>
      </c>
      <c r="V432" s="1" t="s">
        <v>3877</v>
      </c>
      <c r="W432" s="1" t="s">
        <v>74</v>
      </c>
      <c r="X432" s="1" t="s">
        <v>74</v>
      </c>
      <c r="Y432" s="1" t="s">
        <v>74</v>
      </c>
      <c r="Z432" s="1" t="s">
        <v>74</v>
      </c>
      <c r="AA432" s="1" t="s">
        <v>3878</v>
      </c>
      <c r="AB432" s="1" t="s">
        <v>3879</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3880</v>
      </c>
      <c r="AP432" s="1" t="s">
        <v>3881</v>
      </c>
      <c r="AQ432" s="1" t="s">
        <v>74</v>
      </c>
      <c r="AR432" s="1" t="s">
        <v>74</v>
      </c>
      <c r="AS432" s="1" t="s">
        <v>74</v>
      </c>
      <c r="AT432" s="1" t="s">
        <v>74</v>
      </c>
      <c r="AU432" s="1">
        <v>2015.0</v>
      </c>
      <c r="AV432" s="1">
        <v>18.0</v>
      </c>
      <c r="AW432" s="1">
        <v>2.0</v>
      </c>
      <c r="AX432" s="1" t="s">
        <v>74</v>
      </c>
      <c r="AY432" s="1" t="s">
        <v>74</v>
      </c>
      <c r="AZ432" s="1" t="s">
        <v>74</v>
      </c>
      <c r="BA432" s="1" t="s">
        <v>74</v>
      </c>
      <c r="BB432" s="1" t="s">
        <v>74</v>
      </c>
      <c r="BC432" s="1" t="s">
        <v>74</v>
      </c>
      <c r="BD432" s="1">
        <v>23002.0</v>
      </c>
      <c r="BE432" s="1" t="s">
        <v>3882</v>
      </c>
      <c r="BF432" s="2" t="str">
        <f>HYPERLINK("http://dx.doi.org/10.5488/CMP.18.23002","http://dx.doi.org/10.5488/CMP.18.23002")</f>
        <v>http://dx.doi.org/10.5488/CMP.18.23002</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3883</v>
      </c>
      <c r="BT432" s="1" t="str">
        <f>HYPERLINK("https%3A%2F%2Fwww.webofscience.com%2Fwos%2Fwoscc%2Ffull-record%2FWOS:000357554100003","View Full Record in Web of Science")</f>
        <v>View Full Record in Web of Science</v>
      </c>
    </row>
    <row r="433" ht="12.75" customHeight="1">
      <c r="A433" s="1" t="s">
        <v>72</v>
      </c>
      <c r="B433" s="1" t="s">
        <v>3884</v>
      </c>
      <c r="C433" s="1" t="s">
        <v>74</v>
      </c>
      <c r="D433" s="1" t="s">
        <v>74</v>
      </c>
      <c r="E433" s="1" t="s">
        <v>74</v>
      </c>
      <c r="F433" s="1" t="s">
        <v>3885</v>
      </c>
      <c r="G433" s="1" t="s">
        <v>74</v>
      </c>
      <c r="H433" s="1" t="s">
        <v>74</v>
      </c>
      <c r="I433" s="1" t="s">
        <v>3886</v>
      </c>
      <c r="J433" s="1" t="s">
        <v>3887</v>
      </c>
      <c r="K433" s="1" t="s">
        <v>74</v>
      </c>
      <c r="L433" s="1" t="s">
        <v>74</v>
      </c>
      <c r="M433" s="1" t="s">
        <v>74</v>
      </c>
      <c r="N433" s="1" t="s">
        <v>74</v>
      </c>
      <c r="O433" s="1" t="s">
        <v>74</v>
      </c>
      <c r="P433" s="1" t="s">
        <v>74</v>
      </c>
      <c r="Q433" s="1" t="s">
        <v>74</v>
      </c>
      <c r="R433" s="1" t="s">
        <v>74</v>
      </c>
      <c r="S433" s="1" t="s">
        <v>74</v>
      </c>
      <c r="T433" s="1" t="s">
        <v>74</v>
      </c>
      <c r="U433" s="1" t="s">
        <v>74</v>
      </c>
      <c r="V433" s="1" t="s">
        <v>3888</v>
      </c>
      <c r="W433" s="1" t="s">
        <v>74</v>
      </c>
      <c r="X433" s="1" t="s">
        <v>74</v>
      </c>
      <c r="Y433" s="1" t="s">
        <v>74</v>
      </c>
      <c r="Z433" s="1" t="s">
        <v>74</v>
      </c>
      <c r="AA433" s="1" t="s">
        <v>3889</v>
      </c>
      <c r="AB433" s="1" t="s">
        <v>3890</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3891</v>
      </c>
      <c r="AP433" s="1" t="s">
        <v>3892</v>
      </c>
      <c r="AQ433" s="1" t="s">
        <v>74</v>
      </c>
      <c r="AR433" s="1" t="s">
        <v>74</v>
      </c>
      <c r="AS433" s="1" t="s">
        <v>74</v>
      </c>
      <c r="AT433" s="1" t="s">
        <v>410</v>
      </c>
      <c r="AU433" s="1">
        <v>2014.0</v>
      </c>
      <c r="AV433" s="1">
        <v>45.0</v>
      </c>
      <c r="AW433" s="1" t="s">
        <v>74</v>
      </c>
      <c r="AX433" s="1" t="s">
        <v>74</v>
      </c>
      <c r="AY433" s="1" t="s">
        <v>74</v>
      </c>
      <c r="AZ433" s="1" t="s">
        <v>74</v>
      </c>
      <c r="BA433" s="1" t="s">
        <v>74</v>
      </c>
      <c r="BB433" s="1">
        <v>81.0</v>
      </c>
      <c r="BC433" s="1">
        <v>86.0</v>
      </c>
      <c r="BD433" s="1" t="s">
        <v>74</v>
      </c>
      <c r="BE433" s="1" t="s">
        <v>3893</v>
      </c>
      <c r="BF433" s="2" t="str">
        <f>HYPERLINK("http://dx.doi.org/10.1016/j.foodcont.2014.03.041","http://dx.doi.org/10.1016/j.foodcont.2014.03.041")</f>
        <v>http://dx.doi.org/10.1016/j.foodcont.2014.03.041</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3894</v>
      </c>
      <c r="BT433" s="1" t="str">
        <f>HYPERLINK("https%3A%2F%2Fwww.webofscience.com%2Fwos%2Fwoscc%2Ffull-record%2FWOS:000338815100012","View Full Record in Web of Science")</f>
        <v>View Full Record in Web of Science</v>
      </c>
    </row>
    <row r="434" ht="12.75" customHeight="1">
      <c r="A434" s="1" t="s">
        <v>72</v>
      </c>
      <c r="B434" s="1" t="s">
        <v>3895</v>
      </c>
      <c r="C434" s="1" t="s">
        <v>74</v>
      </c>
      <c r="D434" s="1" t="s">
        <v>74</v>
      </c>
      <c r="E434" s="1" t="s">
        <v>74</v>
      </c>
      <c r="F434" s="1" t="s">
        <v>3896</v>
      </c>
      <c r="G434" s="1" t="s">
        <v>74</v>
      </c>
      <c r="H434" s="1" t="s">
        <v>74</v>
      </c>
      <c r="I434" s="1" t="s">
        <v>3897</v>
      </c>
      <c r="J434" s="1" t="s">
        <v>698</v>
      </c>
      <c r="K434" s="1" t="s">
        <v>74</v>
      </c>
      <c r="L434" s="1" t="s">
        <v>74</v>
      </c>
      <c r="M434" s="1" t="s">
        <v>74</v>
      </c>
      <c r="N434" s="1" t="s">
        <v>74</v>
      </c>
      <c r="O434" s="1" t="s">
        <v>74</v>
      </c>
      <c r="P434" s="1" t="s">
        <v>74</v>
      </c>
      <c r="Q434" s="1" t="s">
        <v>74</v>
      </c>
      <c r="R434" s="1" t="s">
        <v>74</v>
      </c>
      <c r="S434" s="1" t="s">
        <v>74</v>
      </c>
      <c r="T434" s="1" t="s">
        <v>74</v>
      </c>
      <c r="U434" s="1" t="s">
        <v>74</v>
      </c>
      <c r="V434" s="1" t="s">
        <v>3898</v>
      </c>
      <c r="W434" s="1" t="s">
        <v>74</v>
      </c>
      <c r="X434" s="1" t="s">
        <v>74</v>
      </c>
      <c r="Y434" s="1" t="s">
        <v>74</v>
      </c>
      <c r="Z434" s="1" t="s">
        <v>74</v>
      </c>
      <c r="AA434" s="1" t="s">
        <v>3899</v>
      </c>
      <c r="AB434" s="1" t="s">
        <v>3900</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702</v>
      </c>
      <c r="AP434" s="1" t="s">
        <v>74</v>
      </c>
      <c r="AQ434" s="1" t="s">
        <v>74</v>
      </c>
      <c r="AR434" s="1" t="s">
        <v>74</v>
      </c>
      <c r="AS434" s="1" t="s">
        <v>74</v>
      </c>
      <c r="AT434" s="1" t="s">
        <v>91</v>
      </c>
      <c r="AU434" s="1">
        <v>2014.0</v>
      </c>
      <c r="AV434" s="1">
        <v>59.0</v>
      </c>
      <c r="AW434" s="1">
        <v>2.0</v>
      </c>
      <c r="AX434" s="1" t="s">
        <v>74</v>
      </c>
      <c r="AY434" s="1" t="s">
        <v>74</v>
      </c>
      <c r="AZ434" s="1" t="s">
        <v>74</v>
      </c>
      <c r="BA434" s="1" t="s">
        <v>74</v>
      </c>
      <c r="BB434" s="1">
        <v>2490.0</v>
      </c>
      <c r="BC434" s="1">
        <v>2493.0</v>
      </c>
      <c r="BD434" s="1" t="s">
        <v>74</v>
      </c>
      <c r="BE434" s="1" t="s">
        <v>3901</v>
      </c>
      <c r="BF434" s="2" t="str">
        <f>HYPERLINK("http://dx.doi.org/10.4067/S0717-97072014000200020","http://dx.doi.org/10.4067/S0717-97072014000200020")</f>
        <v>http://dx.doi.org/10.4067/S0717-97072014000200020</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3902</v>
      </c>
      <c r="BT434" s="1" t="str">
        <f>HYPERLINK("https%3A%2F%2Fwww.webofscience.com%2Fwos%2Fwoscc%2Ffull-record%2FWOS:000342613100020","View Full Record in Web of Science")</f>
        <v>View Full Record in Web of Science</v>
      </c>
    </row>
    <row r="435" ht="12.75" customHeight="1">
      <c r="A435" s="1" t="s">
        <v>72</v>
      </c>
      <c r="B435" s="1" t="s">
        <v>3903</v>
      </c>
      <c r="C435" s="1" t="s">
        <v>74</v>
      </c>
      <c r="D435" s="1" t="s">
        <v>74</v>
      </c>
      <c r="E435" s="1" t="s">
        <v>74</v>
      </c>
      <c r="F435" s="1" t="s">
        <v>3904</v>
      </c>
      <c r="G435" s="1" t="s">
        <v>74</v>
      </c>
      <c r="H435" s="1" t="s">
        <v>74</v>
      </c>
      <c r="I435" s="1" t="s">
        <v>3905</v>
      </c>
      <c r="J435" s="1" t="s">
        <v>3906</v>
      </c>
      <c r="K435" s="1" t="s">
        <v>74</v>
      </c>
      <c r="L435" s="1" t="s">
        <v>74</v>
      </c>
      <c r="M435" s="1" t="s">
        <v>74</v>
      </c>
      <c r="N435" s="1" t="s">
        <v>74</v>
      </c>
      <c r="O435" s="1" t="s">
        <v>74</v>
      </c>
      <c r="P435" s="1" t="s">
        <v>74</v>
      </c>
      <c r="Q435" s="1" t="s">
        <v>74</v>
      </c>
      <c r="R435" s="1" t="s">
        <v>74</v>
      </c>
      <c r="S435" s="1" t="s">
        <v>74</v>
      </c>
      <c r="T435" s="1" t="s">
        <v>74</v>
      </c>
      <c r="U435" s="1" t="s">
        <v>74</v>
      </c>
      <c r="V435" s="1" t="s">
        <v>3907</v>
      </c>
      <c r="W435" s="1" t="s">
        <v>74</v>
      </c>
      <c r="X435" s="1" t="s">
        <v>74</v>
      </c>
      <c r="Y435" s="1" t="s">
        <v>74</v>
      </c>
      <c r="Z435" s="1" t="s">
        <v>74</v>
      </c>
      <c r="AA435" s="1" t="s">
        <v>74</v>
      </c>
      <c r="AB435" s="1" t="s">
        <v>74</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3908</v>
      </c>
      <c r="AP435" s="1" t="s">
        <v>3909</v>
      </c>
      <c r="AQ435" s="1" t="s">
        <v>74</v>
      </c>
      <c r="AR435" s="1" t="s">
        <v>74</v>
      </c>
      <c r="AS435" s="1" t="s">
        <v>74</v>
      </c>
      <c r="AT435" s="1" t="s">
        <v>74</v>
      </c>
      <c r="AU435" s="1">
        <v>2014.0</v>
      </c>
      <c r="AV435" s="1">
        <v>14.0</v>
      </c>
      <c r="AW435" s="1">
        <v>3.0</v>
      </c>
      <c r="AX435" s="1" t="s">
        <v>74</v>
      </c>
      <c r="AY435" s="1" t="s">
        <v>74</v>
      </c>
      <c r="AZ435" s="1" t="s">
        <v>74</v>
      </c>
      <c r="BA435" s="1" t="s">
        <v>74</v>
      </c>
      <c r="BB435" s="1">
        <v>315.0</v>
      </c>
      <c r="BC435" s="1">
        <v>336.0</v>
      </c>
      <c r="BD435" s="1" t="s">
        <v>74</v>
      </c>
      <c r="BE435" s="1" t="s">
        <v>3910</v>
      </c>
      <c r="BF435" s="2" t="str">
        <f>HYPERLINK("http://dx.doi.org/10.1080/14682745.2013.793310","http://dx.doi.org/10.1080/14682745.2013.793310")</f>
        <v>http://dx.doi.org/10.1080/14682745.2013.793310</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3911</v>
      </c>
      <c r="BT435" s="1" t="str">
        <f>HYPERLINK("https%3A%2F%2Fwww.webofscience.com%2Fwos%2Fwoscc%2Ffull-record%2FWOS:000342286800002","View Full Record in Web of Science")</f>
        <v>View Full Record in Web of Science</v>
      </c>
    </row>
    <row r="436" ht="12.75" customHeight="1">
      <c r="A436" s="1" t="s">
        <v>72</v>
      </c>
      <c r="B436" s="1" t="s">
        <v>3912</v>
      </c>
      <c r="C436" s="1" t="s">
        <v>74</v>
      </c>
      <c r="D436" s="1" t="s">
        <v>74</v>
      </c>
      <c r="E436" s="1" t="s">
        <v>74</v>
      </c>
      <c r="F436" s="1" t="s">
        <v>3913</v>
      </c>
      <c r="G436" s="1" t="s">
        <v>74</v>
      </c>
      <c r="H436" s="1" t="s">
        <v>74</v>
      </c>
      <c r="I436" s="1" t="s">
        <v>3914</v>
      </c>
      <c r="J436" s="1" t="s">
        <v>3915</v>
      </c>
      <c r="K436" s="1" t="s">
        <v>74</v>
      </c>
      <c r="L436" s="1" t="s">
        <v>74</v>
      </c>
      <c r="M436" s="1" t="s">
        <v>74</v>
      </c>
      <c r="N436" s="1" t="s">
        <v>74</v>
      </c>
      <c r="O436" s="1" t="s">
        <v>74</v>
      </c>
      <c r="P436" s="1" t="s">
        <v>74</v>
      </c>
      <c r="Q436" s="1" t="s">
        <v>74</v>
      </c>
      <c r="R436" s="1" t="s">
        <v>74</v>
      </c>
      <c r="S436" s="1" t="s">
        <v>74</v>
      </c>
      <c r="T436" s="1" t="s">
        <v>74</v>
      </c>
      <c r="U436" s="1" t="s">
        <v>74</v>
      </c>
      <c r="V436" s="1" t="s">
        <v>3916</v>
      </c>
      <c r="W436" s="1" t="s">
        <v>74</v>
      </c>
      <c r="X436" s="1" t="s">
        <v>74</v>
      </c>
      <c r="Y436" s="1" t="s">
        <v>74</v>
      </c>
      <c r="Z436" s="1" t="s">
        <v>74</v>
      </c>
      <c r="AA436" s="1" t="s">
        <v>3917</v>
      </c>
      <c r="AB436" s="1" t="s">
        <v>3918</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3919</v>
      </c>
      <c r="AP436" s="1" t="s">
        <v>3920</v>
      </c>
      <c r="AQ436" s="1" t="s">
        <v>74</v>
      </c>
      <c r="AR436" s="1" t="s">
        <v>74</v>
      </c>
      <c r="AS436" s="1" t="s">
        <v>74</v>
      </c>
      <c r="AT436" s="1" t="s">
        <v>410</v>
      </c>
      <c r="AU436" s="1">
        <v>2013.0</v>
      </c>
      <c r="AV436" s="1">
        <v>93.0</v>
      </c>
      <c r="AW436" s="1">
        <v>11.0</v>
      </c>
      <c r="AX436" s="1" t="s">
        <v>74</v>
      </c>
      <c r="AY436" s="1" t="s">
        <v>74</v>
      </c>
      <c r="AZ436" s="1" t="s">
        <v>74</v>
      </c>
      <c r="BA436" s="1" t="s">
        <v>74</v>
      </c>
      <c r="BB436" s="1">
        <v>2774.0</v>
      </c>
      <c r="BC436" s="1">
        <v>2781.0</v>
      </c>
      <c r="BD436" s="1" t="s">
        <v>74</v>
      </c>
      <c r="BE436" s="1" t="s">
        <v>3921</v>
      </c>
      <c r="BF436" s="2" t="str">
        <f>HYPERLINK("http://dx.doi.org/10.1016/j.chemosphere.2013.09.035","http://dx.doi.org/10.1016/j.chemosphere.2013.09.035")</f>
        <v>http://dx.doi.org/10.1016/j.chemosphere.2013.09.035</v>
      </c>
      <c r="BG436" s="1" t="s">
        <v>74</v>
      </c>
      <c r="BH436" s="1" t="s">
        <v>74</v>
      </c>
      <c r="BI436" s="1" t="s">
        <v>74</v>
      </c>
      <c r="BJ436" s="1" t="s">
        <v>74</v>
      </c>
      <c r="BK436" s="1" t="s">
        <v>74</v>
      </c>
      <c r="BL436" s="1" t="s">
        <v>74</v>
      </c>
      <c r="BM436" s="1" t="s">
        <v>74</v>
      </c>
      <c r="BN436" s="1">
        <v>2.41404E7</v>
      </c>
      <c r="BO436" s="1" t="s">
        <v>74</v>
      </c>
      <c r="BP436" s="1" t="s">
        <v>74</v>
      </c>
      <c r="BQ436" s="1" t="s">
        <v>74</v>
      </c>
      <c r="BR436" s="1" t="s">
        <v>74</v>
      </c>
      <c r="BS436" s="1" t="s">
        <v>3922</v>
      </c>
      <c r="BT436" s="1" t="str">
        <f>HYPERLINK("https%3A%2F%2Fwww.webofscience.com%2Fwos%2Fwoscc%2Ffull-record%2FWOS:000327570000017","View Full Record in Web of Science")</f>
        <v>View Full Record in Web of Science</v>
      </c>
    </row>
    <row r="437" ht="12.75" customHeight="1">
      <c r="A437" s="1" t="s">
        <v>72</v>
      </c>
      <c r="B437" s="1" t="s">
        <v>3923</v>
      </c>
      <c r="C437" s="1" t="s">
        <v>74</v>
      </c>
      <c r="D437" s="1" t="s">
        <v>74</v>
      </c>
      <c r="E437" s="1" t="s">
        <v>74</v>
      </c>
      <c r="F437" s="1" t="s">
        <v>3924</v>
      </c>
      <c r="G437" s="1" t="s">
        <v>74</v>
      </c>
      <c r="H437" s="1" t="s">
        <v>74</v>
      </c>
      <c r="I437" s="1" t="s">
        <v>3925</v>
      </c>
      <c r="J437" s="1" t="s">
        <v>3926</v>
      </c>
      <c r="K437" s="1" t="s">
        <v>74</v>
      </c>
      <c r="L437" s="1" t="s">
        <v>74</v>
      </c>
      <c r="M437" s="1" t="s">
        <v>74</v>
      </c>
      <c r="N437" s="1" t="s">
        <v>74</v>
      </c>
      <c r="O437" s="1" t="s">
        <v>74</v>
      </c>
      <c r="P437" s="1" t="s">
        <v>74</v>
      </c>
      <c r="Q437" s="1" t="s">
        <v>74</v>
      </c>
      <c r="R437" s="1" t="s">
        <v>74</v>
      </c>
      <c r="S437" s="1" t="s">
        <v>74</v>
      </c>
      <c r="T437" s="1" t="s">
        <v>74</v>
      </c>
      <c r="U437" s="1" t="s">
        <v>74</v>
      </c>
      <c r="V437" s="1" t="s">
        <v>3927</v>
      </c>
      <c r="W437" s="1" t="s">
        <v>74</v>
      </c>
      <c r="X437" s="1" t="s">
        <v>74</v>
      </c>
      <c r="Y437" s="1" t="s">
        <v>74</v>
      </c>
      <c r="Z437" s="1" t="s">
        <v>74</v>
      </c>
      <c r="AA437" s="1" t="s">
        <v>3928</v>
      </c>
      <c r="AB437" s="1" t="s">
        <v>3929</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3930</v>
      </c>
      <c r="AP437" s="1" t="s">
        <v>3931</v>
      </c>
      <c r="AQ437" s="1" t="s">
        <v>74</v>
      </c>
      <c r="AR437" s="1" t="s">
        <v>74</v>
      </c>
      <c r="AS437" s="1" t="s">
        <v>74</v>
      </c>
      <c r="AT437" s="1" t="s">
        <v>158</v>
      </c>
      <c r="AU437" s="1">
        <v>2013.0</v>
      </c>
      <c r="AV437" s="1">
        <v>11.0</v>
      </c>
      <c r="AW437" s="1">
        <v>5.0</v>
      </c>
      <c r="AX437" s="1" t="s">
        <v>74</v>
      </c>
      <c r="AY437" s="1" t="s">
        <v>74</v>
      </c>
      <c r="AZ437" s="1" t="s">
        <v>74</v>
      </c>
      <c r="BA437" s="1" t="s">
        <v>74</v>
      </c>
      <c r="BB437" s="1">
        <v>521.0</v>
      </c>
      <c r="BC437" s="1">
        <v>534.0</v>
      </c>
      <c r="BD437" s="1" t="s">
        <v>74</v>
      </c>
      <c r="BE437" s="1" t="s">
        <v>3932</v>
      </c>
      <c r="BF437" s="2" t="str">
        <f>HYPERLINK("http://dx.doi.org/10.2174/1570159X11311050007","http://dx.doi.org/10.2174/1570159X11311050007")</f>
        <v>http://dx.doi.org/10.2174/1570159X11311050007</v>
      </c>
      <c r="BG437" s="1" t="s">
        <v>74</v>
      </c>
      <c r="BH437" s="1" t="s">
        <v>74</v>
      </c>
      <c r="BI437" s="1" t="s">
        <v>74</v>
      </c>
      <c r="BJ437" s="1" t="s">
        <v>74</v>
      </c>
      <c r="BK437" s="1" t="s">
        <v>74</v>
      </c>
      <c r="BL437" s="1" t="s">
        <v>74</v>
      </c>
      <c r="BM437" s="1" t="s">
        <v>74</v>
      </c>
      <c r="BN437" s="1">
        <v>2.4403876E7</v>
      </c>
      <c r="BO437" s="1" t="s">
        <v>74</v>
      </c>
      <c r="BP437" s="1" t="s">
        <v>74</v>
      </c>
      <c r="BQ437" s="1" t="s">
        <v>74</v>
      </c>
      <c r="BR437" s="1" t="s">
        <v>74</v>
      </c>
      <c r="BS437" s="1" t="s">
        <v>3933</v>
      </c>
      <c r="BT437" s="1" t="str">
        <f>HYPERLINK("https%3A%2F%2Fwww.webofscience.com%2Fwos%2Fwoscc%2Ffull-record%2FWOS:000323764800007","View Full Record in Web of Science")</f>
        <v>View Full Record in Web of Science</v>
      </c>
    </row>
    <row r="438" ht="12.75" customHeight="1">
      <c r="A438" s="1" t="s">
        <v>72</v>
      </c>
      <c r="B438" s="1" t="s">
        <v>3934</v>
      </c>
      <c r="C438" s="1" t="s">
        <v>74</v>
      </c>
      <c r="D438" s="1" t="s">
        <v>74</v>
      </c>
      <c r="E438" s="1" t="s">
        <v>74</v>
      </c>
      <c r="F438" s="1" t="s">
        <v>3935</v>
      </c>
      <c r="G438" s="1" t="s">
        <v>74</v>
      </c>
      <c r="H438" s="1" t="s">
        <v>74</v>
      </c>
      <c r="I438" s="1" t="s">
        <v>3936</v>
      </c>
      <c r="J438" s="1" t="s">
        <v>3937</v>
      </c>
      <c r="K438" s="1" t="s">
        <v>74</v>
      </c>
      <c r="L438" s="1" t="s">
        <v>74</v>
      </c>
      <c r="M438" s="1" t="s">
        <v>74</v>
      </c>
      <c r="N438" s="1" t="s">
        <v>74</v>
      </c>
      <c r="O438" s="1" t="s">
        <v>74</v>
      </c>
      <c r="P438" s="1" t="s">
        <v>74</v>
      </c>
      <c r="Q438" s="1" t="s">
        <v>74</v>
      </c>
      <c r="R438" s="1" t="s">
        <v>74</v>
      </c>
      <c r="S438" s="1" t="s">
        <v>74</v>
      </c>
      <c r="T438" s="1" t="s">
        <v>74</v>
      </c>
      <c r="U438" s="1" t="s">
        <v>74</v>
      </c>
      <c r="V438" s="1" t="s">
        <v>3938</v>
      </c>
      <c r="W438" s="1" t="s">
        <v>74</v>
      </c>
      <c r="X438" s="1" t="s">
        <v>74</v>
      </c>
      <c r="Y438" s="1" t="s">
        <v>74</v>
      </c>
      <c r="Z438" s="1" t="s">
        <v>74</v>
      </c>
      <c r="AA438" s="1" t="s">
        <v>74</v>
      </c>
      <c r="AB438" s="1" t="s">
        <v>3939</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3940</v>
      </c>
      <c r="AP438" s="1" t="s">
        <v>74</v>
      </c>
      <c r="AQ438" s="1" t="s">
        <v>74</v>
      </c>
      <c r="AR438" s="1" t="s">
        <v>74</v>
      </c>
      <c r="AS438" s="1" t="s">
        <v>74</v>
      </c>
      <c r="AT438" s="1" t="s">
        <v>3941</v>
      </c>
      <c r="AU438" s="1">
        <v>2013.0</v>
      </c>
      <c r="AV438" s="1">
        <v>46.0</v>
      </c>
      <c r="AW438" s="1">
        <v>13.0</v>
      </c>
      <c r="AX438" s="1" t="s">
        <v>74</v>
      </c>
      <c r="AY438" s="1" t="s">
        <v>74</v>
      </c>
      <c r="AZ438" s="1" t="s">
        <v>74</v>
      </c>
      <c r="BA438" s="1" t="s">
        <v>74</v>
      </c>
      <c r="BB438" s="1" t="s">
        <v>74</v>
      </c>
      <c r="BC438" s="1" t="s">
        <v>74</v>
      </c>
      <c r="BD438" s="1">
        <v>135203.0</v>
      </c>
      <c r="BE438" s="1" t="s">
        <v>3942</v>
      </c>
      <c r="BF438" s="2" t="str">
        <f>HYPERLINK("http://dx.doi.org/10.1088/1751-8113/46/13/135203","http://dx.doi.org/10.1088/1751-8113/46/13/135203")</f>
        <v>http://dx.doi.org/10.1088/1751-8113/46/13/135203</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3943</v>
      </c>
      <c r="BT438" s="1" t="str">
        <f>HYPERLINK("https%3A%2F%2Fwww.webofscience.com%2Fwos%2Fwoscc%2Ffull-record%2FWOS:000316454800006","View Full Record in Web of Science")</f>
        <v>View Full Record in Web of Science</v>
      </c>
    </row>
    <row r="439" ht="12.75" customHeight="1">
      <c r="A439" s="1" t="s">
        <v>72</v>
      </c>
      <c r="B439" s="1" t="s">
        <v>3944</v>
      </c>
      <c r="C439" s="1" t="s">
        <v>74</v>
      </c>
      <c r="D439" s="1" t="s">
        <v>74</v>
      </c>
      <c r="E439" s="1" t="s">
        <v>74</v>
      </c>
      <c r="F439" s="1" t="s">
        <v>3945</v>
      </c>
      <c r="G439" s="1" t="s">
        <v>74</v>
      </c>
      <c r="H439" s="1" t="s">
        <v>74</v>
      </c>
      <c r="I439" s="1" t="s">
        <v>3946</v>
      </c>
      <c r="J439" s="1" t="s">
        <v>3947</v>
      </c>
      <c r="K439" s="1" t="s">
        <v>74</v>
      </c>
      <c r="L439" s="1" t="s">
        <v>74</v>
      </c>
      <c r="M439" s="1" t="s">
        <v>74</v>
      </c>
      <c r="N439" s="1" t="s">
        <v>74</v>
      </c>
      <c r="O439" s="1" t="s">
        <v>74</v>
      </c>
      <c r="P439" s="1" t="s">
        <v>74</v>
      </c>
      <c r="Q439" s="1" t="s">
        <v>74</v>
      </c>
      <c r="R439" s="1" t="s">
        <v>74</v>
      </c>
      <c r="S439" s="1" t="s">
        <v>74</v>
      </c>
      <c r="T439" s="1" t="s">
        <v>74</v>
      </c>
      <c r="U439" s="1" t="s">
        <v>74</v>
      </c>
      <c r="V439" s="1" t="s">
        <v>3948</v>
      </c>
      <c r="W439" s="1" t="s">
        <v>74</v>
      </c>
      <c r="X439" s="1" t="s">
        <v>74</v>
      </c>
      <c r="Y439" s="1" t="s">
        <v>74</v>
      </c>
      <c r="Z439" s="1" t="s">
        <v>74</v>
      </c>
      <c r="AA439" s="1" t="s">
        <v>3949</v>
      </c>
      <c r="AB439" s="1" t="s">
        <v>768</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3950</v>
      </c>
      <c r="AP439" s="1" t="s">
        <v>3951</v>
      </c>
      <c r="AQ439" s="1" t="s">
        <v>74</v>
      </c>
      <c r="AR439" s="1" t="s">
        <v>74</v>
      </c>
      <c r="AS439" s="1" t="s">
        <v>74</v>
      </c>
      <c r="AT439" s="1" t="s">
        <v>818</v>
      </c>
      <c r="AU439" s="1">
        <v>2013.0</v>
      </c>
      <c r="AV439" s="1">
        <v>19.0</v>
      </c>
      <c r="AW439" s="1">
        <v>2.0</v>
      </c>
      <c r="AX439" s="1" t="s">
        <v>74</v>
      </c>
      <c r="AY439" s="1" t="s">
        <v>74</v>
      </c>
      <c r="AZ439" s="1" t="s">
        <v>74</v>
      </c>
      <c r="BA439" s="1" t="s">
        <v>74</v>
      </c>
      <c r="BB439" s="1">
        <v>811.0</v>
      </c>
      <c r="BC439" s="1">
        <v>824.0</v>
      </c>
      <c r="BD439" s="1" t="s">
        <v>74</v>
      </c>
      <c r="BE439" s="1" t="s">
        <v>3952</v>
      </c>
      <c r="BF439" s="2" t="str">
        <f>HYPERLINK("http://dx.doi.org/10.1007/s00894-012-1597-7","http://dx.doi.org/10.1007/s00894-012-1597-7")</f>
        <v>http://dx.doi.org/10.1007/s00894-012-1597-7</v>
      </c>
      <c r="BG439" s="1" t="s">
        <v>74</v>
      </c>
      <c r="BH439" s="1" t="s">
        <v>74</v>
      </c>
      <c r="BI439" s="1" t="s">
        <v>74</v>
      </c>
      <c r="BJ439" s="1" t="s">
        <v>74</v>
      </c>
      <c r="BK439" s="1" t="s">
        <v>74</v>
      </c>
      <c r="BL439" s="1" t="s">
        <v>74</v>
      </c>
      <c r="BM439" s="1" t="s">
        <v>74</v>
      </c>
      <c r="BN439" s="1">
        <v>2.3053008E7</v>
      </c>
      <c r="BO439" s="1" t="s">
        <v>74</v>
      </c>
      <c r="BP439" s="1" t="s">
        <v>74</v>
      </c>
      <c r="BQ439" s="1" t="s">
        <v>74</v>
      </c>
      <c r="BR439" s="1" t="s">
        <v>74</v>
      </c>
      <c r="BS439" s="1" t="s">
        <v>3953</v>
      </c>
      <c r="BT439" s="1" t="str">
        <f>HYPERLINK("https%3A%2F%2Fwww.webofscience.com%2Fwos%2Fwoscc%2Ffull-record%2FWOS:000314051200031","View Full Record in Web of Science")</f>
        <v>View Full Record in Web of Science</v>
      </c>
    </row>
    <row r="440" ht="12.75" customHeight="1">
      <c r="A440" s="1" t="s">
        <v>72</v>
      </c>
      <c r="B440" s="1" t="s">
        <v>3954</v>
      </c>
      <c r="C440" s="1" t="s">
        <v>74</v>
      </c>
      <c r="D440" s="1" t="s">
        <v>74</v>
      </c>
      <c r="E440" s="1" t="s">
        <v>74</v>
      </c>
      <c r="F440" s="1" t="s">
        <v>3955</v>
      </c>
      <c r="G440" s="1" t="s">
        <v>74</v>
      </c>
      <c r="H440" s="1" t="s">
        <v>74</v>
      </c>
      <c r="I440" s="1" t="s">
        <v>3956</v>
      </c>
      <c r="J440" s="1" t="s">
        <v>2332</v>
      </c>
      <c r="K440" s="1" t="s">
        <v>74</v>
      </c>
      <c r="L440" s="1" t="s">
        <v>74</v>
      </c>
      <c r="M440" s="1" t="s">
        <v>74</v>
      </c>
      <c r="N440" s="1" t="s">
        <v>74</v>
      </c>
      <c r="O440" s="1" t="s">
        <v>74</v>
      </c>
      <c r="P440" s="1" t="s">
        <v>74</v>
      </c>
      <c r="Q440" s="1" t="s">
        <v>74</v>
      </c>
      <c r="R440" s="1" t="s">
        <v>74</v>
      </c>
      <c r="S440" s="1" t="s">
        <v>74</v>
      </c>
      <c r="T440" s="1" t="s">
        <v>74</v>
      </c>
      <c r="U440" s="1" t="s">
        <v>74</v>
      </c>
      <c r="V440" s="1" t="s">
        <v>3957</v>
      </c>
      <c r="W440" s="1" t="s">
        <v>74</v>
      </c>
      <c r="X440" s="1" t="s">
        <v>74</v>
      </c>
      <c r="Y440" s="1" t="s">
        <v>74</v>
      </c>
      <c r="Z440" s="1" t="s">
        <v>74</v>
      </c>
      <c r="AA440" s="1" t="s">
        <v>3958</v>
      </c>
      <c r="AB440" s="1" t="s">
        <v>3959</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2334</v>
      </c>
      <c r="AP440" s="1" t="s">
        <v>3960</v>
      </c>
      <c r="AQ440" s="1" t="s">
        <v>74</v>
      </c>
      <c r="AR440" s="1" t="s">
        <v>74</v>
      </c>
      <c r="AS440" s="1" t="s">
        <v>74</v>
      </c>
      <c r="AT440" s="1" t="s">
        <v>276</v>
      </c>
      <c r="AU440" s="1">
        <v>2012.0</v>
      </c>
      <c r="AV440" s="1">
        <v>25.0</v>
      </c>
      <c r="AW440" s="1">
        <v>6.0</v>
      </c>
      <c r="AX440" s="1" t="s">
        <v>74</v>
      </c>
      <c r="AY440" s="1" t="s">
        <v>74</v>
      </c>
      <c r="AZ440" s="1" t="s">
        <v>74</v>
      </c>
      <c r="BA440" s="1" t="s">
        <v>74</v>
      </c>
      <c r="BB440" s="1">
        <v>363.0</v>
      </c>
      <c r="BC440" s="1">
        <v>372.0</v>
      </c>
      <c r="BD440" s="1" t="s">
        <v>74</v>
      </c>
      <c r="BE440" s="1" t="s">
        <v>3961</v>
      </c>
      <c r="BF440" s="2" t="str">
        <f>HYPERLINK("http://dx.doi.org/10.1002/pts.981","http://dx.doi.org/10.1002/pts.981")</f>
        <v>http://dx.doi.org/10.1002/pts.981</v>
      </c>
      <c r="BG440" s="1" t="s">
        <v>74</v>
      </c>
      <c r="BH440" s="1" t="s">
        <v>74</v>
      </c>
      <c r="BI440" s="1" t="s">
        <v>74</v>
      </c>
      <c r="BJ440" s="1" t="s">
        <v>74</v>
      </c>
      <c r="BK440" s="1" t="s">
        <v>74</v>
      </c>
      <c r="BL440" s="1" t="s">
        <v>74</v>
      </c>
      <c r="BM440" s="1" t="s">
        <v>74</v>
      </c>
      <c r="BN440" s="1" t="s">
        <v>74</v>
      </c>
      <c r="BO440" s="1" t="s">
        <v>74</v>
      </c>
      <c r="BP440" s="1" t="s">
        <v>74</v>
      </c>
      <c r="BQ440" s="1" t="s">
        <v>74</v>
      </c>
      <c r="BR440" s="1" t="s">
        <v>74</v>
      </c>
      <c r="BS440" s="1" t="s">
        <v>3962</v>
      </c>
      <c r="BT440" s="1" t="str">
        <f>HYPERLINK("https%3A%2F%2Fwww.webofscience.com%2Fwos%2Fwoscc%2Ffull-record%2FWOS:000308878700006","View Full Record in Web of Science")</f>
        <v>View Full Record in Web of Science</v>
      </c>
    </row>
    <row r="441" ht="12.75" customHeight="1">
      <c r="A441" s="1" t="s">
        <v>72</v>
      </c>
      <c r="B441" s="1" t="s">
        <v>3963</v>
      </c>
      <c r="C441" s="1" t="s">
        <v>74</v>
      </c>
      <c r="D441" s="1" t="s">
        <v>74</v>
      </c>
      <c r="E441" s="1" t="s">
        <v>74</v>
      </c>
      <c r="F441" s="1" t="s">
        <v>3964</v>
      </c>
      <c r="G441" s="1" t="s">
        <v>74</v>
      </c>
      <c r="H441" s="1" t="s">
        <v>74</v>
      </c>
      <c r="I441" s="1" t="s">
        <v>3965</v>
      </c>
      <c r="J441" s="1" t="s">
        <v>698</v>
      </c>
      <c r="K441" s="1" t="s">
        <v>74</v>
      </c>
      <c r="L441" s="1" t="s">
        <v>74</v>
      </c>
      <c r="M441" s="1" t="s">
        <v>74</v>
      </c>
      <c r="N441" s="1" t="s">
        <v>74</v>
      </c>
      <c r="O441" s="1" t="s">
        <v>74</v>
      </c>
      <c r="P441" s="1" t="s">
        <v>74</v>
      </c>
      <c r="Q441" s="1" t="s">
        <v>74</v>
      </c>
      <c r="R441" s="1" t="s">
        <v>74</v>
      </c>
      <c r="S441" s="1" t="s">
        <v>74</v>
      </c>
      <c r="T441" s="1" t="s">
        <v>74</v>
      </c>
      <c r="U441" s="1" t="s">
        <v>74</v>
      </c>
      <c r="V441" s="1" t="s">
        <v>3966</v>
      </c>
      <c r="W441" s="1" t="s">
        <v>74</v>
      </c>
      <c r="X441" s="1" t="s">
        <v>74</v>
      </c>
      <c r="Y441" s="1" t="s">
        <v>74</v>
      </c>
      <c r="Z441" s="1" t="s">
        <v>74</v>
      </c>
      <c r="AA441" s="1" t="s">
        <v>3967</v>
      </c>
      <c r="AB441" s="1" t="s">
        <v>3968</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702</v>
      </c>
      <c r="AP441" s="1" t="s">
        <v>74</v>
      </c>
      <c r="AQ441" s="1" t="s">
        <v>74</v>
      </c>
      <c r="AR441" s="1" t="s">
        <v>74</v>
      </c>
      <c r="AS441" s="1" t="s">
        <v>74</v>
      </c>
      <c r="AT441" s="1" t="s">
        <v>256</v>
      </c>
      <c r="AU441" s="1">
        <v>2012.0</v>
      </c>
      <c r="AV441" s="1">
        <v>57.0</v>
      </c>
      <c r="AW441" s="1">
        <v>1.0</v>
      </c>
      <c r="AX441" s="1" t="s">
        <v>74</v>
      </c>
      <c r="AY441" s="1" t="s">
        <v>74</v>
      </c>
      <c r="AZ441" s="1" t="s">
        <v>74</v>
      </c>
      <c r="BA441" s="1" t="s">
        <v>74</v>
      </c>
      <c r="BB441" s="1">
        <v>999.0</v>
      </c>
      <c r="BC441" s="1">
        <v>1003.0</v>
      </c>
      <c r="BD441" s="1" t="s">
        <v>74</v>
      </c>
      <c r="BE441" s="1" t="s">
        <v>3969</v>
      </c>
      <c r="BF441" s="2" t="str">
        <f>HYPERLINK("http://dx.doi.org/10.4067/S0717-97072012000100010","http://dx.doi.org/10.4067/S0717-97072012000100010")</f>
        <v>http://dx.doi.org/10.4067/S0717-97072012000100010</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3970</v>
      </c>
      <c r="BT441" s="1" t="str">
        <f>HYPERLINK("https%3A%2F%2Fwww.webofscience.com%2Fwos%2Fwoscc%2Ffull-record%2FWOS:000302755900010","View Full Record in Web of Science")</f>
        <v>View Full Record in Web of Science</v>
      </c>
    </row>
    <row r="442" ht="12.75" customHeight="1">
      <c r="A442" s="1" t="s">
        <v>72</v>
      </c>
      <c r="B442" s="1" t="s">
        <v>1397</v>
      </c>
      <c r="C442" s="1" t="s">
        <v>74</v>
      </c>
      <c r="D442" s="1" t="s">
        <v>74</v>
      </c>
      <c r="E442" s="1" t="s">
        <v>74</v>
      </c>
      <c r="F442" s="1" t="s">
        <v>1398</v>
      </c>
      <c r="G442" s="1" t="s">
        <v>74</v>
      </c>
      <c r="H442" s="1" t="s">
        <v>74</v>
      </c>
      <c r="I442" s="1" t="s">
        <v>3971</v>
      </c>
      <c r="J442" s="1" t="s">
        <v>3849</v>
      </c>
      <c r="K442" s="1" t="s">
        <v>74</v>
      </c>
      <c r="L442" s="1" t="s">
        <v>74</v>
      </c>
      <c r="M442" s="1" t="s">
        <v>74</v>
      </c>
      <c r="N442" s="1" t="s">
        <v>74</v>
      </c>
      <c r="O442" s="1" t="s">
        <v>74</v>
      </c>
      <c r="P442" s="1" t="s">
        <v>74</v>
      </c>
      <c r="Q442" s="1" t="s">
        <v>74</v>
      </c>
      <c r="R442" s="1" t="s">
        <v>74</v>
      </c>
      <c r="S442" s="1" t="s">
        <v>74</v>
      </c>
      <c r="T442" s="1" t="s">
        <v>74</v>
      </c>
      <c r="U442" s="1" t="s">
        <v>74</v>
      </c>
      <c r="V442" s="1" t="s">
        <v>74</v>
      </c>
      <c r="W442" s="1" t="s">
        <v>74</v>
      </c>
      <c r="X442" s="1" t="s">
        <v>74</v>
      </c>
      <c r="Y442" s="1" t="s">
        <v>74</v>
      </c>
      <c r="Z442" s="1" t="s">
        <v>74</v>
      </c>
      <c r="AA442" s="1" t="s">
        <v>74</v>
      </c>
      <c r="AB442" s="1" t="s">
        <v>74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3850</v>
      </c>
      <c r="AP442" s="1" t="s">
        <v>74</v>
      </c>
      <c r="AQ442" s="1" t="s">
        <v>74</v>
      </c>
      <c r="AR442" s="1" t="s">
        <v>74</v>
      </c>
      <c r="AS442" s="1" t="s">
        <v>74</v>
      </c>
      <c r="AT442" s="1" t="s">
        <v>74</v>
      </c>
      <c r="AU442" s="1">
        <v>2012.0</v>
      </c>
      <c r="AV442" s="1" t="s">
        <v>74</v>
      </c>
      <c r="AW442" s="1">
        <v>51.0</v>
      </c>
      <c r="AX442" s="1" t="s">
        <v>74</v>
      </c>
      <c r="AY442" s="1" t="s">
        <v>74</v>
      </c>
      <c r="AZ442" s="1" t="s">
        <v>74</v>
      </c>
      <c r="BA442" s="1" t="s">
        <v>74</v>
      </c>
      <c r="BB442" s="1">
        <v>313.0</v>
      </c>
      <c r="BC442" s="1">
        <v>318.0</v>
      </c>
      <c r="BD442" s="1" t="s">
        <v>74</v>
      </c>
      <c r="BE442" s="1" t="s">
        <v>74</v>
      </c>
      <c r="BF442" s="1" t="s">
        <v>74</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3972</v>
      </c>
      <c r="BT442" s="1" t="str">
        <f>HYPERLINK("https%3A%2F%2Fwww.webofscience.com%2Fwos%2Fwoscc%2Ffull-record%2FWOS:000311262600019","View Full Record in Web of Science")</f>
        <v>View Full Record in Web of Science</v>
      </c>
    </row>
    <row r="443" ht="12.75" customHeight="1">
      <c r="A443" s="1" t="s">
        <v>72</v>
      </c>
      <c r="B443" s="1" t="s">
        <v>385</v>
      </c>
      <c r="C443" s="1" t="s">
        <v>74</v>
      </c>
      <c r="D443" s="1" t="s">
        <v>74</v>
      </c>
      <c r="E443" s="1" t="s">
        <v>74</v>
      </c>
      <c r="F443" s="1" t="s">
        <v>3973</v>
      </c>
      <c r="G443" s="1" t="s">
        <v>74</v>
      </c>
      <c r="H443" s="1" t="s">
        <v>74</v>
      </c>
      <c r="I443" s="1" t="s">
        <v>3974</v>
      </c>
      <c r="J443" s="1" t="s">
        <v>3975</v>
      </c>
      <c r="K443" s="1" t="s">
        <v>74</v>
      </c>
      <c r="L443" s="1" t="s">
        <v>74</v>
      </c>
      <c r="M443" s="1" t="s">
        <v>74</v>
      </c>
      <c r="N443" s="1" t="s">
        <v>74</v>
      </c>
      <c r="O443" s="1" t="s">
        <v>74</v>
      </c>
      <c r="P443" s="1" t="s">
        <v>74</v>
      </c>
      <c r="Q443" s="1" t="s">
        <v>74</v>
      </c>
      <c r="R443" s="1" t="s">
        <v>74</v>
      </c>
      <c r="S443" s="1" t="s">
        <v>74</v>
      </c>
      <c r="T443" s="1" t="s">
        <v>74</v>
      </c>
      <c r="U443" s="1" t="s">
        <v>74</v>
      </c>
      <c r="V443" s="1" t="s">
        <v>3976</v>
      </c>
      <c r="W443" s="1" t="s">
        <v>74</v>
      </c>
      <c r="X443" s="1" t="s">
        <v>74</v>
      </c>
      <c r="Y443" s="1" t="s">
        <v>74</v>
      </c>
      <c r="Z443" s="1" t="s">
        <v>74</v>
      </c>
      <c r="AA443" s="1" t="s">
        <v>390</v>
      </c>
      <c r="AB443" s="1" t="s">
        <v>391</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3977</v>
      </c>
      <c r="AP443" s="1" t="s">
        <v>74</v>
      </c>
      <c r="AQ443" s="1" t="s">
        <v>74</v>
      </c>
      <c r="AR443" s="1" t="s">
        <v>74</v>
      </c>
      <c r="AS443" s="1" t="s">
        <v>74</v>
      </c>
      <c r="AT443" s="1" t="s">
        <v>74</v>
      </c>
      <c r="AU443" s="1">
        <v>2012.0</v>
      </c>
      <c r="AV443" s="1" t="s">
        <v>74</v>
      </c>
      <c r="AW443" s="1">
        <v>82.0</v>
      </c>
      <c r="AX443" s="1" t="s">
        <v>74</v>
      </c>
      <c r="AY443" s="1" t="s">
        <v>74</v>
      </c>
      <c r="AZ443" s="1" t="s">
        <v>74</v>
      </c>
      <c r="BA443" s="1" t="s">
        <v>74</v>
      </c>
      <c r="BB443" s="1">
        <v>1.0</v>
      </c>
      <c r="BC443" s="1">
        <v>9.0</v>
      </c>
      <c r="BD443" s="1" t="s">
        <v>74</v>
      </c>
      <c r="BE443" s="1" t="s">
        <v>74</v>
      </c>
      <c r="BF443" s="1" t="s">
        <v>74</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3978</v>
      </c>
      <c r="BT443" s="1" t="str">
        <f>HYPERLINK("https%3A%2F%2Fwww.webofscience.com%2Fwos%2Fwoscc%2Ffull-record%2FWOS:000312717900001","View Full Record in Web of Science")</f>
        <v>View Full Record in Web of Science</v>
      </c>
    </row>
    <row r="444" ht="12.75" customHeight="1">
      <c r="A444" s="1" t="s">
        <v>126</v>
      </c>
      <c r="B444" s="1" t="s">
        <v>3979</v>
      </c>
      <c r="C444" s="1" t="s">
        <v>74</v>
      </c>
      <c r="D444" s="1" t="s">
        <v>74</v>
      </c>
      <c r="E444" s="1" t="s">
        <v>458</v>
      </c>
      <c r="F444" s="1" t="s">
        <v>3980</v>
      </c>
      <c r="G444" s="1" t="s">
        <v>74</v>
      </c>
      <c r="H444" s="1" t="s">
        <v>74</v>
      </c>
      <c r="I444" s="1" t="s">
        <v>3981</v>
      </c>
      <c r="J444" s="1" t="s">
        <v>3982</v>
      </c>
      <c r="K444" s="1" t="s">
        <v>74</v>
      </c>
      <c r="L444" s="1" t="s">
        <v>74</v>
      </c>
      <c r="M444" s="1" t="s">
        <v>74</v>
      </c>
      <c r="N444" s="1" t="s">
        <v>74</v>
      </c>
      <c r="O444" s="1" t="s">
        <v>462</v>
      </c>
      <c r="P444" s="1" t="s">
        <v>463</v>
      </c>
      <c r="Q444" s="1" t="s">
        <v>464</v>
      </c>
      <c r="R444" s="1" t="s">
        <v>465</v>
      </c>
      <c r="S444" s="1" t="s">
        <v>74</v>
      </c>
      <c r="T444" s="1" t="s">
        <v>74</v>
      </c>
      <c r="U444" s="1" t="s">
        <v>74</v>
      </c>
      <c r="V444" s="1" t="s">
        <v>3983</v>
      </c>
      <c r="W444" s="1" t="s">
        <v>74</v>
      </c>
      <c r="X444" s="1" t="s">
        <v>74</v>
      </c>
      <c r="Y444" s="1" t="s">
        <v>74</v>
      </c>
      <c r="Z444" s="1" t="s">
        <v>74</v>
      </c>
      <c r="AA444" s="1" t="s">
        <v>3984</v>
      </c>
      <c r="AB444" s="1" t="s">
        <v>1573</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74</v>
      </c>
      <c r="AP444" s="1" t="s">
        <v>74</v>
      </c>
      <c r="AQ444" s="1" t="s">
        <v>3985</v>
      </c>
      <c r="AR444" s="1" t="s">
        <v>74</v>
      </c>
      <c r="AS444" s="1" t="s">
        <v>74</v>
      </c>
      <c r="AT444" s="1" t="s">
        <v>74</v>
      </c>
      <c r="AU444" s="1">
        <v>2012.0</v>
      </c>
      <c r="AV444" s="1" t="s">
        <v>74</v>
      </c>
      <c r="AW444" s="1" t="s">
        <v>74</v>
      </c>
      <c r="AX444" s="1" t="s">
        <v>74</v>
      </c>
      <c r="AY444" s="1" t="s">
        <v>74</v>
      </c>
      <c r="AZ444" s="1" t="s">
        <v>74</v>
      </c>
      <c r="BA444" s="1" t="s">
        <v>74</v>
      </c>
      <c r="BB444" s="1">
        <v>363.0</v>
      </c>
      <c r="BC444" s="1">
        <v>370.0</v>
      </c>
      <c r="BD444" s="1" t="s">
        <v>74</v>
      </c>
      <c r="BE444" s="1" t="s">
        <v>74</v>
      </c>
      <c r="BF444" s="1" t="s">
        <v>74</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3986</v>
      </c>
      <c r="BT444" s="1" t="str">
        <f>HYPERLINK("https%3A%2F%2Fwww.webofscience.com%2Fwos%2Fwoscc%2Ffull-record%2FWOS:000320481100050","View Full Record in Web of Science")</f>
        <v>View Full Record in Web of Science</v>
      </c>
    </row>
    <row r="445" ht="12.75" customHeight="1">
      <c r="A445" s="1" t="s">
        <v>72</v>
      </c>
      <c r="B445" s="1" t="s">
        <v>3987</v>
      </c>
      <c r="C445" s="1" t="s">
        <v>74</v>
      </c>
      <c r="D445" s="1" t="s">
        <v>74</v>
      </c>
      <c r="E445" s="1" t="s">
        <v>74</v>
      </c>
      <c r="F445" s="1" t="s">
        <v>3988</v>
      </c>
      <c r="G445" s="1" t="s">
        <v>74</v>
      </c>
      <c r="H445" s="1" t="s">
        <v>74</v>
      </c>
      <c r="I445" s="1" t="s">
        <v>3989</v>
      </c>
      <c r="J445" s="1" t="s">
        <v>3990</v>
      </c>
      <c r="K445" s="1" t="s">
        <v>74</v>
      </c>
      <c r="L445" s="1" t="s">
        <v>74</v>
      </c>
      <c r="M445" s="1" t="s">
        <v>74</v>
      </c>
      <c r="N445" s="1" t="s">
        <v>74</v>
      </c>
      <c r="O445" s="1" t="s">
        <v>74</v>
      </c>
      <c r="P445" s="1" t="s">
        <v>74</v>
      </c>
      <c r="Q445" s="1" t="s">
        <v>74</v>
      </c>
      <c r="R445" s="1" t="s">
        <v>74</v>
      </c>
      <c r="S445" s="1" t="s">
        <v>74</v>
      </c>
      <c r="T445" s="1" t="s">
        <v>74</v>
      </c>
      <c r="U445" s="1" t="s">
        <v>74</v>
      </c>
      <c r="V445" s="1" t="s">
        <v>74</v>
      </c>
      <c r="W445" s="1" t="s">
        <v>74</v>
      </c>
      <c r="X445" s="1" t="s">
        <v>74</v>
      </c>
      <c r="Y445" s="1" t="s">
        <v>74</v>
      </c>
      <c r="Z445" s="1" t="s">
        <v>74</v>
      </c>
      <c r="AA445" s="1" t="s">
        <v>74</v>
      </c>
      <c r="AB445" s="1" t="s">
        <v>74</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3991</v>
      </c>
      <c r="AP445" s="1" t="s">
        <v>3992</v>
      </c>
      <c r="AQ445" s="1" t="s">
        <v>74</v>
      </c>
      <c r="AR445" s="1" t="s">
        <v>74</v>
      </c>
      <c r="AS445" s="1" t="s">
        <v>74</v>
      </c>
      <c r="AT445" s="1" t="s">
        <v>148</v>
      </c>
      <c r="AU445" s="1">
        <v>2011.0</v>
      </c>
      <c r="AV445" s="1">
        <v>77.0</v>
      </c>
      <c r="AW445" s="1">
        <v>236.0</v>
      </c>
      <c r="AX445" s="1" t="s">
        <v>74</v>
      </c>
      <c r="AY445" s="1" t="s">
        <v>74</v>
      </c>
      <c r="AZ445" s="1" t="s">
        <v>74</v>
      </c>
      <c r="BA445" s="1" t="s">
        <v>74</v>
      </c>
      <c r="BB445" s="1">
        <v>731.0</v>
      </c>
      <c r="BC445" s="1">
        <v>747.0</v>
      </c>
      <c r="BD445" s="1" t="s">
        <v>74</v>
      </c>
      <c r="BE445" s="1" t="s">
        <v>3993</v>
      </c>
      <c r="BF445" s="2" t="str">
        <f>HYPERLINK("http://dx.doi.org/10.5195/REVIBEROAMER.2011.6851","http://dx.doi.org/10.5195/REVIBEROAMER.2011.6851")</f>
        <v>http://dx.doi.org/10.5195/REVIBEROAMER.2011.6851</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3994</v>
      </c>
      <c r="BT445" s="1" t="str">
        <f>HYPERLINK("https%3A%2F%2Fwww.webofscience.com%2Fwos%2Fwoscc%2Ffull-record%2FWOS:000208586100006","View Full Record in Web of Science")</f>
        <v>View Full Record in Web of Science</v>
      </c>
    </row>
    <row r="446" ht="12.75" customHeight="1">
      <c r="A446" s="1" t="s">
        <v>72</v>
      </c>
      <c r="B446" s="1" t="s">
        <v>3995</v>
      </c>
      <c r="C446" s="1" t="s">
        <v>74</v>
      </c>
      <c r="D446" s="1" t="s">
        <v>74</v>
      </c>
      <c r="E446" s="1" t="s">
        <v>74</v>
      </c>
      <c r="F446" s="1" t="s">
        <v>3996</v>
      </c>
      <c r="G446" s="1" t="s">
        <v>74</v>
      </c>
      <c r="H446" s="1" t="s">
        <v>74</v>
      </c>
      <c r="I446" s="1" t="s">
        <v>3997</v>
      </c>
      <c r="J446" s="1" t="s">
        <v>3975</v>
      </c>
      <c r="K446" s="1" t="s">
        <v>74</v>
      </c>
      <c r="L446" s="1" t="s">
        <v>74</v>
      </c>
      <c r="M446" s="1" t="s">
        <v>74</v>
      </c>
      <c r="N446" s="1" t="s">
        <v>74</v>
      </c>
      <c r="O446" s="1" t="s">
        <v>74</v>
      </c>
      <c r="P446" s="1" t="s">
        <v>74</v>
      </c>
      <c r="Q446" s="1" t="s">
        <v>74</v>
      </c>
      <c r="R446" s="1" t="s">
        <v>74</v>
      </c>
      <c r="S446" s="1" t="s">
        <v>74</v>
      </c>
      <c r="T446" s="1" t="s">
        <v>74</v>
      </c>
      <c r="U446" s="1" t="s">
        <v>74</v>
      </c>
      <c r="V446" s="1" t="s">
        <v>3998</v>
      </c>
      <c r="W446" s="1" t="s">
        <v>74</v>
      </c>
      <c r="X446" s="1" t="s">
        <v>74</v>
      </c>
      <c r="Y446" s="1" t="s">
        <v>74</v>
      </c>
      <c r="Z446" s="1" t="s">
        <v>74</v>
      </c>
      <c r="AA446" s="1" t="s">
        <v>74</v>
      </c>
      <c r="AB446" s="1" t="s">
        <v>74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3977</v>
      </c>
      <c r="AP446" s="1" t="s">
        <v>74</v>
      </c>
      <c r="AQ446" s="1" t="s">
        <v>74</v>
      </c>
      <c r="AR446" s="1" t="s">
        <v>74</v>
      </c>
      <c r="AS446" s="1" t="s">
        <v>74</v>
      </c>
      <c r="AT446" s="1" t="s">
        <v>74</v>
      </c>
      <c r="AU446" s="1">
        <v>2011.0</v>
      </c>
      <c r="AV446" s="1" t="s">
        <v>74</v>
      </c>
      <c r="AW446" s="1">
        <v>5.0</v>
      </c>
      <c r="AX446" s="1" t="s">
        <v>74</v>
      </c>
      <c r="AY446" s="1" t="s">
        <v>74</v>
      </c>
      <c r="AZ446" s="1" t="s">
        <v>74</v>
      </c>
      <c r="BA446" s="1" t="s">
        <v>74</v>
      </c>
      <c r="BB446" s="1">
        <v>1.0</v>
      </c>
      <c r="BC446" s="1">
        <v>6.0</v>
      </c>
      <c r="BD446" s="1" t="s">
        <v>74</v>
      </c>
      <c r="BE446" s="1" t="s">
        <v>74</v>
      </c>
      <c r="BF446" s="1" t="s">
        <v>74</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3999</v>
      </c>
      <c r="BT446" s="1" t="str">
        <f>HYPERLINK("https%3A%2F%2Fwww.webofscience.com%2Fwos%2Fwoscc%2Ffull-record%2FWOS:000287041900001","View Full Record in Web of Science")</f>
        <v>View Full Record in Web of Science</v>
      </c>
    </row>
    <row r="447" ht="12.75" customHeight="1">
      <c r="A447" s="1" t="s">
        <v>72</v>
      </c>
      <c r="B447" s="1" t="s">
        <v>3129</v>
      </c>
      <c r="C447" s="1" t="s">
        <v>74</v>
      </c>
      <c r="D447" s="1" t="s">
        <v>74</v>
      </c>
      <c r="E447" s="1" t="s">
        <v>74</v>
      </c>
      <c r="F447" s="1" t="s">
        <v>3130</v>
      </c>
      <c r="G447" s="1" t="s">
        <v>74</v>
      </c>
      <c r="H447" s="1" t="s">
        <v>74</v>
      </c>
      <c r="I447" s="1" t="s">
        <v>4000</v>
      </c>
      <c r="J447" s="1" t="s">
        <v>1296</v>
      </c>
      <c r="K447" s="1" t="s">
        <v>74</v>
      </c>
      <c r="L447" s="1" t="s">
        <v>74</v>
      </c>
      <c r="M447" s="1" t="s">
        <v>74</v>
      </c>
      <c r="N447" s="1" t="s">
        <v>74</v>
      </c>
      <c r="O447" s="1" t="s">
        <v>74</v>
      </c>
      <c r="P447" s="1" t="s">
        <v>74</v>
      </c>
      <c r="Q447" s="1" t="s">
        <v>74</v>
      </c>
      <c r="R447" s="1" t="s">
        <v>74</v>
      </c>
      <c r="S447" s="1" t="s">
        <v>74</v>
      </c>
      <c r="T447" s="1" t="s">
        <v>74</v>
      </c>
      <c r="U447" s="1" t="s">
        <v>74</v>
      </c>
      <c r="V447" s="1" t="s">
        <v>4001</v>
      </c>
      <c r="W447" s="1" t="s">
        <v>74</v>
      </c>
      <c r="X447" s="1" t="s">
        <v>74</v>
      </c>
      <c r="Y447" s="1" t="s">
        <v>74</v>
      </c>
      <c r="Z447" s="1" t="s">
        <v>74</v>
      </c>
      <c r="AA447" s="1" t="s">
        <v>74</v>
      </c>
      <c r="AB447" s="1" t="s">
        <v>74</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4002</v>
      </c>
      <c r="AP447" s="1" t="s">
        <v>74</v>
      </c>
      <c r="AQ447" s="1" t="s">
        <v>74</v>
      </c>
      <c r="AR447" s="1" t="s">
        <v>74</v>
      </c>
      <c r="AS447" s="1" t="s">
        <v>74</v>
      </c>
      <c r="AT447" s="1" t="s">
        <v>82</v>
      </c>
      <c r="AU447" s="1">
        <v>2010.0</v>
      </c>
      <c r="AV447" s="1" t="s">
        <v>74</v>
      </c>
      <c r="AW447" s="1">
        <v>31.0</v>
      </c>
      <c r="AX447" s="1" t="s">
        <v>74</v>
      </c>
      <c r="AY447" s="1" t="s">
        <v>74</v>
      </c>
      <c r="AZ447" s="1" t="s">
        <v>74</v>
      </c>
      <c r="BA447" s="1" t="s">
        <v>74</v>
      </c>
      <c r="BB447" s="1">
        <v>175.0</v>
      </c>
      <c r="BC447" s="1">
        <v>194.0</v>
      </c>
      <c r="BD447" s="1" t="s">
        <v>74</v>
      </c>
      <c r="BE447" s="1" t="s">
        <v>4003</v>
      </c>
      <c r="BF447" s="2" t="str">
        <f>HYPERLINK("http://dx.doi.org/10.4067/S0718-22012010000200013","http://dx.doi.org/10.4067/S0718-22012010000200013")</f>
        <v>http://dx.doi.org/10.4067/S0718-22012010000200013</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4004</v>
      </c>
      <c r="BT447" s="1" t="str">
        <f>HYPERLINK("https%3A%2F%2Fwww.webofscience.com%2Fwos%2Fwoscc%2Ffull-record%2FWOS:000286703100013","View Full Record in Web of Science")</f>
        <v>View Full Record in Web of Science</v>
      </c>
    </row>
    <row r="448" ht="12.75" customHeight="1">
      <c r="A448" s="1" t="s">
        <v>72</v>
      </c>
      <c r="B448" s="1" t="s">
        <v>4005</v>
      </c>
      <c r="C448" s="1" t="s">
        <v>74</v>
      </c>
      <c r="D448" s="1" t="s">
        <v>74</v>
      </c>
      <c r="E448" s="1" t="s">
        <v>74</v>
      </c>
      <c r="F448" s="1" t="s">
        <v>4006</v>
      </c>
      <c r="G448" s="1" t="s">
        <v>74</v>
      </c>
      <c r="H448" s="1" t="s">
        <v>74</v>
      </c>
      <c r="I448" s="1" t="s">
        <v>4007</v>
      </c>
      <c r="J448" s="1" t="s">
        <v>4008</v>
      </c>
      <c r="K448" s="1" t="s">
        <v>74</v>
      </c>
      <c r="L448" s="1" t="s">
        <v>74</v>
      </c>
      <c r="M448" s="1" t="s">
        <v>74</v>
      </c>
      <c r="N448" s="1" t="s">
        <v>74</v>
      </c>
      <c r="O448" s="1" t="s">
        <v>74</v>
      </c>
      <c r="P448" s="1" t="s">
        <v>74</v>
      </c>
      <c r="Q448" s="1" t="s">
        <v>74</v>
      </c>
      <c r="R448" s="1" t="s">
        <v>74</v>
      </c>
      <c r="S448" s="1" t="s">
        <v>74</v>
      </c>
      <c r="T448" s="1" t="s">
        <v>74</v>
      </c>
      <c r="U448" s="1" t="s">
        <v>74</v>
      </c>
      <c r="V448" s="1" t="s">
        <v>4009</v>
      </c>
      <c r="W448" s="1" t="s">
        <v>74</v>
      </c>
      <c r="X448" s="1" t="s">
        <v>74</v>
      </c>
      <c r="Y448" s="1" t="s">
        <v>74</v>
      </c>
      <c r="Z448" s="1" t="s">
        <v>74</v>
      </c>
      <c r="AA448" s="1" t="s">
        <v>4010</v>
      </c>
      <c r="AB448" s="1" t="s">
        <v>4011</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4012</v>
      </c>
      <c r="AP448" s="1" t="s">
        <v>74</v>
      </c>
      <c r="AQ448" s="1" t="s">
        <v>74</v>
      </c>
      <c r="AR448" s="1" t="s">
        <v>74</v>
      </c>
      <c r="AS448" s="1" t="s">
        <v>74</v>
      </c>
      <c r="AT448" s="1" t="s">
        <v>974</v>
      </c>
      <c r="AU448" s="1">
        <v>2010.0</v>
      </c>
      <c r="AV448" s="1">
        <v>167.0</v>
      </c>
      <c r="AW448" s="1" t="s">
        <v>4013</v>
      </c>
      <c r="AX448" s="1" t="s">
        <v>74</v>
      </c>
      <c r="AY448" s="1" t="s">
        <v>74</v>
      </c>
      <c r="AZ448" s="1" t="s">
        <v>159</v>
      </c>
      <c r="BA448" s="1" t="s">
        <v>74</v>
      </c>
      <c r="BB448" s="1">
        <v>165.0</v>
      </c>
      <c r="BC448" s="1">
        <v>173.0</v>
      </c>
      <c r="BD448" s="1" t="s">
        <v>74</v>
      </c>
      <c r="BE448" s="1" t="s">
        <v>4014</v>
      </c>
      <c r="BF448" s="2" t="str">
        <f>HYPERLINK("http://dx.doi.org/10.1007/s10661-009-1039-x","http://dx.doi.org/10.1007/s10661-009-1039-x")</f>
        <v>http://dx.doi.org/10.1007/s10661-009-1039-x</v>
      </c>
      <c r="BG448" s="1" t="s">
        <v>74</v>
      </c>
      <c r="BH448" s="1" t="s">
        <v>74</v>
      </c>
      <c r="BI448" s="1" t="s">
        <v>74</v>
      </c>
      <c r="BJ448" s="1" t="s">
        <v>74</v>
      </c>
      <c r="BK448" s="1" t="s">
        <v>74</v>
      </c>
      <c r="BL448" s="1" t="s">
        <v>74</v>
      </c>
      <c r="BM448" s="1" t="s">
        <v>74</v>
      </c>
      <c r="BN448" s="1">
        <v>1.95437E7</v>
      </c>
      <c r="BO448" s="1" t="s">
        <v>74</v>
      </c>
      <c r="BP448" s="1" t="s">
        <v>74</v>
      </c>
      <c r="BQ448" s="1" t="s">
        <v>74</v>
      </c>
      <c r="BR448" s="1" t="s">
        <v>74</v>
      </c>
      <c r="BS448" s="1" t="s">
        <v>4015</v>
      </c>
      <c r="BT448" s="1" t="str">
        <f>HYPERLINK("https%3A%2F%2Fwww.webofscience.com%2Fwos%2Fwoscc%2Ffull-record%2FWOS:000279683100014","View Full Record in Web of Science")</f>
        <v>View Full Record in Web of Science</v>
      </c>
    </row>
    <row r="449" ht="12.75" customHeight="1">
      <c r="A449" s="1" t="s">
        <v>72</v>
      </c>
      <c r="B449" s="1" t="s">
        <v>4016</v>
      </c>
      <c r="C449" s="1" t="s">
        <v>74</v>
      </c>
      <c r="D449" s="1" t="s">
        <v>74</v>
      </c>
      <c r="E449" s="1" t="s">
        <v>74</v>
      </c>
      <c r="F449" s="1" t="s">
        <v>4017</v>
      </c>
      <c r="G449" s="1" t="s">
        <v>74</v>
      </c>
      <c r="H449" s="1" t="s">
        <v>74</v>
      </c>
      <c r="I449" s="1" t="s">
        <v>4018</v>
      </c>
      <c r="J449" s="1" t="s">
        <v>842</v>
      </c>
      <c r="K449" s="1" t="s">
        <v>74</v>
      </c>
      <c r="L449" s="1" t="s">
        <v>74</v>
      </c>
      <c r="M449" s="1" t="s">
        <v>74</v>
      </c>
      <c r="N449" s="1" t="s">
        <v>74</v>
      </c>
      <c r="O449" s="1" t="s">
        <v>74</v>
      </c>
      <c r="P449" s="1" t="s">
        <v>74</v>
      </c>
      <c r="Q449" s="1" t="s">
        <v>74</v>
      </c>
      <c r="R449" s="1" t="s">
        <v>74</v>
      </c>
      <c r="S449" s="1" t="s">
        <v>74</v>
      </c>
      <c r="T449" s="1" t="s">
        <v>74</v>
      </c>
      <c r="U449" s="1" t="s">
        <v>74</v>
      </c>
      <c r="V449" s="1" t="s">
        <v>4019</v>
      </c>
      <c r="W449" s="1" t="s">
        <v>74</v>
      </c>
      <c r="X449" s="1" t="s">
        <v>74</v>
      </c>
      <c r="Y449" s="1" t="s">
        <v>74</v>
      </c>
      <c r="Z449" s="1" t="s">
        <v>74</v>
      </c>
      <c r="AA449" s="1" t="s">
        <v>4020</v>
      </c>
      <c r="AB449" s="1" t="s">
        <v>391</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846</v>
      </c>
      <c r="AP449" s="1" t="s">
        <v>4021</v>
      </c>
      <c r="AQ449" s="1" t="s">
        <v>74</v>
      </c>
      <c r="AR449" s="1" t="s">
        <v>74</v>
      </c>
      <c r="AS449" s="1" t="s">
        <v>74</v>
      </c>
      <c r="AT449" s="1" t="s">
        <v>2249</v>
      </c>
      <c r="AU449" s="1">
        <v>2008.0</v>
      </c>
      <c r="AV449" s="1">
        <v>348.0</v>
      </c>
      <c r="AW449" s="1">
        <v>2.0</v>
      </c>
      <c r="AX449" s="1" t="s">
        <v>74</v>
      </c>
      <c r="AY449" s="1" t="s">
        <v>74</v>
      </c>
      <c r="AZ449" s="1" t="s">
        <v>74</v>
      </c>
      <c r="BA449" s="1" t="s">
        <v>74</v>
      </c>
      <c r="BB449" s="1">
        <v>775.0</v>
      </c>
      <c r="BC449" s="1">
        <v>786.0</v>
      </c>
      <c r="BD449" s="1" t="s">
        <v>74</v>
      </c>
      <c r="BE449" s="1" t="s">
        <v>4022</v>
      </c>
      <c r="BF449" s="2" t="str">
        <f>HYPERLINK("http://dx.doi.org/10.1016/j.jmaa.2008.07.075","http://dx.doi.org/10.1016/j.jmaa.2008.07.075")</f>
        <v>http://dx.doi.org/10.1016/j.jmaa.2008.07.075</v>
      </c>
      <c r="BG449" s="1" t="s">
        <v>74</v>
      </c>
      <c r="BH449" s="1" t="s">
        <v>74</v>
      </c>
      <c r="BI449" s="1" t="s">
        <v>74</v>
      </c>
      <c r="BJ449" s="1" t="s">
        <v>74</v>
      </c>
      <c r="BK449" s="1" t="s">
        <v>74</v>
      </c>
      <c r="BL449" s="1" t="s">
        <v>74</v>
      </c>
      <c r="BM449" s="1" t="s">
        <v>74</v>
      </c>
      <c r="BN449" s="1" t="s">
        <v>74</v>
      </c>
      <c r="BO449" s="1" t="s">
        <v>74</v>
      </c>
      <c r="BP449" s="1" t="s">
        <v>74</v>
      </c>
      <c r="BQ449" s="1" t="s">
        <v>74</v>
      </c>
      <c r="BR449" s="1" t="s">
        <v>74</v>
      </c>
      <c r="BS449" s="1" t="s">
        <v>4023</v>
      </c>
      <c r="BT449" s="1" t="str">
        <f>HYPERLINK("https%3A%2F%2Fwww.webofscience.com%2Fwos%2Fwoscc%2Ffull-record%2FWOS:000259588700018","View Full Record in Web of Science")</f>
        <v>View Full Record in Web of Science</v>
      </c>
    </row>
    <row r="450" ht="12.75" customHeight="1">
      <c r="A450" s="1" t="s">
        <v>72</v>
      </c>
      <c r="B450" s="1" t="s">
        <v>4024</v>
      </c>
      <c r="C450" s="1" t="s">
        <v>74</v>
      </c>
      <c r="D450" s="1" t="s">
        <v>74</v>
      </c>
      <c r="E450" s="1" t="s">
        <v>74</v>
      </c>
      <c r="F450" s="1" t="s">
        <v>4025</v>
      </c>
      <c r="G450" s="1" t="s">
        <v>74</v>
      </c>
      <c r="H450" s="1" t="s">
        <v>74</v>
      </c>
      <c r="I450" s="1" t="s">
        <v>4026</v>
      </c>
      <c r="J450" s="1" t="s">
        <v>4027</v>
      </c>
      <c r="K450" s="1" t="s">
        <v>74</v>
      </c>
      <c r="L450" s="1" t="s">
        <v>74</v>
      </c>
      <c r="M450" s="1" t="s">
        <v>74</v>
      </c>
      <c r="N450" s="1" t="s">
        <v>74</v>
      </c>
      <c r="O450" s="1" t="s">
        <v>74</v>
      </c>
      <c r="P450" s="1" t="s">
        <v>74</v>
      </c>
      <c r="Q450" s="1" t="s">
        <v>74</v>
      </c>
      <c r="R450" s="1" t="s">
        <v>74</v>
      </c>
      <c r="S450" s="1" t="s">
        <v>74</v>
      </c>
      <c r="T450" s="1" t="s">
        <v>74</v>
      </c>
      <c r="U450" s="1" t="s">
        <v>74</v>
      </c>
      <c r="V450" s="1" t="s">
        <v>4028</v>
      </c>
      <c r="W450" s="1" t="s">
        <v>74</v>
      </c>
      <c r="X450" s="1" t="s">
        <v>74</v>
      </c>
      <c r="Y450" s="1" t="s">
        <v>74</v>
      </c>
      <c r="Z450" s="1" t="s">
        <v>74</v>
      </c>
      <c r="AA450" s="1" t="s">
        <v>615</v>
      </c>
      <c r="AB450" s="1" t="s">
        <v>74</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4029</v>
      </c>
      <c r="AP450" s="1" t="s">
        <v>4030</v>
      </c>
      <c r="AQ450" s="1" t="s">
        <v>74</v>
      </c>
      <c r="AR450" s="1" t="s">
        <v>74</v>
      </c>
      <c r="AS450" s="1" t="s">
        <v>74</v>
      </c>
      <c r="AT450" s="1" t="s">
        <v>158</v>
      </c>
      <c r="AU450" s="1">
        <v>2008.0</v>
      </c>
      <c r="AV450" s="1">
        <v>29.0</v>
      </c>
      <c r="AW450" s="1">
        <v>9.0</v>
      </c>
      <c r="AX450" s="1" t="s">
        <v>74</v>
      </c>
      <c r="AY450" s="1" t="s">
        <v>74</v>
      </c>
      <c r="AZ450" s="1" t="s">
        <v>74</v>
      </c>
      <c r="BA450" s="1" t="s">
        <v>74</v>
      </c>
      <c r="BB450" s="1">
        <v>947.0</v>
      </c>
      <c r="BC450" s="1">
        <v>957.0</v>
      </c>
      <c r="BD450" s="1" t="s">
        <v>74</v>
      </c>
      <c r="BE450" s="1" t="s">
        <v>4031</v>
      </c>
      <c r="BF450" s="2" t="str">
        <f>HYPERLINK("http://dx.doi.org/10.1080/09593330802015300","http://dx.doi.org/10.1080/09593330802015300")</f>
        <v>http://dx.doi.org/10.1080/09593330802015300</v>
      </c>
      <c r="BG450" s="1" t="s">
        <v>74</v>
      </c>
      <c r="BH450" s="1" t="s">
        <v>74</v>
      </c>
      <c r="BI450" s="1" t="s">
        <v>74</v>
      </c>
      <c r="BJ450" s="1" t="s">
        <v>74</v>
      </c>
      <c r="BK450" s="1" t="s">
        <v>74</v>
      </c>
      <c r="BL450" s="1" t="s">
        <v>74</v>
      </c>
      <c r="BM450" s="1" t="s">
        <v>74</v>
      </c>
      <c r="BN450" s="1">
        <v>1.8844122E7</v>
      </c>
      <c r="BO450" s="1" t="s">
        <v>74</v>
      </c>
      <c r="BP450" s="1" t="s">
        <v>74</v>
      </c>
      <c r="BQ450" s="1" t="s">
        <v>74</v>
      </c>
      <c r="BR450" s="1" t="s">
        <v>74</v>
      </c>
      <c r="BS450" s="1" t="s">
        <v>4032</v>
      </c>
      <c r="BT450" s="1" t="str">
        <f>HYPERLINK("https%3A%2F%2Fwww.webofscience.com%2Fwos%2Fwoscc%2Ffull-record%2FWOS:000259658600003","View Full Record in Web of Science")</f>
        <v>View Full Record in Web of Science</v>
      </c>
    </row>
    <row r="451" ht="12.75" customHeight="1">
      <c r="A451" s="1" t="s">
        <v>72</v>
      </c>
      <c r="B451" s="1" t="s">
        <v>4033</v>
      </c>
      <c r="C451" s="1" t="s">
        <v>74</v>
      </c>
      <c r="D451" s="1" t="s">
        <v>74</v>
      </c>
      <c r="E451" s="1" t="s">
        <v>74</v>
      </c>
      <c r="F451" s="1" t="s">
        <v>4034</v>
      </c>
      <c r="G451" s="1" t="s">
        <v>74</v>
      </c>
      <c r="H451" s="1" t="s">
        <v>74</v>
      </c>
      <c r="I451" s="1" t="s">
        <v>4035</v>
      </c>
      <c r="J451" s="1" t="s">
        <v>4036</v>
      </c>
      <c r="K451" s="1" t="s">
        <v>74</v>
      </c>
      <c r="L451" s="1" t="s">
        <v>74</v>
      </c>
      <c r="M451" s="1" t="s">
        <v>74</v>
      </c>
      <c r="N451" s="1" t="s">
        <v>74</v>
      </c>
      <c r="O451" s="1" t="s">
        <v>74</v>
      </c>
      <c r="P451" s="1" t="s">
        <v>74</v>
      </c>
      <c r="Q451" s="1" t="s">
        <v>74</v>
      </c>
      <c r="R451" s="1" t="s">
        <v>74</v>
      </c>
      <c r="S451" s="1" t="s">
        <v>74</v>
      </c>
      <c r="T451" s="1" t="s">
        <v>74</v>
      </c>
      <c r="U451" s="1" t="s">
        <v>74</v>
      </c>
      <c r="V451" s="1" t="s">
        <v>4037</v>
      </c>
      <c r="W451" s="1" t="s">
        <v>74</v>
      </c>
      <c r="X451" s="1" t="s">
        <v>74</v>
      </c>
      <c r="Y451" s="1" t="s">
        <v>74</v>
      </c>
      <c r="Z451" s="1" t="s">
        <v>74</v>
      </c>
      <c r="AA451" s="1" t="s">
        <v>4038</v>
      </c>
      <c r="AB451" s="1" t="s">
        <v>4039</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4040</v>
      </c>
      <c r="AP451" s="1" t="s">
        <v>74</v>
      </c>
      <c r="AQ451" s="1" t="s">
        <v>74</v>
      </c>
      <c r="AR451" s="1" t="s">
        <v>74</v>
      </c>
      <c r="AS451" s="1" t="s">
        <v>74</v>
      </c>
      <c r="AT451" s="1" t="s">
        <v>82</v>
      </c>
      <c r="AU451" s="1">
        <v>2007.0</v>
      </c>
      <c r="AV451" s="1">
        <v>103.0</v>
      </c>
      <c r="AW451" s="1">
        <v>6.0</v>
      </c>
      <c r="AX451" s="1" t="s">
        <v>74</v>
      </c>
      <c r="AY451" s="1" t="s">
        <v>74</v>
      </c>
      <c r="AZ451" s="1" t="s">
        <v>74</v>
      </c>
      <c r="BA451" s="1" t="s">
        <v>74</v>
      </c>
      <c r="BB451" s="1">
        <v>2185.0</v>
      </c>
      <c r="BC451" s="1">
        <v>2195.0</v>
      </c>
      <c r="BD451" s="1" t="s">
        <v>74</v>
      </c>
      <c r="BE451" s="1" t="s">
        <v>4041</v>
      </c>
      <c r="BF451" s="2" t="str">
        <f>HYPERLINK("http://dx.doi.org/10.1111/j.1365-2672.2007.03493.x","http://dx.doi.org/10.1111/j.1365-2672.2007.03493.x")</f>
        <v>http://dx.doi.org/10.1111/j.1365-2672.2007.03493.x</v>
      </c>
      <c r="BG451" s="1" t="s">
        <v>74</v>
      </c>
      <c r="BH451" s="1" t="s">
        <v>74</v>
      </c>
      <c r="BI451" s="1" t="s">
        <v>74</v>
      </c>
      <c r="BJ451" s="1" t="s">
        <v>74</v>
      </c>
      <c r="BK451" s="1" t="s">
        <v>74</v>
      </c>
      <c r="BL451" s="1" t="s">
        <v>74</v>
      </c>
      <c r="BM451" s="1" t="s">
        <v>74</v>
      </c>
      <c r="BN451" s="1">
        <v>1.8045401E7</v>
      </c>
      <c r="BO451" s="1" t="s">
        <v>74</v>
      </c>
      <c r="BP451" s="1" t="s">
        <v>74</v>
      </c>
      <c r="BQ451" s="1" t="s">
        <v>74</v>
      </c>
      <c r="BR451" s="1" t="s">
        <v>74</v>
      </c>
      <c r="BS451" s="1" t="s">
        <v>4042</v>
      </c>
      <c r="BT451" s="1" t="str">
        <f>HYPERLINK("https%3A%2F%2Fwww.webofscience.com%2Fwos%2Fwoscc%2Ffull-record%2FWOS:000251251200017","View Full Record in Web of Science")</f>
        <v>View Full Record in Web of Science</v>
      </c>
    </row>
    <row r="452" ht="12.75" customHeight="1">
      <c r="A452" s="1" t="s">
        <v>72</v>
      </c>
      <c r="B452" s="1" t="s">
        <v>4043</v>
      </c>
      <c r="C452" s="1" t="s">
        <v>74</v>
      </c>
      <c r="D452" s="1" t="s">
        <v>74</v>
      </c>
      <c r="E452" s="1" t="s">
        <v>74</v>
      </c>
      <c r="F452" s="1" t="s">
        <v>4044</v>
      </c>
      <c r="G452" s="1" t="s">
        <v>74</v>
      </c>
      <c r="H452" s="1" t="s">
        <v>74</v>
      </c>
      <c r="I452" s="1" t="s">
        <v>4045</v>
      </c>
      <c r="J452" s="1" t="s">
        <v>3937</v>
      </c>
      <c r="K452" s="1" t="s">
        <v>74</v>
      </c>
      <c r="L452" s="1" t="s">
        <v>74</v>
      </c>
      <c r="M452" s="1" t="s">
        <v>74</v>
      </c>
      <c r="N452" s="1" t="s">
        <v>74</v>
      </c>
      <c r="O452" s="1" t="s">
        <v>74</v>
      </c>
      <c r="P452" s="1" t="s">
        <v>74</v>
      </c>
      <c r="Q452" s="1" t="s">
        <v>74</v>
      </c>
      <c r="R452" s="1" t="s">
        <v>74</v>
      </c>
      <c r="S452" s="1" t="s">
        <v>74</v>
      </c>
      <c r="T452" s="1" t="s">
        <v>74</v>
      </c>
      <c r="U452" s="1" t="s">
        <v>74</v>
      </c>
      <c r="V452" s="1" t="s">
        <v>4046</v>
      </c>
      <c r="W452" s="1" t="s">
        <v>74</v>
      </c>
      <c r="X452" s="1" t="s">
        <v>74</v>
      </c>
      <c r="Y452" s="1" t="s">
        <v>74</v>
      </c>
      <c r="Z452" s="1" t="s">
        <v>74</v>
      </c>
      <c r="AA452" s="1" t="s">
        <v>4047</v>
      </c>
      <c r="AB452" s="1" t="s">
        <v>4048</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3940</v>
      </c>
      <c r="AP452" s="1" t="s">
        <v>4049</v>
      </c>
      <c r="AQ452" s="1" t="s">
        <v>74</v>
      </c>
      <c r="AR452" s="1" t="s">
        <v>74</v>
      </c>
      <c r="AS452" s="1" t="s">
        <v>74</v>
      </c>
      <c r="AT452" s="1" t="s">
        <v>4050</v>
      </c>
      <c r="AU452" s="1">
        <v>2007.0</v>
      </c>
      <c r="AV452" s="1">
        <v>40.0</v>
      </c>
      <c r="AW452" s="1">
        <v>48.0</v>
      </c>
      <c r="AX452" s="1" t="s">
        <v>74</v>
      </c>
      <c r="AY452" s="1" t="s">
        <v>74</v>
      </c>
      <c r="AZ452" s="1" t="s">
        <v>74</v>
      </c>
      <c r="BA452" s="1" t="s">
        <v>74</v>
      </c>
      <c r="BB452" s="1">
        <v>14403.0</v>
      </c>
      <c r="BC452" s="1">
        <v>14412.0</v>
      </c>
      <c r="BD452" s="1" t="s">
        <v>74</v>
      </c>
      <c r="BE452" s="1" t="s">
        <v>4051</v>
      </c>
      <c r="BF452" s="2" t="str">
        <f>HYPERLINK("http://dx.doi.org/10.1088/1751-8113/40/48/007","http://dx.doi.org/10.1088/1751-8113/40/48/007")</f>
        <v>http://dx.doi.org/10.1088/1751-8113/40/48/007</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4052</v>
      </c>
      <c r="BT452" s="1" t="str">
        <f>HYPERLINK("https%3A%2F%2Fwww.webofscience.com%2Fwos%2Fwoscc%2Ffull-record%2FWOS:000251786700008","View Full Record in Web of Science")</f>
        <v>View Full Record in Web of Science</v>
      </c>
    </row>
    <row r="453" ht="12.75" customHeight="1">
      <c r="A453" s="1" t="s">
        <v>72</v>
      </c>
      <c r="B453" s="1" t="s">
        <v>4053</v>
      </c>
      <c r="C453" s="1" t="s">
        <v>74</v>
      </c>
      <c r="D453" s="1" t="s">
        <v>74</v>
      </c>
      <c r="E453" s="1" t="s">
        <v>74</v>
      </c>
      <c r="F453" s="1" t="s">
        <v>4054</v>
      </c>
      <c r="G453" s="1" t="s">
        <v>74</v>
      </c>
      <c r="H453" s="1" t="s">
        <v>74</v>
      </c>
      <c r="I453" s="1" t="s">
        <v>4055</v>
      </c>
      <c r="J453" s="1" t="s">
        <v>4056</v>
      </c>
      <c r="K453" s="1" t="s">
        <v>74</v>
      </c>
      <c r="L453" s="1" t="s">
        <v>74</v>
      </c>
      <c r="M453" s="1" t="s">
        <v>74</v>
      </c>
      <c r="N453" s="1" t="s">
        <v>74</v>
      </c>
      <c r="O453" s="1" t="s">
        <v>4057</v>
      </c>
      <c r="P453" s="1" t="s">
        <v>4058</v>
      </c>
      <c r="Q453" s="1" t="s">
        <v>4059</v>
      </c>
      <c r="R453" s="1" t="s">
        <v>74</v>
      </c>
      <c r="S453" s="1" t="s">
        <v>74</v>
      </c>
      <c r="T453" s="1" t="s">
        <v>74</v>
      </c>
      <c r="U453" s="1" t="s">
        <v>74</v>
      </c>
      <c r="V453" s="1" t="s">
        <v>4060</v>
      </c>
      <c r="W453" s="1" t="s">
        <v>74</v>
      </c>
      <c r="X453" s="1" t="s">
        <v>74</v>
      </c>
      <c r="Y453" s="1" t="s">
        <v>74</v>
      </c>
      <c r="Z453" s="1" t="s">
        <v>74</v>
      </c>
      <c r="AA453" s="1" t="s">
        <v>4061</v>
      </c>
      <c r="AB453" s="1" t="s">
        <v>4062</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4063</v>
      </c>
      <c r="AP453" s="1" t="s">
        <v>74</v>
      </c>
      <c r="AQ453" s="1" t="s">
        <v>74</v>
      </c>
      <c r="AR453" s="1" t="s">
        <v>74</v>
      </c>
      <c r="AS453" s="1" t="s">
        <v>74</v>
      </c>
      <c r="AT453" s="1" t="s">
        <v>224</v>
      </c>
      <c r="AU453" s="1">
        <v>2007.0</v>
      </c>
      <c r="AV453" s="1">
        <v>27.0</v>
      </c>
      <c r="AW453" s="1">
        <v>7.0</v>
      </c>
      <c r="AX453" s="1" t="s">
        <v>74</v>
      </c>
      <c r="AY453" s="1" t="s">
        <v>74</v>
      </c>
      <c r="AZ453" s="1" t="s">
        <v>74</v>
      </c>
      <c r="BA453" s="1" t="s">
        <v>74</v>
      </c>
      <c r="BB453" s="1">
        <v>1144.0</v>
      </c>
      <c r="BC453" s="1">
        <v>1149.0</v>
      </c>
      <c r="BD453" s="1" t="s">
        <v>74</v>
      </c>
      <c r="BE453" s="1" t="s">
        <v>4064</v>
      </c>
      <c r="BF453" s="2" t="str">
        <f>HYPERLINK("http://dx.doi.org/10.1016/j.applthermaleng.2006.02.037","http://dx.doi.org/10.1016/j.applthermaleng.2006.02.037")</f>
        <v>http://dx.doi.org/10.1016/j.applthermaleng.2006.02.037</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4065</v>
      </c>
      <c r="BT453" s="1" t="str">
        <f>HYPERLINK("https%3A%2F%2Fwww.webofscience.com%2Fwos%2Fwoscc%2Ffull-record%2FWOS:000245068200003","View Full Record in Web of Science")</f>
        <v>View Full Record in Web of Science</v>
      </c>
    </row>
    <row r="454" ht="12.75" customHeight="1">
      <c r="A454" s="1" t="s">
        <v>72</v>
      </c>
      <c r="B454" s="1" t="s">
        <v>4066</v>
      </c>
      <c r="C454" s="1" t="s">
        <v>74</v>
      </c>
      <c r="D454" s="1" t="s">
        <v>74</v>
      </c>
      <c r="E454" s="1" t="s">
        <v>74</v>
      </c>
      <c r="F454" s="1" t="s">
        <v>4067</v>
      </c>
      <c r="G454" s="1" t="s">
        <v>74</v>
      </c>
      <c r="H454" s="1" t="s">
        <v>74</v>
      </c>
      <c r="I454" s="1" t="s">
        <v>4068</v>
      </c>
      <c r="J454" s="1" t="s">
        <v>4069</v>
      </c>
      <c r="K454" s="1" t="s">
        <v>74</v>
      </c>
      <c r="L454" s="1" t="s">
        <v>74</v>
      </c>
      <c r="M454" s="1" t="s">
        <v>74</v>
      </c>
      <c r="N454" s="1" t="s">
        <v>74</v>
      </c>
      <c r="O454" s="1" t="s">
        <v>74</v>
      </c>
      <c r="P454" s="1" t="s">
        <v>74</v>
      </c>
      <c r="Q454" s="1" t="s">
        <v>74</v>
      </c>
      <c r="R454" s="1" t="s">
        <v>74</v>
      </c>
      <c r="S454" s="1" t="s">
        <v>74</v>
      </c>
      <c r="T454" s="1" t="s">
        <v>74</v>
      </c>
      <c r="U454" s="1" t="s">
        <v>74</v>
      </c>
      <c r="V454" s="1" t="s">
        <v>4070</v>
      </c>
      <c r="W454" s="1" t="s">
        <v>74</v>
      </c>
      <c r="X454" s="1" t="s">
        <v>74</v>
      </c>
      <c r="Y454" s="1" t="s">
        <v>74</v>
      </c>
      <c r="Z454" s="1" t="s">
        <v>74</v>
      </c>
      <c r="AA454" s="1" t="s">
        <v>1527</v>
      </c>
      <c r="AB454" s="1" t="s">
        <v>74</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4071</v>
      </c>
      <c r="AP454" s="1" t="s">
        <v>4072</v>
      </c>
      <c r="AQ454" s="1" t="s">
        <v>74</v>
      </c>
      <c r="AR454" s="1" t="s">
        <v>74</v>
      </c>
      <c r="AS454" s="1" t="s">
        <v>74</v>
      </c>
      <c r="AT454" s="1" t="s">
        <v>158</v>
      </c>
      <c r="AU454" s="1">
        <v>2006.0</v>
      </c>
      <c r="AV454" s="1">
        <v>42.0</v>
      </c>
      <c r="AW454" s="1">
        <v>11.0</v>
      </c>
      <c r="AX454" s="1" t="s">
        <v>74</v>
      </c>
      <c r="AY454" s="1" t="s">
        <v>74</v>
      </c>
      <c r="AZ454" s="1" t="s">
        <v>74</v>
      </c>
      <c r="BA454" s="1" t="s">
        <v>74</v>
      </c>
      <c r="BB454" s="1">
        <v>967.0</v>
      </c>
      <c r="BC454" s="1">
        <v>975.0</v>
      </c>
      <c r="BD454" s="1" t="s">
        <v>74</v>
      </c>
      <c r="BE454" s="1" t="s">
        <v>4073</v>
      </c>
      <c r="BF454" s="2" t="str">
        <f>HYPERLINK("http://dx.doi.org/10.1007/s00231-005-0065-7","http://dx.doi.org/10.1007/s00231-005-0065-7")</f>
        <v>http://dx.doi.org/10.1007/s00231-005-0065-7</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4074</v>
      </c>
      <c r="BT454" s="1" t="str">
        <f>HYPERLINK("https%3A%2F%2Fwww.webofscience.com%2Fwos%2Fwoscc%2Ffull-record%2FWOS:000239321000001","View Full Record in Web of Science")</f>
        <v>View Full Record in Web of Science</v>
      </c>
    </row>
    <row r="455" ht="12.75" customHeight="1">
      <c r="A455" s="1" t="s">
        <v>72</v>
      </c>
      <c r="B455" s="1" t="s">
        <v>3164</v>
      </c>
      <c r="C455" s="1" t="s">
        <v>74</v>
      </c>
      <c r="D455" s="1" t="s">
        <v>74</v>
      </c>
      <c r="E455" s="1" t="s">
        <v>74</v>
      </c>
      <c r="F455" s="1" t="s">
        <v>3164</v>
      </c>
      <c r="G455" s="1" t="s">
        <v>74</v>
      </c>
      <c r="H455" s="1" t="s">
        <v>74</v>
      </c>
      <c r="I455" s="1" t="s">
        <v>4075</v>
      </c>
      <c r="J455" s="1" t="s">
        <v>1645</v>
      </c>
      <c r="K455" s="1" t="s">
        <v>74</v>
      </c>
      <c r="L455" s="1" t="s">
        <v>74</v>
      </c>
      <c r="M455" s="1" t="s">
        <v>74</v>
      </c>
      <c r="N455" s="1" t="s">
        <v>74</v>
      </c>
      <c r="O455" s="1" t="s">
        <v>74</v>
      </c>
      <c r="P455" s="1" t="s">
        <v>74</v>
      </c>
      <c r="Q455" s="1" t="s">
        <v>74</v>
      </c>
      <c r="R455" s="1" t="s">
        <v>74</v>
      </c>
      <c r="S455" s="1" t="s">
        <v>74</v>
      </c>
      <c r="T455" s="1" t="s">
        <v>74</v>
      </c>
      <c r="U455" s="1" t="s">
        <v>74</v>
      </c>
      <c r="V455" s="1" t="s">
        <v>4076</v>
      </c>
      <c r="W455" s="1" t="s">
        <v>74</v>
      </c>
      <c r="X455" s="1" t="s">
        <v>74</v>
      </c>
      <c r="Y455" s="1" t="s">
        <v>74</v>
      </c>
      <c r="Z455" s="1" t="s">
        <v>74</v>
      </c>
      <c r="AA455" s="1" t="s">
        <v>4077</v>
      </c>
      <c r="AB455" s="1" t="s">
        <v>1647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1648</v>
      </c>
      <c r="AP455" s="1" t="s">
        <v>74</v>
      </c>
      <c r="AQ455" s="1" t="s">
        <v>74</v>
      </c>
      <c r="AR455" s="1" t="s">
        <v>74</v>
      </c>
      <c r="AS455" s="1" t="s">
        <v>74</v>
      </c>
      <c r="AT455" s="1" t="s">
        <v>224</v>
      </c>
      <c r="AU455" s="1">
        <v>2006.0</v>
      </c>
      <c r="AV455" s="1">
        <v>40.0</v>
      </c>
      <c r="AW455" s="1">
        <v>16.0</v>
      </c>
      <c r="AX455" s="1" t="s">
        <v>74</v>
      </c>
      <c r="AY455" s="1" t="s">
        <v>74</v>
      </c>
      <c r="AZ455" s="1" t="s">
        <v>74</v>
      </c>
      <c r="BA455" s="1" t="s">
        <v>74</v>
      </c>
      <c r="BB455" s="1">
        <v>2845.0</v>
      </c>
      <c r="BC455" s="1">
        <v>2851.0</v>
      </c>
      <c r="BD455" s="1" t="s">
        <v>74</v>
      </c>
      <c r="BE455" s="1" t="s">
        <v>4078</v>
      </c>
      <c r="BF455" s="2" t="str">
        <f>HYPERLINK("http://dx.doi.org/10.1016/j.atmosenv.2006.01.010","http://dx.doi.org/10.1016/j.atmosenv.2006.01.010")</f>
        <v>http://dx.doi.org/10.1016/j.atmosenv.2006.01.010</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4079</v>
      </c>
      <c r="BT455" s="1" t="str">
        <f>HYPERLINK("https%3A%2F%2Fwww.webofscience.com%2Fwos%2Fwoscc%2Ffull-record%2FWOS:000237489800006","View Full Record in Web of Science")</f>
        <v>View Full Record in Web of Science</v>
      </c>
    </row>
    <row r="456" ht="12.75" customHeight="1">
      <c r="A456" s="1" t="s">
        <v>72</v>
      </c>
      <c r="B456" s="1" t="s">
        <v>4080</v>
      </c>
      <c r="C456" s="1" t="s">
        <v>74</v>
      </c>
      <c r="D456" s="1" t="s">
        <v>74</v>
      </c>
      <c r="E456" s="1" t="s">
        <v>74</v>
      </c>
      <c r="F456" s="1" t="s">
        <v>4080</v>
      </c>
      <c r="G456" s="1" t="s">
        <v>74</v>
      </c>
      <c r="H456" s="1" t="s">
        <v>74</v>
      </c>
      <c r="I456" s="1" t="s">
        <v>4081</v>
      </c>
      <c r="J456" s="1" t="s">
        <v>2311</v>
      </c>
      <c r="K456" s="1" t="s">
        <v>74</v>
      </c>
      <c r="L456" s="1" t="s">
        <v>74</v>
      </c>
      <c r="M456" s="1" t="s">
        <v>74</v>
      </c>
      <c r="N456" s="1" t="s">
        <v>74</v>
      </c>
      <c r="O456" s="1" t="s">
        <v>2312</v>
      </c>
      <c r="P456" s="1" t="s">
        <v>2313</v>
      </c>
      <c r="Q456" s="1" t="s">
        <v>2123</v>
      </c>
      <c r="R456" s="1" t="s">
        <v>2314</v>
      </c>
      <c r="S456" s="1" t="s">
        <v>74</v>
      </c>
      <c r="T456" s="1" t="s">
        <v>74</v>
      </c>
      <c r="U456" s="1" t="s">
        <v>74</v>
      </c>
      <c r="V456" s="1" t="s">
        <v>74</v>
      </c>
      <c r="W456" s="1" t="s">
        <v>74</v>
      </c>
      <c r="X456" s="1" t="s">
        <v>74</v>
      </c>
      <c r="Y456" s="1" t="s">
        <v>74</v>
      </c>
      <c r="Z456" s="1" t="s">
        <v>74</v>
      </c>
      <c r="AA456" s="1" t="s">
        <v>74</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2315</v>
      </c>
      <c r="AP456" s="1" t="s">
        <v>74</v>
      </c>
      <c r="AQ456" s="1" t="s">
        <v>74</v>
      </c>
      <c r="AR456" s="1" t="s">
        <v>74</v>
      </c>
      <c r="AS456" s="1" t="s">
        <v>74</v>
      </c>
      <c r="AT456" s="1" t="s">
        <v>123</v>
      </c>
      <c r="AU456" s="1">
        <v>2006.0</v>
      </c>
      <c r="AV456" s="1">
        <v>27.0</v>
      </c>
      <c r="AW456" s="1">
        <v>1.0</v>
      </c>
      <c r="AX456" s="1" t="s">
        <v>74</v>
      </c>
      <c r="AY456" s="1" t="s">
        <v>74</v>
      </c>
      <c r="AZ456" s="1" t="s">
        <v>74</v>
      </c>
      <c r="BA456" s="1" t="s">
        <v>74</v>
      </c>
      <c r="BB456" s="1" t="s">
        <v>4082</v>
      </c>
      <c r="BC456" s="1" t="s">
        <v>4082</v>
      </c>
      <c r="BD456" s="1" t="s">
        <v>74</v>
      </c>
      <c r="BE456" s="1" t="s">
        <v>74</v>
      </c>
      <c r="BF456" s="1" t="s">
        <v>74</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4083</v>
      </c>
      <c r="BT456" s="1" t="str">
        <f>HYPERLINK("https%3A%2F%2Fwww.webofscience.com%2Fwos%2Fwoscc%2Ffull-record%2FWOS:000233996200063","View Full Record in Web of Science")</f>
        <v>View Full Record in Web of Science</v>
      </c>
    </row>
    <row r="457" ht="12.75" customHeight="1">
      <c r="A457" s="1" t="s">
        <v>72</v>
      </c>
      <c r="B457" s="1" t="s">
        <v>4084</v>
      </c>
      <c r="C457" s="1" t="s">
        <v>74</v>
      </c>
      <c r="D457" s="1" t="s">
        <v>74</v>
      </c>
      <c r="E457" s="1" t="s">
        <v>74</v>
      </c>
      <c r="F457" s="1" t="s">
        <v>4084</v>
      </c>
      <c r="G457" s="1" t="s">
        <v>74</v>
      </c>
      <c r="H457" s="1" t="s">
        <v>74</v>
      </c>
      <c r="I457" s="1" t="s">
        <v>4085</v>
      </c>
      <c r="J457" s="1" t="s">
        <v>1592</v>
      </c>
      <c r="K457" s="1" t="s">
        <v>74</v>
      </c>
      <c r="L457" s="1" t="s">
        <v>74</v>
      </c>
      <c r="M457" s="1" t="s">
        <v>74</v>
      </c>
      <c r="N457" s="1" t="s">
        <v>74</v>
      </c>
      <c r="O457" s="1" t="s">
        <v>74</v>
      </c>
      <c r="P457" s="1" t="s">
        <v>74</v>
      </c>
      <c r="Q457" s="1" t="s">
        <v>74</v>
      </c>
      <c r="R457" s="1" t="s">
        <v>74</v>
      </c>
      <c r="S457" s="1" t="s">
        <v>74</v>
      </c>
      <c r="T457" s="1" t="s">
        <v>74</v>
      </c>
      <c r="U457" s="1" t="s">
        <v>74</v>
      </c>
      <c r="V457" s="1" t="s">
        <v>4086</v>
      </c>
      <c r="W457" s="1" t="s">
        <v>74</v>
      </c>
      <c r="X457" s="1" t="s">
        <v>74</v>
      </c>
      <c r="Y457" s="1" t="s">
        <v>74</v>
      </c>
      <c r="Z457" s="1" t="s">
        <v>74</v>
      </c>
      <c r="AA457" s="1" t="s">
        <v>74</v>
      </c>
      <c r="AB457" s="1" t="s">
        <v>74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1596</v>
      </c>
      <c r="AP457" s="1" t="s">
        <v>1597</v>
      </c>
      <c r="AQ457" s="1" t="s">
        <v>74</v>
      </c>
      <c r="AR457" s="1" t="s">
        <v>74</v>
      </c>
      <c r="AS457" s="1" t="s">
        <v>74</v>
      </c>
      <c r="AT457" s="1" t="s">
        <v>4087</v>
      </c>
      <c r="AU457" s="1">
        <v>2005.0</v>
      </c>
      <c r="AV457" s="1">
        <v>50.0</v>
      </c>
      <c r="AW457" s="1">
        <v>13.0</v>
      </c>
      <c r="AX457" s="1" t="s">
        <v>74</v>
      </c>
      <c r="AY457" s="1" t="s">
        <v>74</v>
      </c>
      <c r="AZ457" s="1" t="s">
        <v>74</v>
      </c>
      <c r="BA457" s="1" t="s">
        <v>74</v>
      </c>
      <c r="BB457" s="1">
        <v>2705.0</v>
      </c>
      <c r="BC457" s="1">
        <v>2711.0</v>
      </c>
      <c r="BD457" s="1" t="s">
        <v>74</v>
      </c>
      <c r="BE457" s="1" t="s">
        <v>4088</v>
      </c>
      <c r="BF457" s="2" t="str">
        <f>HYPERLINK("http://dx.doi.org/10.1016/j.electacta.2004.11.016","http://dx.doi.org/10.1016/j.electacta.2004.11.016")</f>
        <v>http://dx.doi.org/10.1016/j.electacta.2004.11.016</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4089</v>
      </c>
      <c r="BT457" s="1" t="str">
        <f>HYPERLINK("https%3A%2F%2Fwww.webofscience.com%2Fwos%2Fwoscc%2Ffull-record%2FWOS:000228703000019","View Full Record in Web of Science")</f>
        <v>View Full Record in Web of Science</v>
      </c>
    </row>
    <row r="458" ht="12.75" customHeight="1">
      <c r="A458" s="1" t="s">
        <v>72</v>
      </c>
      <c r="B458" s="1" t="s">
        <v>4090</v>
      </c>
      <c r="C458" s="1" t="s">
        <v>74</v>
      </c>
      <c r="D458" s="1" t="s">
        <v>74</v>
      </c>
      <c r="E458" s="1" t="s">
        <v>74</v>
      </c>
      <c r="F458" s="1" t="s">
        <v>4090</v>
      </c>
      <c r="G458" s="1" t="s">
        <v>74</v>
      </c>
      <c r="H458" s="1" t="s">
        <v>74</v>
      </c>
      <c r="I458" s="1" t="s">
        <v>4091</v>
      </c>
      <c r="J458" s="1" t="s">
        <v>4092</v>
      </c>
      <c r="K458" s="1" t="s">
        <v>74</v>
      </c>
      <c r="L458" s="1" t="s">
        <v>74</v>
      </c>
      <c r="M458" s="1" t="s">
        <v>74</v>
      </c>
      <c r="N458" s="1" t="s">
        <v>74</v>
      </c>
      <c r="O458" s="1" t="s">
        <v>74</v>
      </c>
      <c r="P458" s="1" t="s">
        <v>74</v>
      </c>
      <c r="Q458" s="1" t="s">
        <v>74</v>
      </c>
      <c r="R458" s="1" t="s">
        <v>74</v>
      </c>
      <c r="S458" s="1" t="s">
        <v>74</v>
      </c>
      <c r="T458" s="1" t="s">
        <v>74</v>
      </c>
      <c r="U458" s="1" t="s">
        <v>74</v>
      </c>
      <c r="V458" s="1" t="s">
        <v>4093</v>
      </c>
      <c r="W458" s="1" t="s">
        <v>74</v>
      </c>
      <c r="X458" s="1" t="s">
        <v>74</v>
      </c>
      <c r="Y458" s="1" t="s">
        <v>74</v>
      </c>
      <c r="Z458" s="1" t="s">
        <v>74</v>
      </c>
      <c r="AA458" s="1" t="s">
        <v>722</v>
      </c>
      <c r="AB458" s="1" t="s">
        <v>723</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4094</v>
      </c>
      <c r="AP458" s="1" t="s">
        <v>4095</v>
      </c>
      <c r="AQ458" s="1" t="s">
        <v>74</v>
      </c>
      <c r="AR458" s="1" t="s">
        <v>74</v>
      </c>
      <c r="AS458" s="1" t="s">
        <v>74</v>
      </c>
      <c r="AT458" s="1" t="s">
        <v>818</v>
      </c>
      <c r="AU458" s="1">
        <v>2005.0</v>
      </c>
      <c r="AV458" s="1">
        <v>54.0</v>
      </c>
      <c r="AW458" s="1">
        <v>2.0</v>
      </c>
      <c r="AX458" s="1" t="s">
        <v>74</v>
      </c>
      <c r="AY458" s="1" t="s">
        <v>74</v>
      </c>
      <c r="AZ458" s="1" t="s">
        <v>74</v>
      </c>
      <c r="BA458" s="1" t="s">
        <v>74</v>
      </c>
      <c r="BB458" s="1">
        <v>437.0</v>
      </c>
      <c r="BC458" s="1">
        <v>441.0</v>
      </c>
      <c r="BD458" s="1" t="s">
        <v>74</v>
      </c>
      <c r="BE458" s="1" t="s">
        <v>4096</v>
      </c>
      <c r="BF458" s="2" t="str">
        <f>HYPERLINK("http://dx.doi.org/10.1002/pi.1714","http://dx.doi.org/10.1002/pi.1714")</f>
        <v>http://dx.doi.org/10.1002/pi.1714</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4097</v>
      </c>
      <c r="BT458" s="1" t="str">
        <f>HYPERLINK("https%3A%2F%2Fwww.webofscience.com%2Fwos%2Fwoscc%2Ffull-record%2FWOS:000226731900030","View Full Record in Web of Science")</f>
        <v>View Full Record in Web of Science</v>
      </c>
    </row>
    <row r="459" ht="12.75" customHeight="1">
      <c r="A459" s="1" t="s">
        <v>72</v>
      </c>
      <c r="B459" s="1" t="s">
        <v>4098</v>
      </c>
      <c r="C459" s="1" t="s">
        <v>74</v>
      </c>
      <c r="D459" s="1" t="s">
        <v>74</v>
      </c>
      <c r="E459" s="1" t="s">
        <v>74</v>
      </c>
      <c r="F459" s="1" t="s">
        <v>4098</v>
      </c>
      <c r="G459" s="1" t="s">
        <v>74</v>
      </c>
      <c r="H459" s="1" t="s">
        <v>74</v>
      </c>
      <c r="I459" s="1" t="s">
        <v>4099</v>
      </c>
      <c r="J459" s="1" t="s">
        <v>514</v>
      </c>
      <c r="K459" s="1" t="s">
        <v>74</v>
      </c>
      <c r="L459" s="1" t="s">
        <v>74</v>
      </c>
      <c r="M459" s="1" t="s">
        <v>74</v>
      </c>
      <c r="N459" s="1" t="s">
        <v>74</v>
      </c>
      <c r="O459" s="1" t="s">
        <v>74</v>
      </c>
      <c r="P459" s="1" t="s">
        <v>74</v>
      </c>
      <c r="Q459" s="1" t="s">
        <v>74</v>
      </c>
      <c r="R459" s="1" t="s">
        <v>74</v>
      </c>
      <c r="S459" s="1" t="s">
        <v>74</v>
      </c>
      <c r="T459" s="1" t="s">
        <v>74</v>
      </c>
      <c r="U459" s="1" t="s">
        <v>74</v>
      </c>
      <c r="V459" s="1" t="s">
        <v>4100</v>
      </c>
      <c r="W459" s="1" t="s">
        <v>74</v>
      </c>
      <c r="X459" s="1" t="s">
        <v>74</v>
      </c>
      <c r="Y459" s="1" t="s">
        <v>74</v>
      </c>
      <c r="Z459" s="1" t="s">
        <v>74</v>
      </c>
      <c r="AA459" s="1" t="s">
        <v>74</v>
      </c>
      <c r="AB459" s="1" t="s">
        <v>74</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516</v>
      </c>
      <c r="AP459" s="1" t="s">
        <v>1499</v>
      </c>
      <c r="AQ459" s="1" t="s">
        <v>74</v>
      </c>
      <c r="AR459" s="1" t="s">
        <v>74</v>
      </c>
      <c r="AS459" s="1" t="s">
        <v>74</v>
      </c>
      <c r="AT459" s="1" t="s">
        <v>74</v>
      </c>
      <c r="AU459" s="1">
        <v>2005.0</v>
      </c>
      <c r="AV459" s="1">
        <v>23.0</v>
      </c>
      <c r="AW459" s="1">
        <v>7.0</v>
      </c>
      <c r="AX459" s="1" t="s">
        <v>74</v>
      </c>
      <c r="AY459" s="1" t="s">
        <v>74</v>
      </c>
      <c r="AZ459" s="1" t="s">
        <v>74</v>
      </c>
      <c r="BA459" s="1" t="s">
        <v>74</v>
      </c>
      <c r="BB459" s="1">
        <v>1435.0</v>
      </c>
      <c r="BC459" s="1">
        <v>1449.0</v>
      </c>
      <c r="BD459" s="1" t="s">
        <v>74</v>
      </c>
      <c r="BE459" s="1" t="s">
        <v>4101</v>
      </c>
      <c r="BF459" s="2" t="str">
        <f>HYPERLINK("http://dx.doi.org/10.1081/DRT-200063505","http://dx.doi.org/10.1081/DRT-200063505")</f>
        <v>http://dx.doi.org/10.1081/DRT-200063505</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4102</v>
      </c>
      <c r="BT459" s="1" t="str">
        <f>HYPERLINK("https%3A%2F%2Fwww.webofscience.com%2Fwos%2Fwoscc%2Ffull-record%2FWOS:000231613900007","View Full Record in Web of Science")</f>
        <v>View Full Record in Web of Science</v>
      </c>
    </row>
    <row r="460" ht="12.75" customHeight="1">
      <c r="A460" s="1" t="s">
        <v>72</v>
      </c>
      <c r="B460" s="1" t="s">
        <v>4103</v>
      </c>
      <c r="C460" s="1" t="s">
        <v>74</v>
      </c>
      <c r="D460" s="1" t="s">
        <v>74</v>
      </c>
      <c r="E460" s="1" t="s">
        <v>74</v>
      </c>
      <c r="F460" s="1" t="s">
        <v>4103</v>
      </c>
      <c r="G460" s="1" t="s">
        <v>74</v>
      </c>
      <c r="H460" s="1" t="s">
        <v>74</v>
      </c>
      <c r="I460" s="1" t="s">
        <v>4104</v>
      </c>
      <c r="J460" s="1" t="s">
        <v>3148</v>
      </c>
      <c r="K460" s="1" t="s">
        <v>74</v>
      </c>
      <c r="L460" s="1" t="s">
        <v>74</v>
      </c>
      <c r="M460" s="1" t="s">
        <v>74</v>
      </c>
      <c r="N460" s="1" t="s">
        <v>74</v>
      </c>
      <c r="O460" s="1" t="s">
        <v>74</v>
      </c>
      <c r="P460" s="1" t="s">
        <v>74</v>
      </c>
      <c r="Q460" s="1" t="s">
        <v>74</v>
      </c>
      <c r="R460" s="1" t="s">
        <v>74</v>
      </c>
      <c r="S460" s="1" t="s">
        <v>74</v>
      </c>
      <c r="T460" s="1" t="s">
        <v>74</v>
      </c>
      <c r="U460" s="1" t="s">
        <v>74</v>
      </c>
      <c r="V460" s="1" t="s">
        <v>74</v>
      </c>
      <c r="W460" s="1" t="s">
        <v>74</v>
      </c>
      <c r="X460" s="1" t="s">
        <v>74</v>
      </c>
      <c r="Y460" s="1" t="s">
        <v>74</v>
      </c>
      <c r="Z460" s="1" t="s">
        <v>74</v>
      </c>
      <c r="AA460" s="1" t="s">
        <v>4105</v>
      </c>
      <c r="AB460" s="1" t="s">
        <v>74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3149</v>
      </c>
      <c r="AP460" s="1" t="s">
        <v>74</v>
      </c>
      <c r="AQ460" s="1" t="s">
        <v>74</v>
      </c>
      <c r="AR460" s="1" t="s">
        <v>74</v>
      </c>
      <c r="AS460" s="1" t="s">
        <v>74</v>
      </c>
      <c r="AT460" s="1" t="s">
        <v>74</v>
      </c>
      <c r="AU460" s="1">
        <v>2005.0</v>
      </c>
      <c r="AV460" s="1">
        <v>31.0</v>
      </c>
      <c r="AW460" s="1">
        <v>61.0</v>
      </c>
      <c r="AX460" s="1" t="s">
        <v>74</v>
      </c>
      <c r="AY460" s="1" t="s">
        <v>74</v>
      </c>
      <c r="AZ460" s="1" t="s">
        <v>74</v>
      </c>
      <c r="BA460" s="1" t="s">
        <v>74</v>
      </c>
      <c r="BB460" s="1">
        <v>151.0</v>
      </c>
      <c r="BC460" s="1">
        <v>163.0</v>
      </c>
      <c r="BD460" s="1" t="s">
        <v>74</v>
      </c>
      <c r="BE460" s="1" t="s">
        <v>4106</v>
      </c>
      <c r="BF460" s="2" t="str">
        <f>HYPERLINK("http://dx.doi.org/10.2307/25070265","http://dx.doi.org/10.2307/25070265")</f>
        <v>http://dx.doi.org/10.2307/25070265</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4107</v>
      </c>
      <c r="BT460" s="1" t="str">
        <f>HYPERLINK("https%3A%2F%2Fwww.webofscience.com%2Fwos%2Fwoscc%2Ffull-record%2FWOS:000237713600010","View Full Record in Web of Science")</f>
        <v>View Full Record in Web of Science</v>
      </c>
    </row>
    <row r="461" ht="12.75" customHeight="1">
      <c r="A461" s="1" t="s">
        <v>72</v>
      </c>
      <c r="B461" s="1" t="s">
        <v>4108</v>
      </c>
      <c r="C461" s="1" t="s">
        <v>74</v>
      </c>
      <c r="D461" s="1" t="s">
        <v>74</v>
      </c>
      <c r="E461" s="1" t="s">
        <v>74</v>
      </c>
      <c r="F461" s="1" t="s">
        <v>4108</v>
      </c>
      <c r="G461" s="1" t="s">
        <v>74</v>
      </c>
      <c r="H461" s="1" t="s">
        <v>74</v>
      </c>
      <c r="I461" s="1" t="s">
        <v>4109</v>
      </c>
      <c r="J461" s="1" t="s">
        <v>842</v>
      </c>
      <c r="K461" s="1" t="s">
        <v>74</v>
      </c>
      <c r="L461" s="1" t="s">
        <v>74</v>
      </c>
      <c r="M461" s="1" t="s">
        <v>74</v>
      </c>
      <c r="N461" s="1" t="s">
        <v>74</v>
      </c>
      <c r="O461" s="1" t="s">
        <v>74</v>
      </c>
      <c r="P461" s="1" t="s">
        <v>74</v>
      </c>
      <c r="Q461" s="1" t="s">
        <v>74</v>
      </c>
      <c r="R461" s="1" t="s">
        <v>74</v>
      </c>
      <c r="S461" s="1" t="s">
        <v>74</v>
      </c>
      <c r="T461" s="1" t="s">
        <v>74</v>
      </c>
      <c r="U461" s="1" t="s">
        <v>74</v>
      </c>
      <c r="V461" s="1" t="s">
        <v>4110</v>
      </c>
      <c r="W461" s="1" t="s">
        <v>74</v>
      </c>
      <c r="X461" s="1" t="s">
        <v>74</v>
      </c>
      <c r="Y461" s="1" t="s">
        <v>74</v>
      </c>
      <c r="Z461" s="1" t="s">
        <v>74</v>
      </c>
      <c r="AA461" s="1" t="s">
        <v>2362</v>
      </c>
      <c r="AB461" s="1" t="s">
        <v>2363</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846</v>
      </c>
      <c r="AP461" s="1" t="s">
        <v>4021</v>
      </c>
      <c r="AQ461" s="1" t="s">
        <v>74</v>
      </c>
      <c r="AR461" s="1" t="s">
        <v>74</v>
      </c>
      <c r="AS461" s="1" t="s">
        <v>74</v>
      </c>
      <c r="AT461" s="1" t="s">
        <v>545</v>
      </c>
      <c r="AU461" s="1">
        <v>2004.0</v>
      </c>
      <c r="AV461" s="1">
        <v>292.0</v>
      </c>
      <c r="AW461" s="1">
        <v>2.0</v>
      </c>
      <c r="AX461" s="1" t="s">
        <v>74</v>
      </c>
      <c r="AY461" s="1" t="s">
        <v>74</v>
      </c>
      <c r="AZ461" s="1" t="s">
        <v>74</v>
      </c>
      <c r="BA461" s="1" t="s">
        <v>74</v>
      </c>
      <c r="BB461" s="1">
        <v>401.0</v>
      </c>
      <c r="BC461" s="1">
        <v>414.0</v>
      </c>
      <c r="BD461" s="1" t="s">
        <v>74</v>
      </c>
      <c r="BE461" s="1" t="s">
        <v>4111</v>
      </c>
      <c r="BF461" s="2" t="str">
        <f>HYPERLINK("http://dx.doi.org/10.1016/j.jmaa.2003.12.005","http://dx.doi.org/10.1016/j.jmaa.2003.12.005")</f>
        <v>http://dx.doi.org/10.1016/j.jmaa.2003.12.005</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4112</v>
      </c>
      <c r="BT461" s="1" t="str">
        <f>HYPERLINK("https%3A%2F%2Fwww.webofscience.com%2Fwos%2Fwoscc%2Ffull-record%2FWOS:000221110800008","View Full Record in Web of Science")</f>
        <v>View Full Record in Web of Science</v>
      </c>
    </row>
    <row r="462" ht="12.75" customHeight="1">
      <c r="A462" s="1" t="s">
        <v>72</v>
      </c>
      <c r="B462" s="1" t="s">
        <v>4113</v>
      </c>
      <c r="C462" s="1" t="s">
        <v>74</v>
      </c>
      <c r="D462" s="1" t="s">
        <v>74</v>
      </c>
      <c r="E462" s="1" t="s">
        <v>74</v>
      </c>
      <c r="F462" s="1" t="s">
        <v>4113</v>
      </c>
      <c r="G462" s="1" t="s">
        <v>74</v>
      </c>
      <c r="H462" s="1" t="s">
        <v>74</v>
      </c>
      <c r="I462" s="1" t="s">
        <v>4114</v>
      </c>
      <c r="J462" s="1" t="s">
        <v>4115</v>
      </c>
      <c r="K462" s="1" t="s">
        <v>74</v>
      </c>
      <c r="L462" s="1" t="s">
        <v>74</v>
      </c>
      <c r="M462" s="1" t="s">
        <v>74</v>
      </c>
      <c r="N462" s="1" t="s">
        <v>74</v>
      </c>
      <c r="O462" s="1" t="s">
        <v>74</v>
      </c>
      <c r="P462" s="1" t="s">
        <v>74</v>
      </c>
      <c r="Q462" s="1" t="s">
        <v>74</v>
      </c>
      <c r="R462" s="1" t="s">
        <v>74</v>
      </c>
      <c r="S462" s="1" t="s">
        <v>74</v>
      </c>
      <c r="T462" s="1" t="s">
        <v>74</v>
      </c>
      <c r="U462" s="1" t="s">
        <v>74</v>
      </c>
      <c r="V462" s="1" t="s">
        <v>4116</v>
      </c>
      <c r="W462" s="1" t="s">
        <v>74</v>
      </c>
      <c r="X462" s="1" t="s">
        <v>74</v>
      </c>
      <c r="Y462" s="1" t="s">
        <v>74</v>
      </c>
      <c r="Z462" s="1" t="s">
        <v>74</v>
      </c>
      <c r="AA462" s="1" t="s">
        <v>690</v>
      </c>
      <c r="AB462" s="1" t="s">
        <v>4117</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4118</v>
      </c>
      <c r="AP462" s="1" t="s">
        <v>4119</v>
      </c>
      <c r="AQ462" s="1" t="s">
        <v>74</v>
      </c>
      <c r="AR462" s="1" t="s">
        <v>74</v>
      </c>
      <c r="AS462" s="1" t="s">
        <v>74</v>
      </c>
      <c r="AT462" s="1" t="s">
        <v>256</v>
      </c>
      <c r="AU462" s="1">
        <v>2004.0</v>
      </c>
      <c r="AV462" s="1">
        <v>42.0</v>
      </c>
      <c r="AW462" s="1">
        <v>3.0</v>
      </c>
      <c r="AX462" s="1" t="s">
        <v>74</v>
      </c>
      <c r="AY462" s="1" t="s">
        <v>74</v>
      </c>
      <c r="AZ462" s="1" t="s">
        <v>74</v>
      </c>
      <c r="BA462" s="1" t="s">
        <v>74</v>
      </c>
      <c r="BB462" s="1">
        <v>658.0</v>
      </c>
      <c r="BC462" s="1">
        <v>668.0</v>
      </c>
      <c r="BD462" s="1" t="s">
        <v>74</v>
      </c>
      <c r="BE462" s="1" t="s">
        <v>4120</v>
      </c>
      <c r="BF462" s="2" t="str">
        <f>HYPERLINK("http://dx.doi.org/10.2514/1.9117","http://dx.doi.org/10.2514/1.9117")</f>
        <v>http://dx.doi.org/10.2514/1.9117</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4121</v>
      </c>
      <c r="BT462" s="1" t="str">
        <f>HYPERLINK("https%3A%2F%2Fwww.webofscience.com%2Fwos%2Fwoscc%2Ffull-record%2FWOS:000220234900026","View Full Record in Web of Science")</f>
        <v>View Full Record in Web of Science</v>
      </c>
    </row>
    <row r="463" ht="12.75" customHeight="1">
      <c r="A463" s="1" t="s">
        <v>72</v>
      </c>
      <c r="B463" s="1" t="s">
        <v>2338</v>
      </c>
      <c r="C463" s="1" t="s">
        <v>74</v>
      </c>
      <c r="D463" s="1" t="s">
        <v>74</v>
      </c>
      <c r="E463" s="1" t="s">
        <v>74</v>
      </c>
      <c r="F463" s="1" t="s">
        <v>2338</v>
      </c>
      <c r="G463" s="1" t="s">
        <v>74</v>
      </c>
      <c r="H463" s="1" t="s">
        <v>74</v>
      </c>
      <c r="I463" s="1" t="s">
        <v>4122</v>
      </c>
      <c r="J463" s="1" t="s">
        <v>880</v>
      </c>
      <c r="K463" s="1" t="s">
        <v>74</v>
      </c>
      <c r="L463" s="1" t="s">
        <v>74</v>
      </c>
      <c r="M463" s="1" t="s">
        <v>74</v>
      </c>
      <c r="N463" s="1" t="s">
        <v>74</v>
      </c>
      <c r="O463" s="1" t="s">
        <v>74</v>
      </c>
      <c r="P463" s="1" t="s">
        <v>74</v>
      </c>
      <c r="Q463" s="1" t="s">
        <v>74</v>
      </c>
      <c r="R463" s="1" t="s">
        <v>74</v>
      </c>
      <c r="S463" s="1" t="s">
        <v>74</v>
      </c>
      <c r="T463" s="1" t="s">
        <v>74</v>
      </c>
      <c r="U463" s="1" t="s">
        <v>74</v>
      </c>
      <c r="V463" s="1" t="s">
        <v>74</v>
      </c>
      <c r="W463" s="1" t="s">
        <v>74</v>
      </c>
      <c r="X463" s="1" t="s">
        <v>74</v>
      </c>
      <c r="Y463" s="1" t="s">
        <v>74</v>
      </c>
      <c r="Z463" s="1" t="s">
        <v>74</v>
      </c>
      <c r="AA463" s="1" t="s">
        <v>74</v>
      </c>
      <c r="AB463" s="1" t="s">
        <v>701</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881</v>
      </c>
      <c r="AP463" s="1" t="s">
        <v>74</v>
      </c>
      <c r="AQ463" s="1" t="s">
        <v>74</v>
      </c>
      <c r="AR463" s="1" t="s">
        <v>74</v>
      </c>
      <c r="AS463" s="1" t="s">
        <v>74</v>
      </c>
      <c r="AT463" s="1" t="s">
        <v>818</v>
      </c>
      <c r="AU463" s="1">
        <v>2004.0</v>
      </c>
      <c r="AV463" s="1">
        <v>32.0</v>
      </c>
      <c r="AW463" s="1">
        <v>2.0</v>
      </c>
      <c r="AX463" s="1" t="s">
        <v>74</v>
      </c>
      <c r="AY463" s="1" t="s">
        <v>74</v>
      </c>
      <c r="AZ463" s="1" t="s">
        <v>74</v>
      </c>
      <c r="BA463" s="1" t="s">
        <v>74</v>
      </c>
      <c r="BB463" s="1">
        <v>211.0</v>
      </c>
      <c r="BC463" s="1">
        <v>214.0</v>
      </c>
      <c r="BD463" s="1" t="s">
        <v>74</v>
      </c>
      <c r="BE463" s="1" t="s">
        <v>4123</v>
      </c>
      <c r="BF463" s="2" t="str">
        <f>HYPERLINK("http://dx.doi.org/10.1016/S0305-1978(03)00158-3","http://dx.doi.org/10.1016/S0305-1978(03)00158-3")</f>
        <v>http://dx.doi.org/10.1016/S0305-1978(03)00158-3</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4124</v>
      </c>
      <c r="BT463" s="1" t="str">
        <f>HYPERLINK("https%3A%2F%2Fwww.webofscience.com%2Fwos%2Fwoscc%2Ffull-record%2FWOS:000188704600011","View Full Record in Web of Science")</f>
        <v>View Full Record in Web of Science</v>
      </c>
    </row>
    <row r="464" ht="12.75" customHeight="1">
      <c r="A464" s="1" t="s">
        <v>72</v>
      </c>
      <c r="B464" s="1" t="s">
        <v>4125</v>
      </c>
      <c r="C464" s="1" t="s">
        <v>74</v>
      </c>
      <c r="D464" s="1" t="s">
        <v>74</v>
      </c>
      <c r="E464" s="1" t="s">
        <v>74</v>
      </c>
      <c r="F464" s="1" t="s">
        <v>4125</v>
      </c>
      <c r="G464" s="1" t="s">
        <v>74</v>
      </c>
      <c r="H464" s="1" t="s">
        <v>74</v>
      </c>
      <c r="I464" s="1" t="s">
        <v>4126</v>
      </c>
      <c r="J464" s="1" t="s">
        <v>1242</v>
      </c>
      <c r="K464" s="1" t="s">
        <v>74</v>
      </c>
      <c r="L464" s="1" t="s">
        <v>74</v>
      </c>
      <c r="M464" s="1" t="s">
        <v>74</v>
      </c>
      <c r="N464" s="1" t="s">
        <v>74</v>
      </c>
      <c r="O464" s="1" t="s">
        <v>74</v>
      </c>
      <c r="P464" s="1" t="s">
        <v>74</v>
      </c>
      <c r="Q464" s="1" t="s">
        <v>74</v>
      </c>
      <c r="R464" s="1" t="s">
        <v>74</v>
      </c>
      <c r="S464" s="1" t="s">
        <v>74</v>
      </c>
      <c r="T464" s="1" t="s">
        <v>74</v>
      </c>
      <c r="U464" s="1" t="s">
        <v>74</v>
      </c>
      <c r="V464" s="1" t="s">
        <v>4127</v>
      </c>
      <c r="W464" s="1" t="s">
        <v>74</v>
      </c>
      <c r="X464" s="1" t="s">
        <v>74</v>
      </c>
      <c r="Y464" s="1" t="s">
        <v>74</v>
      </c>
      <c r="Z464" s="1" t="s">
        <v>74</v>
      </c>
      <c r="AA464" s="1" t="s">
        <v>74</v>
      </c>
      <c r="AB464" s="1" t="s">
        <v>74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1246</v>
      </c>
      <c r="AP464" s="1" t="s">
        <v>74</v>
      </c>
      <c r="AQ464" s="1" t="s">
        <v>74</v>
      </c>
      <c r="AR464" s="1" t="s">
        <v>74</v>
      </c>
      <c r="AS464" s="1" t="s">
        <v>74</v>
      </c>
      <c r="AT464" s="1" t="s">
        <v>410</v>
      </c>
      <c r="AU464" s="1">
        <v>2003.0</v>
      </c>
      <c r="AV464" s="1">
        <v>51.0</v>
      </c>
      <c r="AW464" s="1">
        <v>3.0</v>
      </c>
      <c r="AX464" s="1" t="s">
        <v>74</v>
      </c>
      <c r="AY464" s="1" t="s">
        <v>74</v>
      </c>
      <c r="AZ464" s="1" t="s">
        <v>74</v>
      </c>
      <c r="BA464" s="1" t="s">
        <v>74</v>
      </c>
      <c r="BB464" s="1">
        <v>199.0</v>
      </c>
      <c r="BC464" s="1">
        <v>208.0</v>
      </c>
      <c r="BD464" s="1" t="s">
        <v>74</v>
      </c>
      <c r="BE464" s="1" t="s">
        <v>4128</v>
      </c>
      <c r="BF464" s="2" t="str">
        <f>HYPERLINK("http://dx.doi.org/10.1007/s00289-003-0214-4","http://dx.doi.org/10.1007/s00289-003-0214-4")</f>
        <v>http://dx.doi.org/10.1007/s00289-003-0214-4</v>
      </c>
      <c r="BG464" s="1" t="s">
        <v>74</v>
      </c>
      <c r="BH464" s="1" t="s">
        <v>74</v>
      </c>
      <c r="BI464" s="1" t="s">
        <v>74</v>
      </c>
      <c r="BJ464" s="1" t="s">
        <v>74</v>
      </c>
      <c r="BK464" s="1" t="s">
        <v>74</v>
      </c>
      <c r="BL464" s="1" t="s">
        <v>74</v>
      </c>
      <c r="BM464" s="1" t="s">
        <v>74</v>
      </c>
      <c r="BN464" s="1" t="s">
        <v>74</v>
      </c>
      <c r="BO464" s="1" t="s">
        <v>74</v>
      </c>
      <c r="BP464" s="1" t="s">
        <v>74</v>
      </c>
      <c r="BQ464" s="1" t="s">
        <v>74</v>
      </c>
      <c r="BR464" s="1" t="s">
        <v>74</v>
      </c>
      <c r="BS464" s="1" t="s">
        <v>4129</v>
      </c>
      <c r="BT464" s="1" t="str">
        <f>HYPERLINK("https%3A%2F%2Fwww.webofscience.com%2Fwos%2Fwoscc%2Ffull-record%2FWOS:000187196800004","View Full Record in Web of Science")</f>
        <v>View Full Record in Web of Science</v>
      </c>
    </row>
    <row r="465" ht="12.75" customHeight="1">
      <c r="A465" s="1" t="s">
        <v>72</v>
      </c>
      <c r="B465" s="1" t="s">
        <v>4130</v>
      </c>
      <c r="C465" s="1" t="s">
        <v>74</v>
      </c>
      <c r="D465" s="1" t="s">
        <v>74</v>
      </c>
      <c r="E465" s="1" t="s">
        <v>74</v>
      </c>
      <c r="F465" s="1" t="s">
        <v>4130</v>
      </c>
      <c r="G465" s="1" t="s">
        <v>74</v>
      </c>
      <c r="H465" s="1" t="s">
        <v>74</v>
      </c>
      <c r="I465" s="1" t="s">
        <v>4131</v>
      </c>
      <c r="J465" s="1" t="s">
        <v>2355</v>
      </c>
      <c r="K465" s="1" t="s">
        <v>74</v>
      </c>
      <c r="L465" s="1" t="s">
        <v>74</v>
      </c>
      <c r="M465" s="1" t="s">
        <v>74</v>
      </c>
      <c r="N465" s="1" t="s">
        <v>74</v>
      </c>
      <c r="O465" s="1" t="s">
        <v>74</v>
      </c>
      <c r="P465" s="1" t="s">
        <v>74</v>
      </c>
      <c r="Q465" s="1" t="s">
        <v>74</v>
      </c>
      <c r="R465" s="1" t="s">
        <v>74</v>
      </c>
      <c r="S465" s="1" t="s">
        <v>74</v>
      </c>
      <c r="T465" s="1" t="s">
        <v>74</v>
      </c>
      <c r="U465" s="1" t="s">
        <v>74</v>
      </c>
      <c r="V465" s="1" t="s">
        <v>4132</v>
      </c>
      <c r="W465" s="1" t="s">
        <v>74</v>
      </c>
      <c r="X465" s="1" t="s">
        <v>74</v>
      </c>
      <c r="Y465" s="1" t="s">
        <v>74</v>
      </c>
      <c r="Z465" s="1" t="s">
        <v>74</v>
      </c>
      <c r="AA465" s="1" t="s">
        <v>74</v>
      </c>
      <c r="AB465" s="1" t="s">
        <v>74</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2356</v>
      </c>
      <c r="AP465" s="1" t="s">
        <v>74</v>
      </c>
      <c r="AQ465" s="1" t="s">
        <v>74</v>
      </c>
      <c r="AR465" s="1" t="s">
        <v>74</v>
      </c>
      <c r="AS465" s="1" t="s">
        <v>74</v>
      </c>
      <c r="AT465" s="1" t="s">
        <v>410</v>
      </c>
      <c r="AU465" s="1">
        <v>2003.0</v>
      </c>
      <c r="AV465" s="1">
        <v>71.0</v>
      </c>
      <c r="AW465" s="1">
        <v>11.0</v>
      </c>
      <c r="AX465" s="1" t="s">
        <v>74</v>
      </c>
      <c r="AY465" s="1" t="s">
        <v>74</v>
      </c>
      <c r="AZ465" s="1" t="s">
        <v>74</v>
      </c>
      <c r="BA465" s="1" t="s">
        <v>74</v>
      </c>
      <c r="BB465" s="1">
        <v>1201.0</v>
      </c>
      <c r="BC465" s="1">
        <v>1203.0</v>
      </c>
      <c r="BD465" s="1" t="s">
        <v>74</v>
      </c>
      <c r="BE465" s="1" t="s">
        <v>4133</v>
      </c>
      <c r="BF465" s="2" t="str">
        <f>HYPERLINK("http://dx.doi.org/10.1119/1.1579498","http://dx.doi.org/10.1119/1.1579498")</f>
        <v>http://dx.doi.org/10.1119/1.1579498</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4134</v>
      </c>
      <c r="BT465" s="1" t="str">
        <f>HYPERLINK("https%3A%2F%2Fwww.webofscience.com%2Fwos%2Fwoscc%2Ffull-record%2FWOS:000186038500017","View Full Record in Web of Science")</f>
        <v>View Full Record in Web of Science</v>
      </c>
    </row>
    <row r="466" ht="12.75" customHeight="1">
      <c r="A466" s="1" t="s">
        <v>126</v>
      </c>
      <c r="B466" s="1" t="s">
        <v>727</v>
      </c>
      <c r="C466" s="1" t="s">
        <v>74</v>
      </c>
      <c r="D466" s="1" t="s">
        <v>4135</v>
      </c>
      <c r="E466" s="1" t="s">
        <v>74</v>
      </c>
      <c r="F466" s="1" t="s">
        <v>727</v>
      </c>
      <c r="G466" s="1" t="s">
        <v>74</v>
      </c>
      <c r="H466" s="1" t="s">
        <v>74</v>
      </c>
      <c r="I466" s="1" t="s">
        <v>4136</v>
      </c>
      <c r="J466" s="1" t="s">
        <v>4137</v>
      </c>
      <c r="K466" s="1" t="s">
        <v>74</v>
      </c>
      <c r="L466" s="1" t="s">
        <v>74</v>
      </c>
      <c r="M466" s="1" t="s">
        <v>74</v>
      </c>
      <c r="N466" s="1" t="s">
        <v>74</v>
      </c>
      <c r="O466" s="1" t="s">
        <v>4138</v>
      </c>
      <c r="P466" s="1" t="s">
        <v>4139</v>
      </c>
      <c r="Q466" s="1" t="s">
        <v>4140</v>
      </c>
      <c r="R466" s="1" t="s">
        <v>4141</v>
      </c>
      <c r="S466" s="1" t="s">
        <v>4142</v>
      </c>
      <c r="T466" s="1" t="s">
        <v>74</v>
      </c>
      <c r="U466" s="1" t="s">
        <v>74</v>
      </c>
      <c r="V466" s="1" t="s">
        <v>4143</v>
      </c>
      <c r="W466" s="1" t="s">
        <v>74</v>
      </c>
      <c r="X466" s="1" t="s">
        <v>74</v>
      </c>
      <c r="Y466" s="1" t="s">
        <v>74</v>
      </c>
      <c r="Z466" s="1" t="s">
        <v>74</v>
      </c>
      <c r="AA466" s="1" t="s">
        <v>74</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74</v>
      </c>
      <c r="AP466" s="1" t="s">
        <v>74</v>
      </c>
      <c r="AQ466" s="1" t="s">
        <v>4144</v>
      </c>
      <c r="AR466" s="1" t="s">
        <v>74</v>
      </c>
      <c r="AS466" s="1" t="s">
        <v>74</v>
      </c>
      <c r="AT466" s="1" t="s">
        <v>74</v>
      </c>
      <c r="AU466" s="1">
        <v>2003.0</v>
      </c>
      <c r="AV466" s="1" t="s">
        <v>74</v>
      </c>
      <c r="AW466" s="1" t="s">
        <v>74</v>
      </c>
      <c r="AX466" s="1" t="s">
        <v>74</v>
      </c>
      <c r="AY466" s="1" t="s">
        <v>74</v>
      </c>
      <c r="AZ466" s="1" t="s">
        <v>74</v>
      </c>
      <c r="BA466" s="1" t="s">
        <v>74</v>
      </c>
      <c r="BB466" s="1">
        <v>104.0</v>
      </c>
      <c r="BC466" s="1">
        <v>107.0</v>
      </c>
      <c r="BD466" s="1" t="s">
        <v>74</v>
      </c>
      <c r="BE466" s="1" t="s">
        <v>74</v>
      </c>
      <c r="BF466" s="1" t="s">
        <v>74</v>
      </c>
      <c r="BG466" s="1" t="s">
        <v>74</v>
      </c>
      <c r="BH466" s="1" t="s">
        <v>74</v>
      </c>
      <c r="BI466" s="1" t="s">
        <v>74</v>
      </c>
      <c r="BJ466" s="1" t="s">
        <v>74</v>
      </c>
      <c r="BK466" s="1" t="s">
        <v>74</v>
      </c>
      <c r="BL466" s="1" t="s">
        <v>74</v>
      </c>
      <c r="BM466" s="1" t="s">
        <v>74</v>
      </c>
      <c r="BN466" s="1" t="s">
        <v>74</v>
      </c>
      <c r="BO466" s="1" t="s">
        <v>74</v>
      </c>
      <c r="BP466" s="1" t="s">
        <v>74</v>
      </c>
      <c r="BQ466" s="1" t="s">
        <v>74</v>
      </c>
      <c r="BR466" s="1" t="s">
        <v>74</v>
      </c>
      <c r="BS466" s="1" t="s">
        <v>4145</v>
      </c>
      <c r="BT466" s="1" t="str">
        <f>HYPERLINK("https%3A%2F%2Fwww.webofscience.com%2Fwos%2Fwoscc%2Ffull-record%2FWOS:000230140000018","View Full Record in Web of Science")</f>
        <v>View Full Record in Web of Science</v>
      </c>
    </row>
    <row r="467" ht="12.75" customHeight="1">
      <c r="A467" s="1" t="s">
        <v>72</v>
      </c>
      <c r="B467" s="1" t="s">
        <v>739</v>
      </c>
      <c r="C467" s="1" t="s">
        <v>74</v>
      </c>
      <c r="D467" s="1" t="s">
        <v>74</v>
      </c>
      <c r="E467" s="1" t="s">
        <v>74</v>
      </c>
      <c r="F467" s="1" t="s">
        <v>739</v>
      </c>
      <c r="G467" s="1" t="s">
        <v>74</v>
      </c>
      <c r="H467" s="1" t="s">
        <v>74</v>
      </c>
      <c r="I467" s="1" t="s">
        <v>4146</v>
      </c>
      <c r="J467" s="1" t="s">
        <v>4147</v>
      </c>
      <c r="K467" s="1" t="s">
        <v>74</v>
      </c>
      <c r="L467" s="1" t="s">
        <v>74</v>
      </c>
      <c r="M467" s="1" t="s">
        <v>74</v>
      </c>
      <c r="N467" s="1" t="s">
        <v>74</v>
      </c>
      <c r="O467" s="1" t="s">
        <v>74</v>
      </c>
      <c r="P467" s="1" t="s">
        <v>74</v>
      </c>
      <c r="Q467" s="1" t="s">
        <v>74</v>
      </c>
      <c r="R467" s="1" t="s">
        <v>74</v>
      </c>
      <c r="S467" s="1" t="s">
        <v>74</v>
      </c>
      <c r="T467" s="1" t="s">
        <v>74</v>
      </c>
      <c r="U467" s="1" t="s">
        <v>74</v>
      </c>
      <c r="V467" s="1" t="s">
        <v>4148</v>
      </c>
      <c r="W467" s="1" t="s">
        <v>74</v>
      </c>
      <c r="X467" s="1" t="s">
        <v>74</v>
      </c>
      <c r="Y467" s="1" t="s">
        <v>74</v>
      </c>
      <c r="Z467" s="1" t="s">
        <v>74</v>
      </c>
      <c r="AA467" s="1" t="s">
        <v>690</v>
      </c>
      <c r="AB467" s="1" t="s">
        <v>74</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4149</v>
      </c>
      <c r="AP467" s="1" t="s">
        <v>74</v>
      </c>
      <c r="AQ467" s="1" t="s">
        <v>74</v>
      </c>
      <c r="AR467" s="1" t="s">
        <v>74</v>
      </c>
      <c r="AS467" s="1" t="s">
        <v>74</v>
      </c>
      <c r="AT467" s="1" t="s">
        <v>3080</v>
      </c>
      <c r="AU467" s="1">
        <v>2002.0</v>
      </c>
      <c r="AV467" s="1">
        <v>91.0</v>
      </c>
      <c r="AW467" s="1">
        <v>6.0</v>
      </c>
      <c r="AX467" s="1" t="s">
        <v>74</v>
      </c>
      <c r="AY467" s="1" t="s">
        <v>74</v>
      </c>
      <c r="AZ467" s="1" t="s">
        <v>74</v>
      </c>
      <c r="BA467" s="1" t="s">
        <v>74</v>
      </c>
      <c r="BB467" s="1">
        <v>3675.0</v>
      </c>
      <c r="BC467" s="1">
        <v>3686.0</v>
      </c>
      <c r="BD467" s="1" t="s">
        <v>74</v>
      </c>
      <c r="BE467" s="1" t="s">
        <v>4150</v>
      </c>
      <c r="BF467" s="2" t="str">
        <f>HYPERLINK("http://dx.doi.org/10.1063/1.1435836","http://dx.doi.org/10.1063/1.1435836")</f>
        <v>http://dx.doi.org/10.1063/1.1435836</v>
      </c>
      <c r="BG467" s="1" t="s">
        <v>74</v>
      </c>
      <c r="BH467" s="1" t="s">
        <v>74</v>
      </c>
      <c r="BI467" s="1" t="s">
        <v>74</v>
      </c>
      <c r="BJ467" s="1" t="s">
        <v>74</v>
      </c>
      <c r="BK467" s="1" t="s">
        <v>74</v>
      </c>
      <c r="BL467" s="1" t="s">
        <v>74</v>
      </c>
      <c r="BM467" s="1" t="s">
        <v>74</v>
      </c>
      <c r="BN467" s="1" t="s">
        <v>74</v>
      </c>
      <c r="BO467" s="1" t="s">
        <v>74</v>
      </c>
      <c r="BP467" s="1" t="s">
        <v>74</v>
      </c>
      <c r="BQ467" s="1" t="s">
        <v>74</v>
      </c>
      <c r="BR467" s="1" t="s">
        <v>74</v>
      </c>
      <c r="BS467" s="1" t="s">
        <v>4151</v>
      </c>
      <c r="BT467" s="1" t="str">
        <f>HYPERLINK("https%3A%2F%2Fwww.webofscience.com%2Fwos%2Fwoscc%2Ffull-record%2FWOS:000174182500029","View Full Record in Web of Science")</f>
        <v>View Full Record in Web of Science</v>
      </c>
    </row>
    <row r="468" ht="12.75" customHeight="1">
      <c r="A468" s="1" t="s">
        <v>72</v>
      </c>
      <c r="B468" s="1" t="s">
        <v>4152</v>
      </c>
      <c r="C468" s="1" t="s">
        <v>74</v>
      </c>
      <c r="D468" s="1" t="s">
        <v>74</v>
      </c>
      <c r="E468" s="1" t="s">
        <v>74</v>
      </c>
      <c r="F468" s="1" t="s">
        <v>4152</v>
      </c>
      <c r="G468" s="1" t="s">
        <v>74</v>
      </c>
      <c r="H468" s="1" t="s">
        <v>74</v>
      </c>
      <c r="I468" s="1" t="s">
        <v>4153</v>
      </c>
      <c r="J468" s="1" t="s">
        <v>4154</v>
      </c>
      <c r="K468" s="1" t="s">
        <v>74</v>
      </c>
      <c r="L468" s="1" t="s">
        <v>74</v>
      </c>
      <c r="M468" s="1" t="s">
        <v>74</v>
      </c>
      <c r="N468" s="1" t="s">
        <v>74</v>
      </c>
      <c r="O468" s="1" t="s">
        <v>74</v>
      </c>
      <c r="P468" s="1" t="s">
        <v>74</v>
      </c>
      <c r="Q468" s="1" t="s">
        <v>74</v>
      </c>
      <c r="R468" s="1" t="s">
        <v>74</v>
      </c>
      <c r="S468" s="1" t="s">
        <v>74</v>
      </c>
      <c r="T468" s="1" t="s">
        <v>74</v>
      </c>
      <c r="U468" s="1" t="s">
        <v>74</v>
      </c>
      <c r="V468" s="1" t="s">
        <v>4155</v>
      </c>
      <c r="W468" s="1" t="s">
        <v>74</v>
      </c>
      <c r="X468" s="1" t="s">
        <v>74</v>
      </c>
      <c r="Y468" s="1" t="s">
        <v>74</v>
      </c>
      <c r="Z468" s="1" t="s">
        <v>74</v>
      </c>
      <c r="AA468" s="1" t="s">
        <v>74</v>
      </c>
      <c r="AB468" s="1" t="s">
        <v>74</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4156</v>
      </c>
      <c r="AP468" s="1" t="s">
        <v>74</v>
      </c>
      <c r="AQ468" s="1" t="s">
        <v>74</v>
      </c>
      <c r="AR468" s="1" t="s">
        <v>74</v>
      </c>
      <c r="AS468" s="1" t="s">
        <v>74</v>
      </c>
      <c r="AT468" s="1" t="s">
        <v>158</v>
      </c>
      <c r="AU468" s="1">
        <v>2001.0</v>
      </c>
      <c r="AV468" s="1">
        <v>16.0</v>
      </c>
      <c r="AW468" s="1">
        <v>3.0</v>
      </c>
      <c r="AX468" s="1" t="s">
        <v>74</v>
      </c>
      <c r="AY468" s="1" t="s">
        <v>74</v>
      </c>
      <c r="AZ468" s="1" t="s">
        <v>74</v>
      </c>
      <c r="BA468" s="1" t="s">
        <v>74</v>
      </c>
      <c r="BB468" s="1">
        <v>239.0</v>
      </c>
      <c r="BC468" s="1">
        <v>245.0</v>
      </c>
      <c r="BD468" s="1" t="s">
        <v>74</v>
      </c>
      <c r="BE468" s="1" t="s">
        <v>4157</v>
      </c>
      <c r="BF468" s="2" t="str">
        <f>HYPERLINK("http://dx.doi.org/10.1109/60.937203","http://dx.doi.org/10.1109/60.937203")</f>
        <v>http://dx.doi.org/10.1109/60.937203</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4158</v>
      </c>
      <c r="BT468" s="1" t="str">
        <f>HYPERLINK("https%3A%2F%2Fwww.webofscience.com%2Fwos%2Fwoscc%2Ffull-record%2FWOS:000170174400006","View Full Record in Web of Science")</f>
        <v>View Full Record in Web of Science</v>
      </c>
    </row>
    <row r="469" ht="12.75" customHeight="1">
      <c r="A469" s="1" t="s">
        <v>72</v>
      </c>
      <c r="B469" s="1" t="s">
        <v>4159</v>
      </c>
      <c r="C469" s="1" t="s">
        <v>74</v>
      </c>
      <c r="D469" s="1" t="s">
        <v>74</v>
      </c>
      <c r="E469" s="1" t="s">
        <v>74</v>
      </c>
      <c r="F469" s="1" t="s">
        <v>4159</v>
      </c>
      <c r="G469" s="1" t="s">
        <v>74</v>
      </c>
      <c r="H469" s="1" t="s">
        <v>74</v>
      </c>
      <c r="I469" s="1" t="s">
        <v>4160</v>
      </c>
      <c r="J469" s="1" t="s">
        <v>4161</v>
      </c>
      <c r="K469" s="1" t="s">
        <v>74</v>
      </c>
      <c r="L469" s="1" t="s">
        <v>74</v>
      </c>
      <c r="M469" s="1" t="s">
        <v>74</v>
      </c>
      <c r="N469" s="1" t="s">
        <v>74</v>
      </c>
      <c r="O469" s="1" t="s">
        <v>74</v>
      </c>
      <c r="P469" s="1" t="s">
        <v>74</v>
      </c>
      <c r="Q469" s="1" t="s">
        <v>74</v>
      </c>
      <c r="R469" s="1" t="s">
        <v>74</v>
      </c>
      <c r="S469" s="1" t="s">
        <v>74</v>
      </c>
      <c r="T469" s="1" t="s">
        <v>74</v>
      </c>
      <c r="U469" s="1" t="s">
        <v>74</v>
      </c>
      <c r="V469" s="1" t="s">
        <v>4162</v>
      </c>
      <c r="W469" s="1" t="s">
        <v>74</v>
      </c>
      <c r="X469" s="1" t="s">
        <v>74</v>
      </c>
      <c r="Y469" s="1" t="s">
        <v>74</v>
      </c>
      <c r="Z469" s="1" t="s">
        <v>74</v>
      </c>
      <c r="AA469" s="1" t="s">
        <v>4163</v>
      </c>
      <c r="AB469" s="1" t="s">
        <v>4164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4165</v>
      </c>
      <c r="AP469" s="1" t="s">
        <v>74</v>
      </c>
      <c r="AQ469" s="1" t="s">
        <v>74</v>
      </c>
      <c r="AR469" s="1" t="s">
        <v>74</v>
      </c>
      <c r="AS469" s="1" t="s">
        <v>74</v>
      </c>
      <c r="AT469" s="1" t="s">
        <v>4166</v>
      </c>
      <c r="AU469" s="1">
        <v>2000.0</v>
      </c>
      <c r="AV469" s="1">
        <v>85.0</v>
      </c>
      <c r="AW469" s="1">
        <v>10.0</v>
      </c>
      <c r="AX469" s="1" t="s">
        <v>74</v>
      </c>
      <c r="AY469" s="1" t="s">
        <v>74</v>
      </c>
      <c r="AZ469" s="1" t="s">
        <v>74</v>
      </c>
      <c r="BA469" s="1" t="s">
        <v>74</v>
      </c>
      <c r="BB469" s="1">
        <v>2116.0</v>
      </c>
      <c r="BC469" s="1">
        <v>2119.0</v>
      </c>
      <c r="BD469" s="1" t="s">
        <v>74</v>
      </c>
      <c r="BE469" s="1" t="s">
        <v>4167</v>
      </c>
      <c r="BF469" s="2" t="str">
        <f>HYPERLINK("http://dx.doi.org/10.1103/PhysRevLett.85.2116","http://dx.doi.org/10.1103/PhysRevLett.85.2116")</f>
        <v>http://dx.doi.org/10.1103/PhysRevLett.85.2116</v>
      </c>
      <c r="BG469" s="1" t="s">
        <v>74</v>
      </c>
      <c r="BH469" s="1" t="s">
        <v>74</v>
      </c>
      <c r="BI469" s="1" t="s">
        <v>74</v>
      </c>
      <c r="BJ469" s="1" t="s">
        <v>74</v>
      </c>
      <c r="BK469" s="1" t="s">
        <v>74</v>
      </c>
      <c r="BL469" s="1" t="s">
        <v>74</v>
      </c>
      <c r="BM469" s="1" t="s">
        <v>74</v>
      </c>
      <c r="BN469" s="1">
        <v>1.0970476E7</v>
      </c>
      <c r="BO469" s="1" t="s">
        <v>74</v>
      </c>
      <c r="BP469" s="1" t="s">
        <v>74</v>
      </c>
      <c r="BQ469" s="1" t="s">
        <v>74</v>
      </c>
      <c r="BR469" s="1" t="s">
        <v>74</v>
      </c>
      <c r="BS469" s="1" t="s">
        <v>4168</v>
      </c>
      <c r="BT469" s="1" t="str">
        <f>HYPERLINK("https%3A%2F%2Fwww.webofscience.com%2Fwos%2Fwoscc%2Ffull-record%2FWOS:000089065400020","View Full Record in Web of Science")</f>
        <v>View Full Record in Web of Science</v>
      </c>
    </row>
    <row r="470" ht="12.75" customHeight="1">
      <c r="A470" s="1" t="s">
        <v>72</v>
      </c>
      <c r="B470" s="1" t="s">
        <v>633</v>
      </c>
      <c r="C470" s="1" t="s">
        <v>74</v>
      </c>
      <c r="D470" s="1" t="s">
        <v>74</v>
      </c>
      <c r="E470" s="1" t="s">
        <v>74</v>
      </c>
      <c r="F470" s="1" t="s">
        <v>4169</v>
      </c>
      <c r="G470" s="1" t="s">
        <v>74</v>
      </c>
      <c r="H470" s="1" t="s">
        <v>74</v>
      </c>
      <c r="I470" s="1" t="s">
        <v>4170</v>
      </c>
      <c r="J470" s="1" t="s">
        <v>636</v>
      </c>
      <c r="K470" s="1" t="s">
        <v>74</v>
      </c>
      <c r="L470" s="1" t="s">
        <v>74</v>
      </c>
      <c r="M470" s="1" t="s">
        <v>74</v>
      </c>
      <c r="N470" s="1" t="s">
        <v>74</v>
      </c>
      <c r="O470" s="1" t="s">
        <v>74</v>
      </c>
      <c r="P470" s="1" t="s">
        <v>74</v>
      </c>
      <c r="Q470" s="1" t="s">
        <v>74</v>
      </c>
      <c r="R470" s="1" t="s">
        <v>74</v>
      </c>
      <c r="S470" s="1" t="s">
        <v>74</v>
      </c>
      <c r="T470" s="1" t="s">
        <v>74</v>
      </c>
      <c r="U470" s="1" t="s">
        <v>74</v>
      </c>
      <c r="V470" s="1" t="s">
        <v>74</v>
      </c>
      <c r="W470" s="1" t="s">
        <v>74</v>
      </c>
      <c r="X470" s="1" t="s">
        <v>74</v>
      </c>
      <c r="Y470" s="1" t="s">
        <v>74</v>
      </c>
      <c r="Z470" s="1" t="s">
        <v>74</v>
      </c>
      <c r="AA470" s="1" t="s">
        <v>74</v>
      </c>
      <c r="AB470" s="1" t="s">
        <v>74</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637</v>
      </c>
      <c r="AP470" s="1" t="s">
        <v>74</v>
      </c>
      <c r="AQ470" s="1" t="s">
        <v>74</v>
      </c>
      <c r="AR470" s="1" t="s">
        <v>74</v>
      </c>
      <c r="AS470" s="1" t="s">
        <v>74</v>
      </c>
      <c r="AT470" s="1" t="s">
        <v>74</v>
      </c>
      <c r="AU470" s="1">
        <v>1999.0</v>
      </c>
      <c r="AV470" s="1">
        <v>55.0</v>
      </c>
      <c r="AW470" s="1" t="s">
        <v>74</v>
      </c>
      <c r="AX470" s="1" t="s">
        <v>74</v>
      </c>
      <c r="AY470" s="1" t="s">
        <v>638</v>
      </c>
      <c r="AZ470" s="1" t="s">
        <v>74</v>
      </c>
      <c r="BA470" s="1" t="s">
        <v>4171</v>
      </c>
      <c r="BB470" s="1">
        <v>241.0</v>
      </c>
      <c r="BC470" s="1">
        <v>241.0</v>
      </c>
      <c r="BD470" s="1" t="s">
        <v>74</v>
      </c>
      <c r="BE470" s="1" t="s">
        <v>74</v>
      </c>
      <c r="BF470" s="1" t="s">
        <v>74</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4172</v>
      </c>
      <c r="BT470" s="1" t="str">
        <f>HYPERLINK("https%3A%2F%2Fwww.webofscience.com%2Fwos%2Fwoscc%2Ffull-record%2FWOS:000475706302137","View Full Record in Web of Science")</f>
        <v>View Full Record in Web of Science</v>
      </c>
    </row>
    <row r="471" ht="12.75" customHeight="1">
      <c r="A471" s="1" t="s">
        <v>126</v>
      </c>
      <c r="B471" s="1" t="s">
        <v>4173</v>
      </c>
      <c r="C471" s="1" t="s">
        <v>74</v>
      </c>
      <c r="D471" s="1" t="s">
        <v>4174</v>
      </c>
      <c r="E471" s="1" t="s">
        <v>74</v>
      </c>
      <c r="F471" s="1" t="s">
        <v>4173</v>
      </c>
      <c r="G471" s="1" t="s">
        <v>74</v>
      </c>
      <c r="H471" s="1" t="s">
        <v>74</v>
      </c>
      <c r="I471" s="1" t="s">
        <v>4175</v>
      </c>
      <c r="J471" s="1" t="s">
        <v>4176</v>
      </c>
      <c r="K471" s="1" t="s">
        <v>2370</v>
      </c>
      <c r="L471" s="1" t="s">
        <v>74</v>
      </c>
      <c r="M471" s="1" t="s">
        <v>74</v>
      </c>
      <c r="N471" s="1" t="s">
        <v>74</v>
      </c>
      <c r="O471" s="1" t="s">
        <v>4177</v>
      </c>
      <c r="P471" s="1" t="s">
        <v>4178</v>
      </c>
      <c r="Q471" s="1" t="s">
        <v>2373</v>
      </c>
      <c r="R471" s="1" t="s">
        <v>4179</v>
      </c>
      <c r="S471" s="1" t="s">
        <v>74</v>
      </c>
      <c r="T471" s="1" t="s">
        <v>74</v>
      </c>
      <c r="U471" s="1" t="s">
        <v>74</v>
      </c>
      <c r="V471" s="1" t="s">
        <v>4180</v>
      </c>
      <c r="W471" s="1" t="s">
        <v>74</v>
      </c>
      <c r="X471" s="1" t="s">
        <v>74</v>
      </c>
      <c r="Y471" s="1" t="s">
        <v>74</v>
      </c>
      <c r="Z471" s="1" t="s">
        <v>74</v>
      </c>
      <c r="AA471" s="1" t="s">
        <v>4181</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2376</v>
      </c>
      <c r="AP471" s="1" t="s">
        <v>74</v>
      </c>
      <c r="AQ471" s="1" t="s">
        <v>4182</v>
      </c>
      <c r="AR471" s="1" t="s">
        <v>74</v>
      </c>
      <c r="AS471" s="1" t="s">
        <v>74</v>
      </c>
      <c r="AT471" s="1" t="s">
        <v>74</v>
      </c>
      <c r="AU471" s="1">
        <v>1999.0</v>
      </c>
      <c r="AV471" s="1">
        <v>3659.0</v>
      </c>
      <c r="AW471" s="1" t="s">
        <v>74</v>
      </c>
      <c r="AX471" s="1" t="s">
        <v>74</v>
      </c>
      <c r="AY471" s="1" t="s">
        <v>74</v>
      </c>
      <c r="AZ471" s="1" t="s">
        <v>74</v>
      </c>
      <c r="BA471" s="1" t="s">
        <v>74</v>
      </c>
      <c r="BB471" s="1">
        <v>653.0</v>
      </c>
      <c r="BC471" s="1">
        <v>662.0</v>
      </c>
      <c r="BD471" s="1" t="s">
        <v>74</v>
      </c>
      <c r="BE471" s="1" t="s">
        <v>4183</v>
      </c>
      <c r="BF471" s="2" t="str">
        <f>HYPERLINK("http://dx.doi.org/10.1117/12.349544","http://dx.doi.org/10.1117/12.349544")</f>
        <v>http://dx.doi.org/10.1117/12.349544</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4184</v>
      </c>
      <c r="BT471" s="1" t="str">
        <f>HYPERLINK("https%3A%2F%2Fwww.webofscience.com%2Fwos%2Fwoscc%2Ffull-record%2FWOS:000081632400066","View Full Record in Web of Science")</f>
        <v>View Full Record in Web of Science</v>
      </c>
    </row>
    <row r="472" ht="12.75" customHeight="1">
      <c r="A472" s="1" t="s">
        <v>72</v>
      </c>
      <c r="B472" s="1" t="s">
        <v>4185</v>
      </c>
      <c r="C472" s="1" t="s">
        <v>74</v>
      </c>
      <c r="D472" s="1" t="s">
        <v>74</v>
      </c>
      <c r="E472" s="1" t="s">
        <v>74</v>
      </c>
      <c r="F472" s="1" t="s">
        <v>4185</v>
      </c>
      <c r="G472" s="1" t="s">
        <v>74</v>
      </c>
      <c r="H472" s="1" t="s">
        <v>74</v>
      </c>
      <c r="I472" s="1" t="s">
        <v>4186</v>
      </c>
      <c r="J472" s="1" t="s">
        <v>514</v>
      </c>
      <c r="K472" s="1" t="s">
        <v>74</v>
      </c>
      <c r="L472" s="1" t="s">
        <v>74</v>
      </c>
      <c r="M472" s="1" t="s">
        <v>74</v>
      </c>
      <c r="N472" s="1" t="s">
        <v>74</v>
      </c>
      <c r="O472" s="1" t="s">
        <v>74</v>
      </c>
      <c r="P472" s="1" t="s">
        <v>74</v>
      </c>
      <c r="Q472" s="1" t="s">
        <v>74</v>
      </c>
      <c r="R472" s="1" t="s">
        <v>74</v>
      </c>
      <c r="S472" s="1" t="s">
        <v>74</v>
      </c>
      <c r="T472" s="1" t="s">
        <v>74</v>
      </c>
      <c r="U472" s="1" t="s">
        <v>74</v>
      </c>
      <c r="V472" s="1" t="s">
        <v>4187</v>
      </c>
      <c r="W472" s="1" t="s">
        <v>74</v>
      </c>
      <c r="X472" s="1" t="s">
        <v>74</v>
      </c>
      <c r="Y472" s="1" t="s">
        <v>74</v>
      </c>
      <c r="Z472" s="1" t="s">
        <v>74</v>
      </c>
      <c r="AA472" s="1" t="s">
        <v>74</v>
      </c>
      <c r="AB472" s="1" t="s">
        <v>74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516</v>
      </c>
      <c r="AP472" s="1" t="s">
        <v>74</v>
      </c>
      <c r="AQ472" s="1" t="s">
        <v>74</v>
      </c>
      <c r="AR472" s="1" t="s">
        <v>74</v>
      </c>
      <c r="AS472" s="1" t="s">
        <v>74</v>
      </c>
      <c r="AT472" s="1" t="s">
        <v>74</v>
      </c>
      <c r="AU472" s="1">
        <v>1998.0</v>
      </c>
      <c r="AV472" s="1">
        <v>16.0</v>
      </c>
      <c r="AW472" s="1" t="s">
        <v>433</v>
      </c>
      <c r="AX472" s="1" t="s">
        <v>74</v>
      </c>
      <c r="AY472" s="1" t="s">
        <v>74</v>
      </c>
      <c r="AZ472" s="1" t="s">
        <v>74</v>
      </c>
      <c r="BA472" s="1" t="s">
        <v>74</v>
      </c>
      <c r="BB472" s="1">
        <v>217.0</v>
      </c>
      <c r="BC472" s="1">
        <v>233.0</v>
      </c>
      <c r="BD472" s="1" t="s">
        <v>74</v>
      </c>
      <c r="BE472" s="1" t="s">
        <v>4188</v>
      </c>
      <c r="BF472" s="2" t="str">
        <f>HYPERLINK("http://dx.doi.org/10.1080/07373939808917400","http://dx.doi.org/10.1080/07373939808917400")</f>
        <v>http://dx.doi.org/10.1080/07373939808917400</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4189</v>
      </c>
      <c r="BT472" s="1" t="str">
        <f>HYPERLINK("https%3A%2F%2Fwww.webofscience.com%2Fwos%2Fwoscc%2Ffull-record%2FWOS:000072620000013","View Full Record in Web of Science")</f>
        <v>View Full Record in Web of Science</v>
      </c>
    </row>
    <row r="473" ht="12.75" customHeight="1">
      <c r="A473" s="1" t="s">
        <v>72</v>
      </c>
      <c r="B473" s="1" t="s">
        <v>4190</v>
      </c>
      <c r="C473" s="1" t="s">
        <v>74</v>
      </c>
      <c r="D473" s="1" t="s">
        <v>74</v>
      </c>
      <c r="E473" s="1" t="s">
        <v>74</v>
      </c>
      <c r="F473" s="1" t="s">
        <v>4190</v>
      </c>
      <c r="G473" s="1" t="s">
        <v>74</v>
      </c>
      <c r="H473" s="1" t="s">
        <v>74</v>
      </c>
      <c r="I473" s="1" t="s">
        <v>4191</v>
      </c>
      <c r="J473" s="1" t="s">
        <v>1242</v>
      </c>
      <c r="K473" s="1" t="s">
        <v>74</v>
      </c>
      <c r="L473" s="1" t="s">
        <v>74</v>
      </c>
      <c r="M473" s="1" t="s">
        <v>74</v>
      </c>
      <c r="N473" s="1" t="s">
        <v>74</v>
      </c>
      <c r="O473" s="1" t="s">
        <v>4192</v>
      </c>
      <c r="P473" s="1" t="s">
        <v>4193</v>
      </c>
      <c r="Q473" s="1" t="s">
        <v>4194</v>
      </c>
      <c r="R473" s="1" t="s">
        <v>74</v>
      </c>
      <c r="S473" s="1" t="s">
        <v>74</v>
      </c>
      <c r="T473" s="1" t="s">
        <v>74</v>
      </c>
      <c r="U473" s="1" t="s">
        <v>74</v>
      </c>
      <c r="V473" s="1" t="s">
        <v>4195</v>
      </c>
      <c r="W473" s="1" t="s">
        <v>74</v>
      </c>
      <c r="X473" s="1" t="s">
        <v>74</v>
      </c>
      <c r="Y473" s="1" t="s">
        <v>74</v>
      </c>
      <c r="Z473" s="1" t="s">
        <v>74</v>
      </c>
      <c r="AA473" s="1" t="s">
        <v>74</v>
      </c>
      <c r="AB473" s="1" t="s">
        <v>4196</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1246</v>
      </c>
      <c r="AP473" s="1" t="s">
        <v>74</v>
      </c>
      <c r="AQ473" s="1" t="s">
        <v>74</v>
      </c>
      <c r="AR473" s="1" t="s">
        <v>74</v>
      </c>
      <c r="AS473" s="1" t="s">
        <v>74</v>
      </c>
      <c r="AT473" s="1" t="s">
        <v>91</v>
      </c>
      <c r="AU473" s="1">
        <v>1997.0</v>
      </c>
      <c r="AV473" s="1">
        <v>39.0</v>
      </c>
      <c r="AW473" s="1">
        <v>1.0</v>
      </c>
      <c r="AX473" s="1" t="s">
        <v>74</v>
      </c>
      <c r="AY473" s="1" t="s">
        <v>74</v>
      </c>
      <c r="AZ473" s="1" t="s">
        <v>74</v>
      </c>
      <c r="BA473" s="1" t="s">
        <v>74</v>
      </c>
      <c r="BB473" s="1">
        <v>29.0</v>
      </c>
      <c r="BC473" s="1">
        <v>35.0</v>
      </c>
      <c r="BD473" s="1" t="s">
        <v>74</v>
      </c>
      <c r="BE473" s="1" t="s">
        <v>4197</v>
      </c>
      <c r="BF473" s="2" t="str">
        <f>HYPERLINK("http://dx.doi.org/10.1007/s002890050116","http://dx.doi.org/10.1007/s002890050116")</f>
        <v>http://dx.doi.org/10.1007/s002890050116</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4198</v>
      </c>
      <c r="BT473" s="1" t="str">
        <f>HYPERLINK("https%3A%2F%2Fwww.webofscience.com%2Fwos%2Fwoscc%2Ffull-record%2FWOS:A1997XL60800005","View Full Record in Web of Science")</f>
        <v>View Full Record in Web of Science</v>
      </c>
    </row>
    <row r="474" ht="12.75" customHeight="1">
      <c r="A474" s="1" t="s">
        <v>72</v>
      </c>
      <c r="B474" s="1" t="s">
        <v>4199</v>
      </c>
      <c r="C474" s="1" t="s">
        <v>74</v>
      </c>
      <c r="D474" s="1" t="s">
        <v>74</v>
      </c>
      <c r="E474" s="1" t="s">
        <v>74</v>
      </c>
      <c r="F474" s="1" t="s">
        <v>4199</v>
      </c>
      <c r="G474" s="1" t="s">
        <v>74</v>
      </c>
      <c r="H474" s="1" t="s">
        <v>74</v>
      </c>
      <c r="I474" s="1" t="s">
        <v>4200</v>
      </c>
      <c r="J474" s="1" t="s">
        <v>4201</v>
      </c>
      <c r="K474" s="1" t="s">
        <v>74</v>
      </c>
      <c r="L474" s="1" t="s">
        <v>74</v>
      </c>
      <c r="M474" s="1" t="s">
        <v>74</v>
      </c>
      <c r="N474" s="1" t="s">
        <v>74</v>
      </c>
      <c r="O474" s="1" t="s">
        <v>74</v>
      </c>
      <c r="P474" s="1" t="s">
        <v>74</v>
      </c>
      <c r="Q474" s="1" t="s">
        <v>74</v>
      </c>
      <c r="R474" s="1" t="s">
        <v>74</v>
      </c>
      <c r="S474" s="1" t="s">
        <v>74</v>
      </c>
      <c r="T474" s="1" t="s">
        <v>74</v>
      </c>
      <c r="U474" s="1" t="s">
        <v>74</v>
      </c>
      <c r="V474" s="1" t="s">
        <v>4202</v>
      </c>
      <c r="W474" s="1" t="s">
        <v>74</v>
      </c>
      <c r="X474" s="1" t="s">
        <v>74</v>
      </c>
      <c r="Y474" s="1" t="s">
        <v>74</v>
      </c>
      <c r="Z474" s="1" t="s">
        <v>74</v>
      </c>
      <c r="AA474" s="1" t="s">
        <v>4203</v>
      </c>
      <c r="AB474" s="1" t="s">
        <v>74</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4204</v>
      </c>
      <c r="AP474" s="1" t="s">
        <v>74</v>
      </c>
      <c r="AQ474" s="1" t="s">
        <v>74</v>
      </c>
      <c r="AR474" s="1" t="s">
        <v>74</v>
      </c>
      <c r="AS474" s="1" t="s">
        <v>74</v>
      </c>
      <c r="AT474" s="1" t="s">
        <v>974</v>
      </c>
      <c r="AU474" s="1">
        <v>1996.0</v>
      </c>
      <c r="AV474" s="1">
        <v>11.0</v>
      </c>
      <c r="AW474" s="1">
        <v>3.0</v>
      </c>
      <c r="AX474" s="1" t="s">
        <v>74</v>
      </c>
      <c r="AY474" s="1" t="s">
        <v>74</v>
      </c>
      <c r="AZ474" s="1" t="s">
        <v>74</v>
      </c>
      <c r="BA474" s="1" t="s">
        <v>74</v>
      </c>
      <c r="BB474" s="1">
        <v>249.0</v>
      </c>
      <c r="BC474" s="1">
        <v>253.0</v>
      </c>
      <c r="BD474" s="1" t="s">
        <v>74</v>
      </c>
      <c r="BE474" s="1" t="s">
        <v>4205</v>
      </c>
      <c r="BF474" s="2" t="str">
        <f>HYPERLINK("http://dx.doi.org/10.1002/(SICI)1098-2256(1996)11:3&lt;249::AID-TOX10&gt;3.0.CO;2-6","http://dx.doi.org/10.1002/(SICI)1098-2256(1996)11:3&lt;249::AID-TOX10&gt;3.0.CO;2-6")</f>
        <v>http://dx.doi.org/10.1002/(SICI)1098-2256(1996)11:3&lt;249::AID-TOX10&gt;3.0.CO;2-6</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4206</v>
      </c>
      <c r="BT474" s="1" t="str">
        <f>HYPERLINK("https%3A%2F%2Fwww.webofscience.com%2Fwos%2Fwoscc%2Ffull-record%2FWOS:A1996UZ23700010","View Full Record in Web of Science")</f>
        <v>View Full Record in Web of Science</v>
      </c>
    </row>
    <row r="475" ht="12.75" customHeight="1">
      <c r="A475" s="1" t="s">
        <v>72</v>
      </c>
      <c r="B475" s="1" t="s">
        <v>4207</v>
      </c>
      <c r="C475" s="1" t="s">
        <v>74</v>
      </c>
      <c r="D475" s="1" t="s">
        <v>74</v>
      </c>
      <c r="E475" s="1" t="s">
        <v>74</v>
      </c>
      <c r="F475" s="1" t="s">
        <v>4207</v>
      </c>
      <c r="G475" s="1" t="s">
        <v>74</v>
      </c>
      <c r="H475" s="1" t="s">
        <v>74</v>
      </c>
      <c r="I475" s="1" t="s">
        <v>4208</v>
      </c>
      <c r="J475" s="1" t="s">
        <v>864</v>
      </c>
      <c r="K475" s="1" t="s">
        <v>74</v>
      </c>
      <c r="L475" s="1" t="s">
        <v>74</v>
      </c>
      <c r="M475" s="1" t="s">
        <v>74</v>
      </c>
      <c r="N475" s="1" t="s">
        <v>74</v>
      </c>
      <c r="O475" s="1" t="s">
        <v>74</v>
      </c>
      <c r="P475" s="1" t="s">
        <v>74</v>
      </c>
      <c r="Q475" s="1" t="s">
        <v>74</v>
      </c>
      <c r="R475" s="1" t="s">
        <v>74</v>
      </c>
      <c r="S475" s="1" t="s">
        <v>74</v>
      </c>
      <c r="T475" s="1" t="s">
        <v>74</v>
      </c>
      <c r="U475" s="1" t="s">
        <v>74</v>
      </c>
      <c r="V475" s="1" t="s">
        <v>74</v>
      </c>
      <c r="W475" s="1" t="s">
        <v>74</v>
      </c>
      <c r="X475" s="1" t="s">
        <v>74</v>
      </c>
      <c r="Y475" s="1" t="s">
        <v>74</v>
      </c>
      <c r="Z475" s="1" t="s">
        <v>74</v>
      </c>
      <c r="AA475" s="1" t="s">
        <v>859</v>
      </c>
      <c r="AB475" s="1" t="s">
        <v>4209</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868</v>
      </c>
      <c r="AP475" s="1" t="s">
        <v>74</v>
      </c>
      <c r="AQ475" s="1" t="s">
        <v>74</v>
      </c>
      <c r="AR475" s="1" t="s">
        <v>74</v>
      </c>
      <c r="AS475" s="1" t="s">
        <v>74</v>
      </c>
      <c r="AT475" s="1" t="s">
        <v>410</v>
      </c>
      <c r="AU475" s="1">
        <v>1994.0</v>
      </c>
      <c r="AV475" s="1">
        <v>50.0</v>
      </c>
      <c r="AW475" s="1">
        <v>5.0</v>
      </c>
      <c r="AX475" s="1" t="s">
        <v>74</v>
      </c>
      <c r="AY475" s="1" t="s">
        <v>74</v>
      </c>
      <c r="AZ475" s="1" t="s">
        <v>74</v>
      </c>
      <c r="BA475" s="1" t="s">
        <v>74</v>
      </c>
      <c r="BB475" s="1">
        <v>4182.0</v>
      </c>
      <c r="BC475" s="1">
        <v>4186.0</v>
      </c>
      <c r="BD475" s="1" t="s">
        <v>74</v>
      </c>
      <c r="BE475" s="1" t="s">
        <v>4210</v>
      </c>
      <c r="BF475" s="2" t="str">
        <f>HYPERLINK("http://dx.doi.org/10.1103/PhysRevE.50.4182","http://dx.doi.org/10.1103/PhysRevE.50.4182")</f>
        <v>http://dx.doi.org/10.1103/PhysRevE.50.4182</v>
      </c>
      <c r="BG475" s="1" t="s">
        <v>74</v>
      </c>
      <c r="BH475" s="1" t="s">
        <v>74</v>
      </c>
      <c r="BI475" s="1" t="s">
        <v>74</v>
      </c>
      <c r="BJ475" s="1" t="s">
        <v>74</v>
      </c>
      <c r="BK475" s="1" t="s">
        <v>74</v>
      </c>
      <c r="BL475" s="1" t="s">
        <v>74</v>
      </c>
      <c r="BM475" s="1" t="s">
        <v>74</v>
      </c>
      <c r="BN475" s="1">
        <v>9962473.0</v>
      </c>
      <c r="BO475" s="1" t="s">
        <v>74</v>
      </c>
      <c r="BP475" s="1" t="s">
        <v>74</v>
      </c>
      <c r="BQ475" s="1" t="s">
        <v>74</v>
      </c>
      <c r="BR475" s="1" t="s">
        <v>74</v>
      </c>
      <c r="BS475" s="1" t="s">
        <v>4211</v>
      </c>
      <c r="BT475" s="1" t="str">
        <f>HYPERLINK("https%3A%2F%2Fwww.webofscience.com%2Fwos%2Fwoscc%2Ffull-record%2FWOS:A1994PV86300111","View Full Record in Web of Science")</f>
        <v>View Full Record in Web of Science</v>
      </c>
    </row>
    <row r="476" ht="12.75" customHeight="1">
      <c r="A476" s="1" t="s">
        <v>72</v>
      </c>
      <c r="B476" s="1" t="s">
        <v>1746</v>
      </c>
      <c r="C476" s="1" t="s">
        <v>74</v>
      </c>
      <c r="D476" s="1" t="s">
        <v>74</v>
      </c>
      <c r="E476" s="1" t="s">
        <v>74</v>
      </c>
      <c r="F476" s="1" t="s">
        <v>1746</v>
      </c>
      <c r="G476" s="1" t="s">
        <v>74</v>
      </c>
      <c r="H476" s="1" t="s">
        <v>74</v>
      </c>
      <c r="I476" s="1" t="s">
        <v>4212</v>
      </c>
      <c r="J476" s="1" t="s">
        <v>4213</v>
      </c>
      <c r="K476" s="1" t="s">
        <v>74</v>
      </c>
      <c r="L476" s="1" t="s">
        <v>74</v>
      </c>
      <c r="M476" s="1" t="s">
        <v>74</v>
      </c>
      <c r="N476" s="1" t="s">
        <v>74</v>
      </c>
      <c r="O476" s="1" t="s">
        <v>74</v>
      </c>
      <c r="P476" s="1" t="s">
        <v>74</v>
      </c>
      <c r="Q476" s="1" t="s">
        <v>74</v>
      </c>
      <c r="R476" s="1" t="s">
        <v>74</v>
      </c>
      <c r="S476" s="1" t="s">
        <v>74</v>
      </c>
      <c r="T476" s="1" t="s">
        <v>74</v>
      </c>
      <c r="U476" s="1" t="s">
        <v>74</v>
      </c>
      <c r="V476" s="1" t="s">
        <v>4214</v>
      </c>
      <c r="W476" s="1" t="s">
        <v>74</v>
      </c>
      <c r="X476" s="1" t="s">
        <v>74</v>
      </c>
      <c r="Y476" s="1" t="s">
        <v>74</v>
      </c>
      <c r="Z476" s="1" t="s">
        <v>74</v>
      </c>
      <c r="AA476" s="1" t="s">
        <v>74</v>
      </c>
      <c r="AB476" s="1" t="s">
        <v>74</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4215</v>
      </c>
      <c r="AP476" s="1" t="s">
        <v>74</v>
      </c>
      <c r="AQ476" s="1" t="s">
        <v>74</v>
      </c>
      <c r="AR476" s="1" t="s">
        <v>74</v>
      </c>
      <c r="AS476" s="1" t="s">
        <v>74</v>
      </c>
      <c r="AT476" s="1" t="s">
        <v>193</v>
      </c>
      <c r="AU476" s="1">
        <v>1994.0</v>
      </c>
      <c r="AV476" s="1">
        <v>107.0</v>
      </c>
      <c r="AW476" s="1">
        <v>4.0</v>
      </c>
      <c r="AX476" s="1" t="s">
        <v>74</v>
      </c>
      <c r="AY476" s="1" t="s">
        <v>74</v>
      </c>
      <c r="AZ476" s="1" t="s">
        <v>74</v>
      </c>
      <c r="BA476" s="1" t="s">
        <v>74</v>
      </c>
      <c r="BB476" s="1">
        <v>597.0</v>
      </c>
      <c r="BC476" s="1">
        <v>610.0</v>
      </c>
      <c r="BD476" s="1" t="s">
        <v>74</v>
      </c>
      <c r="BE476" s="1" t="s">
        <v>4216</v>
      </c>
      <c r="BF476" s="2" t="str">
        <f>HYPERLINK("http://dx.doi.org/10.1007/BF02768794","http://dx.doi.org/10.1007/BF02768794")</f>
        <v>http://dx.doi.org/10.1007/BF02768794</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4217</v>
      </c>
      <c r="BT476" s="1" t="str">
        <f>HYPERLINK("https%3A%2F%2Fwww.webofscience.com%2Fwos%2Fwoscc%2Ffull-record%2FWOS:A1994NL48200010","View Full Record in Web of Science")</f>
        <v>View Full Record in Web of Science</v>
      </c>
    </row>
    <row r="477" ht="12.75" customHeight="1">
      <c r="A477" s="1" t="s">
        <v>72</v>
      </c>
      <c r="B477" s="1" t="s">
        <v>4218</v>
      </c>
      <c r="C477" s="1" t="s">
        <v>74</v>
      </c>
      <c r="D477" s="1" t="s">
        <v>74</v>
      </c>
      <c r="E477" s="1" t="s">
        <v>74</v>
      </c>
      <c r="F477" s="1" t="s">
        <v>4218</v>
      </c>
      <c r="G477" s="1" t="s">
        <v>74</v>
      </c>
      <c r="H477" s="1" t="s">
        <v>74</v>
      </c>
      <c r="I477" s="1" t="s">
        <v>4219</v>
      </c>
      <c r="J477" s="1" t="s">
        <v>748</v>
      </c>
      <c r="K477" s="1" t="s">
        <v>74</v>
      </c>
      <c r="L477" s="1" t="s">
        <v>74</v>
      </c>
      <c r="M477" s="1" t="s">
        <v>74</v>
      </c>
      <c r="N477" s="1" t="s">
        <v>74</v>
      </c>
      <c r="O477" s="1" t="s">
        <v>74</v>
      </c>
      <c r="P477" s="1" t="s">
        <v>74</v>
      </c>
      <c r="Q477" s="1" t="s">
        <v>74</v>
      </c>
      <c r="R477" s="1" t="s">
        <v>74</v>
      </c>
      <c r="S477" s="1" t="s">
        <v>74</v>
      </c>
      <c r="T477" s="1" t="s">
        <v>74</v>
      </c>
      <c r="U477" s="1" t="s">
        <v>74</v>
      </c>
      <c r="V477" s="1" t="s">
        <v>4220</v>
      </c>
      <c r="W477" s="1" t="s">
        <v>74</v>
      </c>
      <c r="X477" s="1" t="s">
        <v>74</v>
      </c>
      <c r="Y477" s="1" t="s">
        <v>74</v>
      </c>
      <c r="Z477" s="1" t="s">
        <v>74</v>
      </c>
      <c r="AA477" s="1" t="s">
        <v>74</v>
      </c>
      <c r="AB477" s="1" t="s">
        <v>74</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750</v>
      </c>
      <c r="AP477" s="1" t="s">
        <v>74</v>
      </c>
      <c r="AQ477" s="1" t="s">
        <v>74</v>
      </c>
      <c r="AR477" s="1" t="s">
        <v>74</v>
      </c>
      <c r="AS477" s="1" t="s">
        <v>74</v>
      </c>
      <c r="AT477" s="1" t="s">
        <v>256</v>
      </c>
      <c r="AU477" s="1">
        <v>1991.0</v>
      </c>
      <c r="AV477" s="1">
        <v>36.0</v>
      </c>
      <c r="AW477" s="1">
        <v>1.0</v>
      </c>
      <c r="AX477" s="1" t="s">
        <v>74</v>
      </c>
      <c r="AY477" s="1" t="s">
        <v>74</v>
      </c>
      <c r="AZ477" s="1" t="s">
        <v>74</v>
      </c>
      <c r="BA477" s="1" t="s">
        <v>74</v>
      </c>
      <c r="BB477" s="1">
        <v>17.0</v>
      </c>
      <c r="BC477" s="1">
        <v>22.0</v>
      </c>
      <c r="BD477" s="1" t="s">
        <v>74</v>
      </c>
      <c r="BE477" s="1" t="s">
        <v>74</v>
      </c>
      <c r="BF477" s="1" t="s">
        <v>74</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4221</v>
      </c>
      <c r="BT477" s="1" t="str">
        <f>HYPERLINK("https%3A%2F%2Fwww.webofscience.com%2Fwos%2Fwoscc%2Ffull-record%2FWOS:A1991FF13700004","View Full Record in Web of Science")</f>
        <v>View Full Record in Web of Science</v>
      </c>
    </row>
    <row r="478" ht="12.75" customHeight="1">
      <c r="A478" s="1" t="s">
        <v>72</v>
      </c>
      <c r="B478" s="1" t="s">
        <v>4222</v>
      </c>
      <c r="C478" s="1" t="s">
        <v>74</v>
      </c>
      <c r="D478" s="1" t="s">
        <v>74</v>
      </c>
      <c r="E478" s="1" t="s">
        <v>74</v>
      </c>
      <c r="F478" s="1" t="s">
        <v>4222</v>
      </c>
      <c r="G478" s="1" t="s">
        <v>74</v>
      </c>
      <c r="H478" s="1" t="s">
        <v>74</v>
      </c>
      <c r="I478" s="1" t="s">
        <v>4223</v>
      </c>
      <c r="J478" s="1" t="s">
        <v>4224</v>
      </c>
      <c r="K478" s="1" t="s">
        <v>74</v>
      </c>
      <c r="L478" s="1" t="s">
        <v>74</v>
      </c>
      <c r="M478" s="1" t="s">
        <v>74</v>
      </c>
      <c r="N478" s="1" t="s">
        <v>74</v>
      </c>
      <c r="O478" s="1" t="s">
        <v>74</v>
      </c>
      <c r="P478" s="1" t="s">
        <v>74</v>
      </c>
      <c r="Q478" s="1" t="s">
        <v>74</v>
      </c>
      <c r="R478" s="1" t="s">
        <v>74</v>
      </c>
      <c r="S478" s="1" t="s">
        <v>74</v>
      </c>
      <c r="T478" s="1" t="s">
        <v>74</v>
      </c>
      <c r="U478" s="1" t="s">
        <v>74</v>
      </c>
      <c r="V478" s="1" t="s">
        <v>74</v>
      </c>
      <c r="W478" s="1" t="s">
        <v>74</v>
      </c>
      <c r="X478" s="1" t="s">
        <v>74</v>
      </c>
      <c r="Y478" s="1" t="s">
        <v>74</v>
      </c>
      <c r="Z478" s="1" t="s">
        <v>74</v>
      </c>
      <c r="AA478" s="1" t="s">
        <v>4225</v>
      </c>
      <c r="AB478" s="1" t="s">
        <v>74</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4226</v>
      </c>
      <c r="AP478" s="1" t="s">
        <v>74</v>
      </c>
      <c r="AQ478" s="1" t="s">
        <v>74</v>
      </c>
      <c r="AR478" s="1" t="s">
        <v>74</v>
      </c>
      <c r="AS478" s="1" t="s">
        <v>74</v>
      </c>
      <c r="AT478" s="1" t="s">
        <v>74</v>
      </c>
      <c r="AU478" s="1">
        <v>1982.0</v>
      </c>
      <c r="AV478" s="1">
        <v>129.0</v>
      </c>
      <c r="AW478" s="1">
        <v>3.0</v>
      </c>
      <c r="AX478" s="1" t="s">
        <v>74</v>
      </c>
      <c r="AY478" s="1" t="s">
        <v>74</v>
      </c>
      <c r="AZ478" s="1" t="s">
        <v>74</v>
      </c>
      <c r="BA478" s="1" t="s">
        <v>74</v>
      </c>
      <c r="BB478" s="1" t="s">
        <v>4227</v>
      </c>
      <c r="BC478" s="1" t="s">
        <v>4227</v>
      </c>
      <c r="BD478" s="1" t="s">
        <v>74</v>
      </c>
      <c r="BE478" s="1" t="s">
        <v>74</v>
      </c>
      <c r="BF478" s="1" t="s">
        <v>74</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4228</v>
      </c>
      <c r="BT478" s="1" t="str">
        <f>HYPERLINK("https%3A%2F%2Fwww.webofscience.com%2Fwos%2Fwoscc%2Ffull-record%2FWOS:A1982NF15800719","View Full Record in Web of Science")</f>
        <v>View Full Record in Web of Science</v>
      </c>
    </row>
    <row r="479" ht="12.75" customHeight="1">
      <c r="A479" s="1" t="s">
        <v>72</v>
      </c>
      <c r="B479" s="1" t="s">
        <v>2552</v>
      </c>
      <c r="C479" s="1" t="s">
        <v>74</v>
      </c>
      <c r="D479" s="1" t="s">
        <v>74</v>
      </c>
      <c r="E479" s="1" t="s">
        <v>74</v>
      </c>
      <c r="F479" s="1" t="s">
        <v>2552</v>
      </c>
      <c r="G479" s="1" t="s">
        <v>74</v>
      </c>
      <c r="H479" s="1" t="s">
        <v>74</v>
      </c>
      <c r="I479" s="1" t="s">
        <v>4229</v>
      </c>
      <c r="J479" s="1" t="s">
        <v>2554</v>
      </c>
      <c r="K479" s="1" t="s">
        <v>74</v>
      </c>
      <c r="L479" s="1" t="s">
        <v>74</v>
      </c>
      <c r="M479" s="1" t="s">
        <v>74</v>
      </c>
      <c r="N479" s="1" t="s">
        <v>74</v>
      </c>
      <c r="O479" s="1" t="s">
        <v>74</v>
      </c>
      <c r="P479" s="1" t="s">
        <v>74</v>
      </c>
      <c r="Q479" s="1" t="s">
        <v>74</v>
      </c>
      <c r="R479" s="1" t="s">
        <v>74</v>
      </c>
      <c r="S479" s="1" t="s">
        <v>74</v>
      </c>
      <c r="T479" s="1" t="s">
        <v>74</v>
      </c>
      <c r="U479" s="1" t="s">
        <v>74</v>
      </c>
      <c r="V479" s="1" t="s">
        <v>74</v>
      </c>
      <c r="W479" s="1" t="s">
        <v>74</v>
      </c>
      <c r="X479" s="1" t="s">
        <v>74</v>
      </c>
      <c r="Y479" s="1" t="s">
        <v>74</v>
      </c>
      <c r="Z479" s="1" t="s">
        <v>74</v>
      </c>
      <c r="AA479" s="1" t="s">
        <v>74</v>
      </c>
      <c r="AB479" s="1" t="s">
        <v>74</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2555</v>
      </c>
      <c r="AP479" s="1" t="s">
        <v>74</v>
      </c>
      <c r="AQ479" s="1" t="s">
        <v>74</v>
      </c>
      <c r="AR479" s="1" t="s">
        <v>74</v>
      </c>
      <c r="AS479" s="1" t="s">
        <v>74</v>
      </c>
      <c r="AT479" s="1" t="s">
        <v>74</v>
      </c>
      <c r="AU479" s="1">
        <v>1980.0</v>
      </c>
      <c r="AV479" s="1">
        <v>81.0</v>
      </c>
      <c r="AW479" s="1">
        <v>2.0</v>
      </c>
      <c r="AX479" s="1" t="s">
        <v>74</v>
      </c>
      <c r="AY479" s="1" t="s">
        <v>74</v>
      </c>
      <c r="AZ479" s="1" t="s">
        <v>74</v>
      </c>
      <c r="BA479" s="1" t="s">
        <v>74</v>
      </c>
      <c r="BB479" s="1">
        <v>335.0</v>
      </c>
      <c r="BC479" s="1">
        <v>340.0</v>
      </c>
      <c r="BD479" s="1" t="s">
        <v>74</v>
      </c>
      <c r="BE479" s="1" t="s">
        <v>4230</v>
      </c>
      <c r="BF479" s="2" t="str">
        <f>HYPERLINK("http://dx.doi.org/10.1016/S0008-6215(00)85665-7","http://dx.doi.org/10.1016/S0008-6215(00)85665-7")</f>
        <v>http://dx.doi.org/10.1016/S0008-6215(00)85665-7</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4231</v>
      </c>
      <c r="BT479" s="1" t="str">
        <f>HYPERLINK("https%3A%2F%2Fwww.webofscience.com%2Fwos%2Fwoscc%2Ffull-record%2FWOS:A1980JX58600014","View Full Record in Web of Science")</f>
        <v>View Full Record in Web of Science</v>
      </c>
    </row>
    <row r="480" ht="12.75" customHeight="1">
      <c r="A480" s="1" t="s">
        <v>126</v>
      </c>
      <c r="B480" s="1" t="s">
        <v>4232</v>
      </c>
      <c r="C480" s="1" t="s">
        <v>74</v>
      </c>
      <c r="D480" s="1" t="s">
        <v>1840</v>
      </c>
      <c r="E480" s="1" t="s">
        <v>74</v>
      </c>
      <c r="F480" s="1" t="s">
        <v>4233</v>
      </c>
      <c r="G480" s="1" t="s">
        <v>74</v>
      </c>
      <c r="H480" s="1" t="s">
        <v>74</v>
      </c>
      <c r="I480" s="1" t="s">
        <v>4234</v>
      </c>
      <c r="J480" s="1" t="s">
        <v>2594</v>
      </c>
      <c r="K480" s="1" t="s">
        <v>1844</v>
      </c>
      <c r="L480" s="1" t="s">
        <v>74</v>
      </c>
      <c r="M480" s="1" t="s">
        <v>74</v>
      </c>
      <c r="N480" s="1" t="s">
        <v>74</v>
      </c>
      <c r="O480" s="1" t="s">
        <v>1845</v>
      </c>
      <c r="P480" s="1" t="s">
        <v>1846</v>
      </c>
      <c r="Q480" s="1" t="s">
        <v>1847</v>
      </c>
      <c r="R480" s="1" t="s">
        <v>74</v>
      </c>
      <c r="S480" s="1" t="s">
        <v>74</v>
      </c>
      <c r="T480" s="1" t="s">
        <v>74</v>
      </c>
      <c r="U480" s="1" t="s">
        <v>74</v>
      </c>
      <c r="V480" s="1" t="s">
        <v>4235</v>
      </c>
      <c r="W480" s="1" t="s">
        <v>74</v>
      </c>
      <c r="X480" s="1" t="s">
        <v>74</v>
      </c>
      <c r="Y480" s="1" t="s">
        <v>74</v>
      </c>
      <c r="Z480" s="1" t="s">
        <v>74</v>
      </c>
      <c r="AA480" s="1" t="s">
        <v>74</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1849</v>
      </c>
      <c r="AP480" s="1" t="s">
        <v>1850</v>
      </c>
      <c r="AQ480" s="1" t="s">
        <v>2596</v>
      </c>
      <c r="AR480" s="1" t="s">
        <v>74</v>
      </c>
      <c r="AS480" s="1" t="s">
        <v>74</v>
      </c>
      <c r="AT480" s="1" t="s">
        <v>74</v>
      </c>
      <c r="AU480" s="1">
        <v>2025.0</v>
      </c>
      <c r="AV480" s="1" t="s">
        <v>74</v>
      </c>
      <c r="AW480" s="1" t="s">
        <v>74</v>
      </c>
      <c r="AX480" s="1" t="s">
        <v>74</v>
      </c>
      <c r="AY480" s="1" t="s">
        <v>74</v>
      </c>
      <c r="AZ480" s="1" t="s">
        <v>74</v>
      </c>
      <c r="BA480" s="1" t="s">
        <v>74</v>
      </c>
      <c r="BB480" s="1">
        <v>373.0</v>
      </c>
      <c r="BC480" s="1">
        <v>380.0</v>
      </c>
      <c r="BD480" s="1" t="s">
        <v>74</v>
      </c>
      <c r="BE480" s="1" t="s">
        <v>4236</v>
      </c>
      <c r="BF480" s="2" t="str">
        <f>HYPERLINK("http://dx.doi.org/10.1007/978-3-031-72490-9_37","http://dx.doi.org/10.1007/978-3-031-72490-9_37")</f>
        <v>http://dx.doi.org/10.1007/978-3-031-72490-9_37</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4237</v>
      </c>
      <c r="BT480" s="1" t="str">
        <f>HYPERLINK("https%3A%2F%2Fwww.webofscience.com%2Fwos%2Fwoscc%2Ffull-record%2FWOS:001460827600037","View Full Record in Web of Science")</f>
        <v>View Full Record in Web of Science</v>
      </c>
    </row>
    <row r="481" ht="12.75" customHeight="1">
      <c r="A481" s="1" t="s">
        <v>72</v>
      </c>
      <c r="B481" s="1" t="s">
        <v>4238</v>
      </c>
      <c r="C481" s="1" t="s">
        <v>74</v>
      </c>
      <c r="D481" s="1" t="s">
        <v>74</v>
      </c>
      <c r="E481" s="1" t="s">
        <v>74</v>
      </c>
      <c r="F481" s="1" t="s">
        <v>4239</v>
      </c>
      <c r="G481" s="1" t="s">
        <v>74</v>
      </c>
      <c r="H481" s="1" t="s">
        <v>74</v>
      </c>
      <c r="I481" s="1" t="s">
        <v>4240</v>
      </c>
      <c r="J481" s="1" t="s">
        <v>4241</v>
      </c>
      <c r="K481" s="1" t="s">
        <v>74</v>
      </c>
      <c r="L481" s="1" t="s">
        <v>74</v>
      </c>
      <c r="M481" s="1" t="s">
        <v>74</v>
      </c>
      <c r="N481" s="1" t="s">
        <v>74</v>
      </c>
      <c r="O481" s="1" t="s">
        <v>74</v>
      </c>
      <c r="P481" s="1" t="s">
        <v>74</v>
      </c>
      <c r="Q481" s="1" t="s">
        <v>74</v>
      </c>
      <c r="R481" s="1" t="s">
        <v>74</v>
      </c>
      <c r="S481" s="1" t="s">
        <v>74</v>
      </c>
      <c r="T481" s="1" t="s">
        <v>74</v>
      </c>
      <c r="U481" s="1" t="s">
        <v>74</v>
      </c>
      <c r="V481" s="1" t="s">
        <v>4242</v>
      </c>
      <c r="W481" s="1" t="s">
        <v>74</v>
      </c>
      <c r="X481" s="1" t="s">
        <v>74</v>
      </c>
      <c r="Y481" s="1" t="s">
        <v>74</v>
      </c>
      <c r="Z481" s="1" t="s">
        <v>74</v>
      </c>
      <c r="AA481" s="1" t="s">
        <v>74</v>
      </c>
      <c r="AB481" s="1" t="s">
        <v>4243</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4244</v>
      </c>
      <c r="AP481" s="1" t="s">
        <v>4245</v>
      </c>
      <c r="AQ481" s="1" t="s">
        <v>74</v>
      </c>
      <c r="AR481" s="1" t="s">
        <v>74</v>
      </c>
      <c r="AS481" s="1" t="s">
        <v>74</v>
      </c>
      <c r="AT481" s="1" t="s">
        <v>148</v>
      </c>
      <c r="AU481" s="1">
        <v>2024.0</v>
      </c>
      <c r="AV481" s="1" t="s">
        <v>74</v>
      </c>
      <c r="AW481" s="1">
        <v>29.0</v>
      </c>
      <c r="AX481" s="1" t="s">
        <v>74</v>
      </c>
      <c r="AY481" s="1" t="s">
        <v>74</v>
      </c>
      <c r="AZ481" s="1" t="s">
        <v>74</v>
      </c>
      <c r="BA481" s="1" t="s">
        <v>74</v>
      </c>
      <c r="BB481" s="1" t="s">
        <v>74</v>
      </c>
      <c r="BC481" s="1" t="s">
        <v>74</v>
      </c>
      <c r="BD481" s="1" t="s">
        <v>74</v>
      </c>
      <c r="BE481" s="1" t="s">
        <v>4246</v>
      </c>
      <c r="BF481" s="2" t="str">
        <f>HYPERLINK("http://dx.doi.org/10.19053/uptc.20275137.n29.2024.15475","http://dx.doi.org/10.19053/uptc.20275137.n29.2024.15475")</f>
        <v>http://dx.doi.org/10.19053/uptc.20275137.n29.2024.15475</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4247</v>
      </c>
      <c r="BT481" s="1" t="str">
        <f>HYPERLINK("https%3A%2F%2Fwww.webofscience.com%2Fwos%2Fwoscc%2Ffull-record%2FWOS:001283361300007","View Full Record in Web of Science")</f>
        <v>View Full Record in Web of Science</v>
      </c>
    </row>
    <row r="482" ht="12.75" customHeight="1">
      <c r="A482" s="1" t="s">
        <v>72</v>
      </c>
      <c r="B482" s="1" t="s">
        <v>4248</v>
      </c>
      <c r="C482" s="1" t="s">
        <v>74</v>
      </c>
      <c r="D482" s="1" t="s">
        <v>74</v>
      </c>
      <c r="E482" s="1" t="s">
        <v>74</v>
      </c>
      <c r="F482" s="1" t="s">
        <v>4249</v>
      </c>
      <c r="G482" s="1" t="s">
        <v>74</v>
      </c>
      <c r="H482" s="1" t="s">
        <v>74</v>
      </c>
      <c r="I482" s="1" t="s">
        <v>4250</v>
      </c>
      <c r="J482" s="1" t="s">
        <v>3849</v>
      </c>
      <c r="K482" s="1" t="s">
        <v>74</v>
      </c>
      <c r="L482" s="1" t="s">
        <v>74</v>
      </c>
      <c r="M482" s="1" t="s">
        <v>74</v>
      </c>
      <c r="N482" s="1" t="s">
        <v>74</v>
      </c>
      <c r="O482" s="1" t="s">
        <v>74</v>
      </c>
      <c r="P482" s="1" t="s">
        <v>74</v>
      </c>
      <c r="Q482" s="1" t="s">
        <v>74</v>
      </c>
      <c r="R482" s="1" t="s">
        <v>74</v>
      </c>
      <c r="S482" s="1" t="s">
        <v>74</v>
      </c>
      <c r="T482" s="1" t="s">
        <v>74</v>
      </c>
      <c r="U482" s="1" t="s">
        <v>74</v>
      </c>
      <c r="V482" s="1" t="s">
        <v>4251</v>
      </c>
      <c r="W482" s="1" t="s">
        <v>74</v>
      </c>
      <c r="X482" s="1" t="s">
        <v>74</v>
      </c>
      <c r="Y482" s="1" t="s">
        <v>74</v>
      </c>
      <c r="Z482" s="1" t="s">
        <v>74</v>
      </c>
      <c r="AA482" s="1" t="s">
        <v>74</v>
      </c>
      <c r="AB482" s="1" t="s">
        <v>74</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3850</v>
      </c>
      <c r="AP482" s="1" t="s">
        <v>74</v>
      </c>
      <c r="AQ482" s="1" t="s">
        <v>74</v>
      </c>
      <c r="AR482" s="1" t="s">
        <v>74</v>
      </c>
      <c r="AS482" s="1" t="s">
        <v>74</v>
      </c>
      <c r="AT482" s="1" t="s">
        <v>74</v>
      </c>
      <c r="AU482" s="1">
        <v>2024.0</v>
      </c>
      <c r="AV482" s="1" t="s">
        <v>74</v>
      </c>
      <c r="AW482" s="1">
        <v>75.0</v>
      </c>
      <c r="AX482" s="1" t="s">
        <v>74</v>
      </c>
      <c r="AY482" s="1" t="s">
        <v>74</v>
      </c>
      <c r="AZ482" s="1" t="s">
        <v>74</v>
      </c>
      <c r="BA482" s="1" t="s">
        <v>74</v>
      </c>
      <c r="BB482" s="1" t="s">
        <v>74</v>
      </c>
      <c r="BC482" s="1" t="s">
        <v>74</v>
      </c>
      <c r="BD482" s="1" t="s">
        <v>74</v>
      </c>
      <c r="BE482" s="1" t="s">
        <v>4252</v>
      </c>
      <c r="BF482" s="2" t="str">
        <f>HYPERLINK("http://dx.doi.org/10.7764/Tl.75.182-221","http://dx.doi.org/10.7764/Tl.75.182-221")</f>
        <v>http://dx.doi.org/10.7764/Tl.75.182-221</v>
      </c>
      <c r="BG482" s="1" t="s">
        <v>74</v>
      </c>
      <c r="BH482" s="1" t="s">
        <v>74</v>
      </c>
      <c r="BI482" s="1" t="s">
        <v>74</v>
      </c>
      <c r="BJ482" s="1" t="s">
        <v>74</v>
      </c>
      <c r="BK482" s="1" t="s">
        <v>74</v>
      </c>
      <c r="BL482" s="1" t="s">
        <v>74</v>
      </c>
      <c r="BM482" s="1" t="s">
        <v>74</v>
      </c>
      <c r="BN482" s="1" t="s">
        <v>74</v>
      </c>
      <c r="BO482" s="1" t="s">
        <v>74</v>
      </c>
      <c r="BP482" s="1" t="s">
        <v>74</v>
      </c>
      <c r="BQ482" s="1" t="s">
        <v>74</v>
      </c>
      <c r="BR482" s="1" t="s">
        <v>74</v>
      </c>
      <c r="BS482" s="1" t="s">
        <v>4253</v>
      </c>
      <c r="BT482" s="1" t="str">
        <f>HYPERLINK("https%3A%2F%2Fwww.webofscience.com%2Fwos%2Fwoscc%2Ffull-record%2FWOS:001422260700008","View Full Record in Web of Science")</f>
        <v>View Full Record in Web of Science</v>
      </c>
    </row>
    <row r="483" ht="12.75" customHeight="1">
      <c r="A483" s="1" t="s">
        <v>72</v>
      </c>
      <c r="B483" s="1" t="s">
        <v>4254</v>
      </c>
      <c r="C483" s="1" t="s">
        <v>74</v>
      </c>
      <c r="D483" s="1" t="s">
        <v>74</v>
      </c>
      <c r="E483" s="1" t="s">
        <v>74</v>
      </c>
      <c r="F483" s="1" t="s">
        <v>4255</v>
      </c>
      <c r="G483" s="1" t="s">
        <v>74</v>
      </c>
      <c r="H483" s="1" t="s">
        <v>74</v>
      </c>
      <c r="I483" s="1" t="s">
        <v>4256</v>
      </c>
      <c r="J483" s="1" t="s">
        <v>4257</v>
      </c>
      <c r="K483" s="1" t="s">
        <v>74</v>
      </c>
      <c r="L483" s="1" t="s">
        <v>74</v>
      </c>
      <c r="M483" s="1" t="s">
        <v>74</v>
      </c>
      <c r="N483" s="1" t="s">
        <v>74</v>
      </c>
      <c r="O483" s="1" t="s">
        <v>74</v>
      </c>
      <c r="P483" s="1" t="s">
        <v>74</v>
      </c>
      <c r="Q483" s="1" t="s">
        <v>74</v>
      </c>
      <c r="R483" s="1" t="s">
        <v>74</v>
      </c>
      <c r="S483" s="1" t="s">
        <v>74</v>
      </c>
      <c r="T483" s="1" t="s">
        <v>74</v>
      </c>
      <c r="U483" s="1" t="s">
        <v>74</v>
      </c>
      <c r="V483" s="1" t="s">
        <v>4258</v>
      </c>
      <c r="W483" s="1" t="s">
        <v>74</v>
      </c>
      <c r="X483" s="1" t="s">
        <v>74</v>
      </c>
      <c r="Y483" s="1" t="s">
        <v>74</v>
      </c>
      <c r="Z483" s="1" t="s">
        <v>74</v>
      </c>
      <c r="AA483" s="1" t="s">
        <v>284</v>
      </c>
      <c r="AB483" s="1" t="s">
        <v>4259</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74</v>
      </c>
      <c r="AP483" s="1" t="s">
        <v>4260</v>
      </c>
      <c r="AQ483" s="1" t="s">
        <v>74</v>
      </c>
      <c r="AR483" s="1" t="s">
        <v>74</v>
      </c>
      <c r="AS483" s="1" t="s">
        <v>74</v>
      </c>
      <c r="AT483" s="1" t="s">
        <v>123</v>
      </c>
      <c r="AU483" s="1">
        <v>2024.0</v>
      </c>
      <c r="AV483" s="1">
        <v>14.0</v>
      </c>
      <c r="AW483" s="1">
        <v>2.0</v>
      </c>
      <c r="AX483" s="1" t="s">
        <v>74</v>
      </c>
      <c r="AY483" s="1" t="s">
        <v>74</v>
      </c>
      <c r="AZ483" s="1" t="s">
        <v>74</v>
      </c>
      <c r="BA483" s="1" t="s">
        <v>74</v>
      </c>
      <c r="BB483" s="1" t="s">
        <v>74</v>
      </c>
      <c r="BC483" s="1" t="s">
        <v>74</v>
      </c>
      <c r="BD483" s="1">
        <v>731.0</v>
      </c>
      <c r="BE483" s="1" t="s">
        <v>4261</v>
      </c>
      <c r="BF483" s="2" t="str">
        <f>HYPERLINK("http://dx.doi.org/10.3390/app14020731","http://dx.doi.org/10.3390/app14020731")</f>
        <v>http://dx.doi.org/10.3390/app14020731</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4262</v>
      </c>
      <c r="BT483" s="1" t="str">
        <f>HYPERLINK("https%3A%2F%2Fwww.webofscience.com%2Fwos%2Fwoscc%2Ffull-record%2FWOS:001149471900001","View Full Record in Web of Science")</f>
        <v>View Full Record in Web of Science</v>
      </c>
    </row>
    <row r="484" ht="12.75" customHeight="1">
      <c r="A484" s="1" t="s">
        <v>72</v>
      </c>
      <c r="B484" s="1" t="s">
        <v>4263</v>
      </c>
      <c r="C484" s="1" t="s">
        <v>74</v>
      </c>
      <c r="D484" s="1" t="s">
        <v>74</v>
      </c>
      <c r="E484" s="1" t="s">
        <v>74</v>
      </c>
      <c r="F484" s="1" t="s">
        <v>4264</v>
      </c>
      <c r="G484" s="1" t="s">
        <v>74</v>
      </c>
      <c r="H484" s="1" t="s">
        <v>74</v>
      </c>
      <c r="I484" s="1" t="s">
        <v>4265</v>
      </c>
      <c r="J484" s="1" t="s">
        <v>4266</v>
      </c>
      <c r="K484" s="1" t="s">
        <v>74</v>
      </c>
      <c r="L484" s="1" t="s">
        <v>74</v>
      </c>
      <c r="M484" s="1" t="s">
        <v>74</v>
      </c>
      <c r="N484" s="1" t="s">
        <v>74</v>
      </c>
      <c r="O484" s="1" t="s">
        <v>74</v>
      </c>
      <c r="P484" s="1" t="s">
        <v>74</v>
      </c>
      <c r="Q484" s="1" t="s">
        <v>74</v>
      </c>
      <c r="R484" s="1" t="s">
        <v>74</v>
      </c>
      <c r="S484" s="1" t="s">
        <v>74</v>
      </c>
      <c r="T484" s="1" t="s">
        <v>74</v>
      </c>
      <c r="U484" s="1" t="s">
        <v>74</v>
      </c>
      <c r="V484" s="1" t="s">
        <v>4267</v>
      </c>
      <c r="W484" s="1" t="s">
        <v>74</v>
      </c>
      <c r="X484" s="1" t="s">
        <v>74</v>
      </c>
      <c r="Y484" s="1" t="s">
        <v>74</v>
      </c>
      <c r="Z484" s="1" t="s">
        <v>74</v>
      </c>
      <c r="AA484" s="1" t="s">
        <v>4268</v>
      </c>
      <c r="AB484" s="1" t="s">
        <v>4269</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4270</v>
      </c>
      <c r="AP484" s="1" t="s">
        <v>74</v>
      </c>
      <c r="AQ484" s="1" t="s">
        <v>74</v>
      </c>
      <c r="AR484" s="1" t="s">
        <v>74</v>
      </c>
      <c r="AS484" s="1" t="s">
        <v>74</v>
      </c>
      <c r="AT484" s="1" t="s">
        <v>4271</v>
      </c>
      <c r="AU484" s="1">
        <v>2023.0</v>
      </c>
      <c r="AV484" s="1">
        <v>13.0</v>
      </c>
      <c r="AW484" s="1">
        <v>1.0</v>
      </c>
      <c r="AX484" s="1" t="s">
        <v>74</v>
      </c>
      <c r="AY484" s="1" t="s">
        <v>74</v>
      </c>
      <c r="AZ484" s="1" t="s">
        <v>74</v>
      </c>
      <c r="BA484" s="1" t="s">
        <v>74</v>
      </c>
      <c r="BB484" s="1" t="s">
        <v>74</v>
      </c>
      <c r="BC484" s="1" t="s">
        <v>74</v>
      </c>
      <c r="BD484" s="1">
        <v>16293.0</v>
      </c>
      <c r="BE484" s="1" t="s">
        <v>4272</v>
      </c>
      <c r="BF484" s="2" t="str">
        <f>HYPERLINK("http://dx.doi.org/10.1038/s41598-023-43531-x","http://dx.doi.org/10.1038/s41598-023-43531-x")</f>
        <v>http://dx.doi.org/10.1038/s41598-023-43531-x</v>
      </c>
      <c r="BG484" s="1" t="s">
        <v>74</v>
      </c>
      <c r="BH484" s="1" t="s">
        <v>74</v>
      </c>
      <c r="BI484" s="1" t="s">
        <v>74</v>
      </c>
      <c r="BJ484" s="1" t="s">
        <v>74</v>
      </c>
      <c r="BK484" s="1" t="s">
        <v>74</v>
      </c>
      <c r="BL484" s="1" t="s">
        <v>74</v>
      </c>
      <c r="BM484" s="1" t="s">
        <v>74</v>
      </c>
      <c r="BN484" s="1">
        <v>3.7770515E7</v>
      </c>
      <c r="BO484" s="1" t="s">
        <v>74</v>
      </c>
      <c r="BP484" s="1" t="s">
        <v>74</v>
      </c>
      <c r="BQ484" s="1" t="s">
        <v>74</v>
      </c>
      <c r="BR484" s="1" t="s">
        <v>74</v>
      </c>
      <c r="BS484" s="1" t="s">
        <v>4273</v>
      </c>
      <c r="BT484" s="1" t="str">
        <f>HYPERLINK("https%3A%2F%2Fwww.webofscience.com%2Fwos%2Fwoscc%2Ffull-record%2FWOS:001095487500069","View Full Record in Web of Science")</f>
        <v>View Full Record in Web of Science</v>
      </c>
    </row>
    <row r="485" ht="12.75" customHeight="1">
      <c r="A485" s="1" t="s">
        <v>72</v>
      </c>
      <c r="B485" s="1" t="s">
        <v>4274</v>
      </c>
      <c r="C485" s="1" t="s">
        <v>74</v>
      </c>
      <c r="D485" s="1" t="s">
        <v>74</v>
      </c>
      <c r="E485" s="1" t="s">
        <v>74</v>
      </c>
      <c r="F485" s="1" t="s">
        <v>4275</v>
      </c>
      <c r="G485" s="1" t="s">
        <v>74</v>
      </c>
      <c r="H485" s="1" t="s">
        <v>74</v>
      </c>
      <c r="I485" s="1" t="s">
        <v>4276</v>
      </c>
      <c r="J485" s="1" t="s">
        <v>2585</v>
      </c>
      <c r="K485" s="1" t="s">
        <v>74</v>
      </c>
      <c r="L485" s="1" t="s">
        <v>74</v>
      </c>
      <c r="M485" s="1" t="s">
        <v>74</v>
      </c>
      <c r="N485" s="1" t="s">
        <v>74</v>
      </c>
      <c r="O485" s="1" t="s">
        <v>74</v>
      </c>
      <c r="P485" s="1" t="s">
        <v>74</v>
      </c>
      <c r="Q485" s="1" t="s">
        <v>74</v>
      </c>
      <c r="R485" s="1" t="s">
        <v>74</v>
      </c>
      <c r="S485" s="1" t="s">
        <v>74</v>
      </c>
      <c r="T485" s="1" t="s">
        <v>74</v>
      </c>
      <c r="U485" s="1" t="s">
        <v>74</v>
      </c>
      <c r="V485" s="1" t="s">
        <v>4277</v>
      </c>
      <c r="W485" s="1" t="s">
        <v>74</v>
      </c>
      <c r="X485" s="1" t="s">
        <v>74</v>
      </c>
      <c r="Y485" s="1" t="s">
        <v>74</v>
      </c>
      <c r="Z485" s="1" t="s">
        <v>74</v>
      </c>
      <c r="AA485" s="1" t="s">
        <v>284</v>
      </c>
      <c r="AB485" s="1" t="s">
        <v>4278</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74</v>
      </c>
      <c r="AP485" s="1" t="s">
        <v>2588</v>
      </c>
      <c r="AQ485" s="1" t="s">
        <v>74</v>
      </c>
      <c r="AR485" s="1" t="s">
        <v>74</v>
      </c>
      <c r="AS485" s="1" t="s">
        <v>74</v>
      </c>
      <c r="AT485" s="1" t="s">
        <v>256</v>
      </c>
      <c r="AU485" s="1">
        <v>2023.0</v>
      </c>
      <c r="AV485" s="1">
        <v>11.0</v>
      </c>
      <c r="AW485" s="1">
        <v>3.0</v>
      </c>
      <c r="AX485" s="1" t="s">
        <v>74</v>
      </c>
      <c r="AY485" s="1" t="s">
        <v>74</v>
      </c>
      <c r="AZ485" s="1" t="s">
        <v>74</v>
      </c>
      <c r="BA485" s="1" t="s">
        <v>74</v>
      </c>
      <c r="BB485" s="1" t="s">
        <v>74</v>
      </c>
      <c r="BC485" s="1" t="s">
        <v>74</v>
      </c>
      <c r="BD485" s="1">
        <v>720.0</v>
      </c>
      <c r="BE485" s="1" t="s">
        <v>4279</v>
      </c>
      <c r="BF485" s="2" t="str">
        <f>HYPERLINK("http://dx.doi.org/10.3390/pr11030720","http://dx.doi.org/10.3390/pr11030720")</f>
        <v>http://dx.doi.org/10.3390/pr11030720</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4280</v>
      </c>
      <c r="BT485" s="1" t="str">
        <f>HYPERLINK("https%3A%2F%2Fwww.webofscience.com%2Fwos%2Fwoscc%2Ffull-record%2FWOS:000957847200001","View Full Record in Web of Science")</f>
        <v>View Full Record in Web of Science</v>
      </c>
    </row>
    <row r="486" ht="12.75" customHeight="1">
      <c r="A486" s="1" t="s">
        <v>72</v>
      </c>
      <c r="B486" s="1" t="s">
        <v>4281</v>
      </c>
      <c r="C486" s="1" t="s">
        <v>74</v>
      </c>
      <c r="D486" s="1" t="s">
        <v>74</v>
      </c>
      <c r="E486" s="1" t="s">
        <v>74</v>
      </c>
      <c r="F486" s="1" t="s">
        <v>4282</v>
      </c>
      <c r="G486" s="1" t="s">
        <v>74</v>
      </c>
      <c r="H486" s="1" t="s">
        <v>74</v>
      </c>
      <c r="I486" s="1" t="s">
        <v>4283</v>
      </c>
      <c r="J486" s="1" t="s">
        <v>3588</v>
      </c>
      <c r="K486" s="1" t="s">
        <v>74</v>
      </c>
      <c r="L486" s="1" t="s">
        <v>74</v>
      </c>
      <c r="M486" s="1" t="s">
        <v>74</v>
      </c>
      <c r="N486" s="1" t="s">
        <v>74</v>
      </c>
      <c r="O486" s="1" t="s">
        <v>74</v>
      </c>
      <c r="P486" s="1" t="s">
        <v>74</v>
      </c>
      <c r="Q486" s="1" t="s">
        <v>74</v>
      </c>
      <c r="R486" s="1" t="s">
        <v>74</v>
      </c>
      <c r="S486" s="1" t="s">
        <v>74</v>
      </c>
      <c r="T486" s="1" t="s">
        <v>74</v>
      </c>
      <c r="U486" s="1" t="s">
        <v>74</v>
      </c>
      <c r="V486" s="1" t="s">
        <v>4284</v>
      </c>
      <c r="W486" s="1" t="s">
        <v>74</v>
      </c>
      <c r="X486" s="1" t="s">
        <v>74</v>
      </c>
      <c r="Y486" s="1" t="s">
        <v>74</v>
      </c>
      <c r="Z486" s="1" t="s">
        <v>74</v>
      </c>
      <c r="AA486" s="1" t="s">
        <v>4285</v>
      </c>
      <c r="AB486" s="1" t="s">
        <v>74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3590</v>
      </c>
      <c r="AP486" s="1" t="s">
        <v>74</v>
      </c>
      <c r="AQ486" s="1" t="s">
        <v>74</v>
      </c>
      <c r="AR486" s="1" t="s">
        <v>74</v>
      </c>
      <c r="AS486" s="1" t="s">
        <v>74</v>
      </c>
      <c r="AT486" s="1" t="s">
        <v>123</v>
      </c>
      <c r="AU486" s="1">
        <v>2023.0</v>
      </c>
      <c r="AV486" s="1">
        <v>10.0</v>
      </c>
      <c r="AW486" s="1">
        <v>28.0</v>
      </c>
      <c r="AX486" s="1" t="s">
        <v>74</v>
      </c>
      <c r="AY486" s="1" t="s">
        <v>74</v>
      </c>
      <c r="AZ486" s="1" t="s">
        <v>74</v>
      </c>
      <c r="BA486" s="1" t="s">
        <v>74</v>
      </c>
      <c r="BB486" s="1">
        <v>77.0</v>
      </c>
      <c r="BC486" s="1">
        <v>100.0</v>
      </c>
      <c r="BD486" s="1" t="s">
        <v>74</v>
      </c>
      <c r="BE486" s="1" t="s">
        <v>4286</v>
      </c>
      <c r="BF486" s="2" t="str">
        <f>HYPERLINK("http://dx.doi.org/10.35588/rivar.v10i28.5343","http://dx.doi.org/10.35588/rivar.v10i28.5343")</f>
        <v>http://dx.doi.org/10.35588/rivar.v10i28.5343</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4287</v>
      </c>
      <c r="BT486" s="1" t="str">
        <f>HYPERLINK("https%3A%2F%2Fwww.webofscience.com%2Fwos%2Fwoscc%2Ffull-record%2FWOS:000981173700002","View Full Record in Web of Science")</f>
        <v>View Full Record in Web of Science</v>
      </c>
    </row>
    <row r="487" ht="12.75" customHeight="1">
      <c r="A487" s="1" t="s">
        <v>72</v>
      </c>
      <c r="B487" s="1" t="s">
        <v>4288</v>
      </c>
      <c r="C487" s="1" t="s">
        <v>74</v>
      </c>
      <c r="D487" s="1" t="s">
        <v>74</v>
      </c>
      <c r="E487" s="1" t="s">
        <v>74</v>
      </c>
      <c r="F487" s="1" t="s">
        <v>4289</v>
      </c>
      <c r="G487" s="1" t="s">
        <v>74</v>
      </c>
      <c r="H487" s="1" t="s">
        <v>74</v>
      </c>
      <c r="I487" s="1" t="s">
        <v>4290</v>
      </c>
      <c r="J487" s="1" t="s">
        <v>4291</v>
      </c>
      <c r="K487" s="1" t="s">
        <v>74</v>
      </c>
      <c r="L487" s="1" t="s">
        <v>74</v>
      </c>
      <c r="M487" s="1" t="s">
        <v>74</v>
      </c>
      <c r="N487" s="1" t="s">
        <v>74</v>
      </c>
      <c r="O487" s="1" t="s">
        <v>74</v>
      </c>
      <c r="P487" s="1" t="s">
        <v>74</v>
      </c>
      <c r="Q487" s="1" t="s">
        <v>74</v>
      </c>
      <c r="R487" s="1" t="s">
        <v>74</v>
      </c>
      <c r="S487" s="1" t="s">
        <v>74</v>
      </c>
      <c r="T487" s="1" t="s">
        <v>74</v>
      </c>
      <c r="U487" s="1" t="s">
        <v>74</v>
      </c>
      <c r="V487" s="1" t="s">
        <v>4292</v>
      </c>
      <c r="W487" s="1" t="s">
        <v>74</v>
      </c>
      <c r="X487" s="1" t="s">
        <v>74</v>
      </c>
      <c r="Y487" s="1" t="s">
        <v>74</v>
      </c>
      <c r="Z487" s="1" t="s">
        <v>74</v>
      </c>
      <c r="AA487" s="1" t="s">
        <v>983</v>
      </c>
      <c r="AB487" s="1" t="s">
        <v>4293</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4294</v>
      </c>
      <c r="AP487" s="1" t="s">
        <v>4295</v>
      </c>
      <c r="AQ487" s="1" t="s">
        <v>74</v>
      </c>
      <c r="AR487" s="1" t="s">
        <v>74</v>
      </c>
      <c r="AS487" s="1" t="s">
        <v>74</v>
      </c>
      <c r="AT487" s="1" t="s">
        <v>974</v>
      </c>
      <c r="AU487" s="1">
        <v>2022.0</v>
      </c>
      <c r="AV487" s="1">
        <v>17.0</v>
      </c>
      <c r="AW487" s="1">
        <v>4.0</v>
      </c>
      <c r="AX487" s="1" t="s">
        <v>74</v>
      </c>
      <c r="AY487" s="1" t="s">
        <v>74</v>
      </c>
      <c r="AZ487" s="1" t="s">
        <v>74</v>
      </c>
      <c r="BA487" s="1" t="s">
        <v>74</v>
      </c>
      <c r="BB487" s="1" t="s">
        <v>74</v>
      </c>
      <c r="BC487" s="1" t="s">
        <v>74</v>
      </c>
      <c r="BD487" s="1">
        <v>4863.0</v>
      </c>
      <c r="BE487" s="1" t="s">
        <v>4296</v>
      </c>
      <c r="BF487" s="2" t="str">
        <f>HYPERLINK("http://dx.doi.org/10.15837/ijccc.2022.4.4863","http://dx.doi.org/10.15837/ijccc.2022.4.4863")</f>
        <v>http://dx.doi.org/10.15837/ijccc.2022.4.4863</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4297</v>
      </c>
      <c r="BT487" s="1" t="str">
        <f>HYPERLINK("https%3A%2F%2Fwww.webofscience.com%2Fwos%2Fwoscc%2Ffull-record%2FWOS:000829406100002","View Full Record in Web of Science")</f>
        <v>View Full Record in Web of Science</v>
      </c>
    </row>
    <row r="488" ht="12.75" customHeight="1">
      <c r="A488" s="1" t="s">
        <v>72</v>
      </c>
      <c r="B488" s="1" t="s">
        <v>4298</v>
      </c>
      <c r="C488" s="1" t="s">
        <v>74</v>
      </c>
      <c r="D488" s="1" t="s">
        <v>74</v>
      </c>
      <c r="E488" s="1" t="s">
        <v>74</v>
      </c>
      <c r="F488" s="1" t="s">
        <v>4299</v>
      </c>
      <c r="G488" s="1" t="s">
        <v>74</v>
      </c>
      <c r="H488" s="1" t="s">
        <v>74</v>
      </c>
      <c r="I488" s="1" t="s">
        <v>4300</v>
      </c>
      <c r="J488" s="1" t="s">
        <v>4301</v>
      </c>
      <c r="K488" s="1" t="s">
        <v>74</v>
      </c>
      <c r="L488" s="1" t="s">
        <v>74</v>
      </c>
      <c r="M488" s="1" t="s">
        <v>74</v>
      </c>
      <c r="N488" s="1" t="s">
        <v>74</v>
      </c>
      <c r="O488" s="1" t="s">
        <v>74</v>
      </c>
      <c r="P488" s="1" t="s">
        <v>74</v>
      </c>
      <c r="Q488" s="1" t="s">
        <v>74</v>
      </c>
      <c r="R488" s="1" t="s">
        <v>74</v>
      </c>
      <c r="S488" s="1" t="s">
        <v>74</v>
      </c>
      <c r="T488" s="1" t="s">
        <v>74</v>
      </c>
      <c r="U488" s="1" t="s">
        <v>74</v>
      </c>
      <c r="V488" s="1" t="s">
        <v>4302</v>
      </c>
      <c r="W488" s="1" t="s">
        <v>74</v>
      </c>
      <c r="X488" s="1" t="s">
        <v>74</v>
      </c>
      <c r="Y488" s="1" t="s">
        <v>74</v>
      </c>
      <c r="Z488" s="1" t="s">
        <v>74</v>
      </c>
      <c r="AA488" s="1" t="s">
        <v>4303</v>
      </c>
      <c r="AB488" s="1" t="s">
        <v>74</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4304</v>
      </c>
      <c r="AP488" s="1" t="s">
        <v>4305</v>
      </c>
      <c r="AQ488" s="1" t="s">
        <v>74</v>
      </c>
      <c r="AR488" s="1" t="s">
        <v>74</v>
      </c>
      <c r="AS488" s="1" t="s">
        <v>74</v>
      </c>
      <c r="AT488" s="1" t="s">
        <v>256</v>
      </c>
      <c r="AU488" s="1">
        <v>2022.0</v>
      </c>
      <c r="AV488" s="1">
        <v>25.0</v>
      </c>
      <c r="AW488" s="1">
        <v>1.0</v>
      </c>
      <c r="AX488" s="1" t="s">
        <v>74</v>
      </c>
      <c r="AY488" s="1" t="s">
        <v>74</v>
      </c>
      <c r="AZ488" s="1" t="s">
        <v>74</v>
      </c>
      <c r="BA488" s="1" t="s">
        <v>74</v>
      </c>
      <c r="BB488" s="1">
        <v>93.0</v>
      </c>
      <c r="BC488" s="1">
        <v>120.0</v>
      </c>
      <c r="BD488" s="1" t="s">
        <v>74</v>
      </c>
      <c r="BE488" s="1" t="s">
        <v>4306</v>
      </c>
      <c r="BF488" s="2" t="str">
        <f>HYPERLINK("http://dx.doi.org/10.12802/relime.22.2514","http://dx.doi.org/10.12802/relime.22.2514")</f>
        <v>http://dx.doi.org/10.12802/relime.22.2514</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4307</v>
      </c>
      <c r="BT488" s="1" t="str">
        <f>HYPERLINK("https%3A%2F%2Fwww.webofscience.com%2Fwos%2Fwoscc%2Ffull-record%2FWOS:000848042700005","View Full Record in Web of Science")</f>
        <v>View Full Record in Web of Science</v>
      </c>
    </row>
    <row r="489" ht="12.75" customHeight="1">
      <c r="A489" s="1" t="s">
        <v>126</v>
      </c>
      <c r="B489" s="1" t="s">
        <v>4308</v>
      </c>
      <c r="C489" s="1" t="s">
        <v>74</v>
      </c>
      <c r="D489" s="1" t="s">
        <v>74</v>
      </c>
      <c r="E489" s="1" t="s">
        <v>128</v>
      </c>
      <c r="F489" s="1" t="s">
        <v>4309</v>
      </c>
      <c r="G489" s="1" t="s">
        <v>74</v>
      </c>
      <c r="H489" s="1" t="s">
        <v>74</v>
      </c>
      <c r="I489" s="1" t="s">
        <v>4310</v>
      </c>
      <c r="J489" s="1" t="s">
        <v>4311</v>
      </c>
      <c r="K489" s="1" t="s">
        <v>4312</v>
      </c>
      <c r="L489" s="1" t="s">
        <v>74</v>
      </c>
      <c r="M489" s="1" t="s">
        <v>74</v>
      </c>
      <c r="N489" s="1" t="s">
        <v>74</v>
      </c>
      <c r="O489" s="1" t="s">
        <v>4313</v>
      </c>
      <c r="P489" s="1" t="s">
        <v>4314</v>
      </c>
      <c r="Q489" s="1" t="s">
        <v>4315</v>
      </c>
      <c r="R489" s="1" t="s">
        <v>4316</v>
      </c>
      <c r="S489" s="1" t="s">
        <v>74</v>
      </c>
      <c r="T489" s="1" t="s">
        <v>74</v>
      </c>
      <c r="U489" s="1" t="s">
        <v>74</v>
      </c>
      <c r="V489" s="1" t="s">
        <v>4317</v>
      </c>
      <c r="W489" s="1" t="s">
        <v>74</v>
      </c>
      <c r="X489" s="1" t="s">
        <v>74</v>
      </c>
      <c r="Y489" s="1" t="s">
        <v>74</v>
      </c>
      <c r="Z489" s="1" t="s">
        <v>74</v>
      </c>
      <c r="AA489" s="1" t="s">
        <v>74</v>
      </c>
      <c r="AB489" s="1" t="s">
        <v>74</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4318</v>
      </c>
      <c r="AP489" s="1" t="s">
        <v>74</v>
      </c>
      <c r="AQ489" s="1" t="s">
        <v>4319</v>
      </c>
      <c r="AR489" s="1" t="s">
        <v>74</v>
      </c>
      <c r="AS489" s="1" t="s">
        <v>74</v>
      </c>
      <c r="AT489" s="1" t="s">
        <v>74</v>
      </c>
      <c r="AU489" s="1">
        <v>2022.0</v>
      </c>
      <c r="AV489" s="1" t="s">
        <v>74</v>
      </c>
      <c r="AW489" s="1" t="s">
        <v>74</v>
      </c>
      <c r="AX489" s="1" t="s">
        <v>74</v>
      </c>
      <c r="AY489" s="1" t="s">
        <v>74</v>
      </c>
      <c r="AZ489" s="1" t="s">
        <v>74</v>
      </c>
      <c r="BA489" s="1" t="s">
        <v>74</v>
      </c>
      <c r="BB489" s="1" t="s">
        <v>74</v>
      </c>
      <c r="BC489" s="1" t="s">
        <v>74</v>
      </c>
      <c r="BD489" s="1" t="s">
        <v>74</v>
      </c>
      <c r="BE489" s="1" t="s">
        <v>4320</v>
      </c>
      <c r="BF489" s="2" t="str">
        <f>HYPERLINK("http://dx.doi.org/10.1109/ICE/ITMC-IAMOT55089.2022.10033177","http://dx.doi.org/10.1109/ICE/ITMC-IAMOT55089.2022.10033177")</f>
        <v>http://dx.doi.org/10.1109/ICE/ITMC-IAMOT55089.2022.10033177</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4321</v>
      </c>
      <c r="BT489" s="1" t="str">
        <f>HYPERLINK("https%3A%2F%2Fwww.webofscience.com%2Fwos%2Fwoscc%2Ffull-record%2FWOS:000972671500047","View Full Record in Web of Science")</f>
        <v>View Full Record in Web of Science</v>
      </c>
    </row>
    <row r="490" ht="12.75" customHeight="1">
      <c r="A490" s="1" t="s">
        <v>72</v>
      </c>
      <c r="B490" s="1" t="s">
        <v>4322</v>
      </c>
      <c r="C490" s="1" t="s">
        <v>74</v>
      </c>
      <c r="D490" s="1" t="s">
        <v>74</v>
      </c>
      <c r="E490" s="1" t="s">
        <v>74</v>
      </c>
      <c r="F490" s="1" t="s">
        <v>4323</v>
      </c>
      <c r="G490" s="1" t="s">
        <v>74</v>
      </c>
      <c r="H490" s="1" t="s">
        <v>74</v>
      </c>
      <c r="I490" s="1" t="s">
        <v>4324</v>
      </c>
      <c r="J490" s="1" t="s">
        <v>166</v>
      </c>
      <c r="K490" s="1" t="s">
        <v>74</v>
      </c>
      <c r="L490" s="1" t="s">
        <v>74</v>
      </c>
      <c r="M490" s="1" t="s">
        <v>74</v>
      </c>
      <c r="N490" s="1" t="s">
        <v>74</v>
      </c>
      <c r="O490" s="1" t="s">
        <v>74</v>
      </c>
      <c r="P490" s="1" t="s">
        <v>74</v>
      </c>
      <c r="Q490" s="1" t="s">
        <v>74</v>
      </c>
      <c r="R490" s="1" t="s">
        <v>74</v>
      </c>
      <c r="S490" s="1" t="s">
        <v>74</v>
      </c>
      <c r="T490" s="1" t="s">
        <v>74</v>
      </c>
      <c r="U490" s="1" t="s">
        <v>74</v>
      </c>
      <c r="V490" s="1" t="s">
        <v>4325</v>
      </c>
      <c r="W490" s="1" t="s">
        <v>74</v>
      </c>
      <c r="X490" s="1" t="s">
        <v>74</v>
      </c>
      <c r="Y490" s="1" t="s">
        <v>74</v>
      </c>
      <c r="Z490" s="1" t="s">
        <v>74</v>
      </c>
      <c r="AA490" s="1" t="s">
        <v>74</v>
      </c>
      <c r="AB490" s="1" t="s">
        <v>74</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169</v>
      </c>
      <c r="AP490" s="1" t="s">
        <v>170</v>
      </c>
      <c r="AQ490" s="1" t="s">
        <v>74</v>
      </c>
      <c r="AR490" s="1" t="s">
        <v>74</v>
      </c>
      <c r="AS490" s="1" t="s">
        <v>74</v>
      </c>
      <c r="AT490" s="1" t="s">
        <v>74</v>
      </c>
      <c r="AU490" s="1">
        <v>2022.0</v>
      </c>
      <c r="AV490" s="1" t="s">
        <v>74</v>
      </c>
      <c r="AW490" s="1">
        <v>37.0</v>
      </c>
      <c r="AX490" s="1" t="s">
        <v>74</v>
      </c>
      <c r="AY490" s="1" t="s">
        <v>74</v>
      </c>
      <c r="AZ490" s="1" t="s">
        <v>74</v>
      </c>
      <c r="BA490" s="1" t="s">
        <v>74</v>
      </c>
      <c r="BB490" s="1">
        <v>44.0</v>
      </c>
      <c r="BC490" s="1">
        <v>59.0</v>
      </c>
      <c r="BD490" s="1" t="s">
        <v>74</v>
      </c>
      <c r="BE490" s="1" t="s">
        <v>4326</v>
      </c>
      <c r="BF490" s="2" t="str">
        <f>HYPERLINK("http://dx.doi.org/10.35588/estudav.v0i37.5431","http://dx.doi.org/10.35588/estudav.v0i37.5431")</f>
        <v>http://dx.doi.org/10.35588/estudav.v0i37.5431</v>
      </c>
      <c r="BG490" s="1" t="s">
        <v>74</v>
      </c>
      <c r="BH490" s="1" t="s">
        <v>74</v>
      </c>
      <c r="BI490" s="1" t="s">
        <v>74</v>
      </c>
      <c r="BJ490" s="1" t="s">
        <v>74</v>
      </c>
      <c r="BK490" s="1" t="s">
        <v>74</v>
      </c>
      <c r="BL490" s="1" t="s">
        <v>74</v>
      </c>
      <c r="BM490" s="1" t="s">
        <v>74</v>
      </c>
      <c r="BN490" s="1" t="s">
        <v>74</v>
      </c>
      <c r="BO490" s="1" t="s">
        <v>74</v>
      </c>
      <c r="BP490" s="1" t="s">
        <v>74</v>
      </c>
      <c r="BQ490" s="1" t="s">
        <v>74</v>
      </c>
      <c r="BR490" s="1" t="s">
        <v>74</v>
      </c>
      <c r="BS490" s="1" t="s">
        <v>4327</v>
      </c>
      <c r="BT490" s="1" t="str">
        <f>HYPERLINK("https%3A%2F%2Fwww.webofscience.com%2Fwos%2Fwoscc%2Ffull-record%2FWOS:000933168400004","View Full Record in Web of Science")</f>
        <v>View Full Record in Web of Science</v>
      </c>
    </row>
    <row r="491" ht="12.75" customHeight="1">
      <c r="A491" s="1" t="s">
        <v>72</v>
      </c>
      <c r="B491" s="1" t="s">
        <v>4328</v>
      </c>
      <c r="C491" s="1" t="s">
        <v>74</v>
      </c>
      <c r="D491" s="1" t="s">
        <v>74</v>
      </c>
      <c r="E491" s="1" t="s">
        <v>74</v>
      </c>
      <c r="F491" s="1" t="s">
        <v>4329</v>
      </c>
      <c r="G491" s="1" t="s">
        <v>74</v>
      </c>
      <c r="H491" s="1" t="s">
        <v>74</v>
      </c>
      <c r="I491" s="1" t="s">
        <v>4330</v>
      </c>
      <c r="J491" s="1" t="s">
        <v>981</v>
      </c>
      <c r="K491" s="1" t="s">
        <v>74</v>
      </c>
      <c r="L491" s="1" t="s">
        <v>74</v>
      </c>
      <c r="M491" s="1" t="s">
        <v>74</v>
      </c>
      <c r="N491" s="1" t="s">
        <v>74</v>
      </c>
      <c r="O491" s="1" t="s">
        <v>74</v>
      </c>
      <c r="P491" s="1" t="s">
        <v>74</v>
      </c>
      <c r="Q491" s="1" t="s">
        <v>74</v>
      </c>
      <c r="R491" s="1" t="s">
        <v>74</v>
      </c>
      <c r="S491" s="1" t="s">
        <v>74</v>
      </c>
      <c r="T491" s="1" t="s">
        <v>74</v>
      </c>
      <c r="U491" s="1" t="s">
        <v>74</v>
      </c>
      <c r="V491" s="1" t="s">
        <v>4331</v>
      </c>
      <c r="W491" s="1" t="s">
        <v>74</v>
      </c>
      <c r="X491" s="1" t="s">
        <v>74</v>
      </c>
      <c r="Y491" s="1" t="s">
        <v>74</v>
      </c>
      <c r="Z491" s="1" t="s">
        <v>74</v>
      </c>
      <c r="AA491" s="1" t="s">
        <v>4332</v>
      </c>
      <c r="AB491" s="1" t="s">
        <v>4333</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74</v>
      </c>
      <c r="AP491" s="1" t="s">
        <v>985</v>
      </c>
      <c r="AQ491" s="1" t="s">
        <v>74</v>
      </c>
      <c r="AR491" s="1" t="s">
        <v>74</v>
      </c>
      <c r="AS491" s="1" t="s">
        <v>74</v>
      </c>
      <c r="AT491" s="1" t="s">
        <v>410</v>
      </c>
      <c r="AU491" s="1">
        <v>2021.0</v>
      </c>
      <c r="AV491" s="1">
        <v>13.0</v>
      </c>
      <c r="AW491" s="1">
        <v>22.0</v>
      </c>
      <c r="AX491" s="1" t="s">
        <v>74</v>
      </c>
      <c r="AY491" s="1" t="s">
        <v>74</v>
      </c>
      <c r="AZ491" s="1" t="s">
        <v>74</v>
      </c>
      <c r="BA491" s="1" t="s">
        <v>74</v>
      </c>
      <c r="BB491" s="1" t="s">
        <v>74</v>
      </c>
      <c r="BC491" s="1" t="s">
        <v>74</v>
      </c>
      <c r="BD491" s="1">
        <v>12600.0</v>
      </c>
      <c r="BE491" s="1" t="s">
        <v>4334</v>
      </c>
      <c r="BF491" s="2" t="str">
        <f>HYPERLINK("http://dx.doi.org/10.3390/su132212600","http://dx.doi.org/10.3390/su132212600")</f>
        <v>http://dx.doi.org/10.3390/su132212600</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4335</v>
      </c>
      <c r="BT491" s="1" t="str">
        <f>HYPERLINK("https%3A%2F%2Fwww.webofscience.com%2Fwos%2Fwoscc%2Ffull-record%2FWOS:000725554200001","View Full Record in Web of Science")</f>
        <v>View Full Record in Web of Science</v>
      </c>
    </row>
    <row r="492" ht="12.75" customHeight="1">
      <c r="A492" s="1" t="s">
        <v>72</v>
      </c>
      <c r="B492" s="1" t="s">
        <v>4336</v>
      </c>
      <c r="C492" s="1" t="s">
        <v>74</v>
      </c>
      <c r="D492" s="1" t="s">
        <v>74</v>
      </c>
      <c r="E492" s="1" t="s">
        <v>74</v>
      </c>
      <c r="F492" s="1" t="s">
        <v>4337</v>
      </c>
      <c r="G492" s="1" t="s">
        <v>74</v>
      </c>
      <c r="H492" s="1" t="s">
        <v>74</v>
      </c>
      <c r="I492" s="1" t="s">
        <v>4338</v>
      </c>
      <c r="J492" s="1" t="s">
        <v>574</v>
      </c>
      <c r="K492" s="1" t="s">
        <v>74</v>
      </c>
      <c r="L492" s="1" t="s">
        <v>74</v>
      </c>
      <c r="M492" s="1" t="s">
        <v>74</v>
      </c>
      <c r="N492" s="1" t="s">
        <v>74</v>
      </c>
      <c r="O492" s="1" t="s">
        <v>74</v>
      </c>
      <c r="P492" s="1" t="s">
        <v>74</v>
      </c>
      <c r="Q492" s="1" t="s">
        <v>74</v>
      </c>
      <c r="R492" s="1" t="s">
        <v>74</v>
      </c>
      <c r="S492" s="1" t="s">
        <v>74</v>
      </c>
      <c r="T492" s="1" t="s">
        <v>74</v>
      </c>
      <c r="U492" s="1" t="s">
        <v>74</v>
      </c>
      <c r="V492" s="1" t="s">
        <v>4339</v>
      </c>
      <c r="W492" s="1" t="s">
        <v>74</v>
      </c>
      <c r="X492" s="1" t="s">
        <v>74</v>
      </c>
      <c r="Y492" s="1" t="s">
        <v>74</v>
      </c>
      <c r="Z492" s="1" t="s">
        <v>74</v>
      </c>
      <c r="AA492" s="1" t="s">
        <v>74</v>
      </c>
      <c r="AB492" s="1" t="s">
        <v>4340</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1748</v>
      </c>
      <c r="AP492" s="1" t="s">
        <v>1749</v>
      </c>
      <c r="AQ492" s="1" t="s">
        <v>74</v>
      </c>
      <c r="AR492" s="1" t="s">
        <v>74</v>
      </c>
      <c r="AS492" s="1" t="s">
        <v>74</v>
      </c>
      <c r="AT492" s="1" t="s">
        <v>4341</v>
      </c>
      <c r="AU492" s="1">
        <v>2021.0</v>
      </c>
      <c r="AV492" s="1">
        <v>103.0</v>
      </c>
      <c r="AW492" s="1">
        <v>12.0</v>
      </c>
      <c r="AX492" s="1" t="s">
        <v>74</v>
      </c>
      <c r="AY492" s="1" t="s">
        <v>74</v>
      </c>
      <c r="AZ492" s="1" t="s">
        <v>74</v>
      </c>
      <c r="BA492" s="1" t="s">
        <v>74</v>
      </c>
      <c r="BB492" s="1" t="s">
        <v>74</v>
      </c>
      <c r="BC492" s="1" t="s">
        <v>74</v>
      </c>
      <c r="BD492" s="1">
        <v>123505.0</v>
      </c>
      <c r="BE492" s="1" t="s">
        <v>4342</v>
      </c>
      <c r="BF492" s="2" t="str">
        <f>HYPERLINK("http://dx.doi.org/10.1103/PhysRevD.103.123505","http://dx.doi.org/10.1103/PhysRevD.103.123505")</f>
        <v>http://dx.doi.org/10.1103/PhysRevD.103.123505</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4343</v>
      </c>
      <c r="BT492" s="1" t="str">
        <f>HYPERLINK("https%3A%2F%2Fwww.webofscience.com%2Fwos%2Fwoscc%2Ffull-record%2FWOS:000661795300002","View Full Record in Web of Science")</f>
        <v>View Full Record in Web of Science</v>
      </c>
    </row>
    <row r="493" ht="12.75" customHeight="1">
      <c r="A493" s="1" t="s">
        <v>72</v>
      </c>
      <c r="B493" s="1" t="s">
        <v>4344</v>
      </c>
      <c r="C493" s="1" t="s">
        <v>74</v>
      </c>
      <c r="D493" s="1" t="s">
        <v>74</v>
      </c>
      <c r="E493" s="1" t="s">
        <v>74</v>
      </c>
      <c r="F493" s="1" t="s">
        <v>4345</v>
      </c>
      <c r="G493" s="1" t="s">
        <v>74</v>
      </c>
      <c r="H493" s="1" t="s">
        <v>74</v>
      </c>
      <c r="I493" s="1" t="s">
        <v>4346</v>
      </c>
      <c r="J493" s="1" t="s">
        <v>176</v>
      </c>
      <c r="K493" s="1" t="s">
        <v>74</v>
      </c>
      <c r="L493" s="1" t="s">
        <v>74</v>
      </c>
      <c r="M493" s="1" t="s">
        <v>74</v>
      </c>
      <c r="N493" s="1" t="s">
        <v>74</v>
      </c>
      <c r="O493" s="1" t="s">
        <v>74</v>
      </c>
      <c r="P493" s="1" t="s">
        <v>74</v>
      </c>
      <c r="Q493" s="1" t="s">
        <v>74</v>
      </c>
      <c r="R493" s="1" t="s">
        <v>74</v>
      </c>
      <c r="S493" s="1" t="s">
        <v>74</v>
      </c>
      <c r="T493" s="1" t="s">
        <v>74</v>
      </c>
      <c r="U493" s="1" t="s">
        <v>74</v>
      </c>
      <c r="V493" s="1" t="s">
        <v>4347</v>
      </c>
      <c r="W493" s="1" t="s">
        <v>74</v>
      </c>
      <c r="X493" s="1" t="s">
        <v>74</v>
      </c>
      <c r="Y493" s="1" t="s">
        <v>74</v>
      </c>
      <c r="Z493" s="1" t="s">
        <v>74</v>
      </c>
      <c r="AA493" s="1" t="s">
        <v>74</v>
      </c>
      <c r="AB493" s="1" t="s">
        <v>74</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178</v>
      </c>
      <c r="AP493" s="1" t="s">
        <v>74</v>
      </c>
      <c r="AQ493" s="1" t="s">
        <v>74</v>
      </c>
      <c r="AR493" s="1" t="s">
        <v>74</v>
      </c>
      <c r="AS493" s="1" t="s">
        <v>74</v>
      </c>
      <c r="AT493" s="1" t="s">
        <v>193</v>
      </c>
      <c r="AU493" s="1">
        <v>2021.0</v>
      </c>
      <c r="AV493" s="1">
        <v>50.0</v>
      </c>
      <c r="AW493" s="1" t="s">
        <v>74</v>
      </c>
      <c r="AX493" s="1" t="s">
        <v>74</v>
      </c>
      <c r="AY493" s="1" t="s">
        <v>74</v>
      </c>
      <c r="AZ493" s="1" t="s">
        <v>74</v>
      </c>
      <c r="BA493" s="1" t="s">
        <v>74</v>
      </c>
      <c r="BB493" s="1" t="s">
        <v>74</v>
      </c>
      <c r="BC493" s="1" t="s">
        <v>74</v>
      </c>
      <c r="BD493" s="1" t="s">
        <v>74</v>
      </c>
      <c r="BE493" s="1" t="s">
        <v>74</v>
      </c>
      <c r="BF493" s="1" t="s">
        <v>74</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4348</v>
      </c>
      <c r="BT493" s="1" t="str">
        <f>HYPERLINK("https%3A%2F%2Fwww.webofscience.com%2Fwos%2Fwoscc%2Ffull-record%2FWOS:000706614500017","View Full Record in Web of Science")</f>
        <v>View Full Record in Web of Science</v>
      </c>
    </row>
    <row r="494" ht="12.75" customHeight="1">
      <c r="A494" s="1" t="s">
        <v>72</v>
      </c>
      <c r="B494" s="1" t="s">
        <v>4349</v>
      </c>
      <c r="C494" s="1" t="s">
        <v>74</v>
      </c>
      <c r="D494" s="1" t="s">
        <v>74</v>
      </c>
      <c r="E494" s="1" t="s">
        <v>74</v>
      </c>
      <c r="F494" s="1" t="s">
        <v>4350</v>
      </c>
      <c r="G494" s="1" t="s">
        <v>74</v>
      </c>
      <c r="H494" s="1" t="s">
        <v>74</v>
      </c>
      <c r="I494" s="1" t="s">
        <v>4351</v>
      </c>
      <c r="J494" s="1" t="s">
        <v>4352</v>
      </c>
      <c r="K494" s="1" t="s">
        <v>74</v>
      </c>
      <c r="L494" s="1" t="s">
        <v>74</v>
      </c>
      <c r="M494" s="1" t="s">
        <v>74</v>
      </c>
      <c r="N494" s="1" t="s">
        <v>74</v>
      </c>
      <c r="O494" s="1" t="s">
        <v>74</v>
      </c>
      <c r="P494" s="1" t="s">
        <v>74</v>
      </c>
      <c r="Q494" s="1" t="s">
        <v>74</v>
      </c>
      <c r="R494" s="1" t="s">
        <v>74</v>
      </c>
      <c r="S494" s="1" t="s">
        <v>74</v>
      </c>
      <c r="T494" s="1" t="s">
        <v>74</v>
      </c>
      <c r="U494" s="1" t="s">
        <v>74</v>
      </c>
      <c r="V494" s="1" t="s">
        <v>4353</v>
      </c>
      <c r="W494" s="1" t="s">
        <v>74</v>
      </c>
      <c r="X494" s="1" t="s">
        <v>74</v>
      </c>
      <c r="Y494" s="1" t="s">
        <v>74</v>
      </c>
      <c r="Z494" s="1" t="s">
        <v>74</v>
      </c>
      <c r="AA494" s="1" t="s">
        <v>284</v>
      </c>
      <c r="AB494" s="1" t="s">
        <v>4354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4355</v>
      </c>
      <c r="AP494" s="1" t="s">
        <v>4356</v>
      </c>
      <c r="AQ494" s="1" t="s">
        <v>74</v>
      </c>
      <c r="AR494" s="1" t="s">
        <v>74</v>
      </c>
      <c r="AS494" s="1" t="s">
        <v>74</v>
      </c>
      <c r="AT494" s="1" t="s">
        <v>256</v>
      </c>
      <c r="AU494" s="1">
        <v>2021.0</v>
      </c>
      <c r="AV494" s="1">
        <v>90.0</v>
      </c>
      <c r="AW494" s="1" t="s">
        <v>74</v>
      </c>
      <c r="AX494" s="1" t="s">
        <v>74</v>
      </c>
      <c r="AY494" s="1" t="s">
        <v>74</v>
      </c>
      <c r="AZ494" s="1" t="s">
        <v>74</v>
      </c>
      <c r="BA494" s="1" t="s">
        <v>74</v>
      </c>
      <c r="BB494" s="1" t="s">
        <v>74</v>
      </c>
      <c r="BC494" s="1" t="s">
        <v>74</v>
      </c>
      <c r="BD494" s="1">
        <v>106951.0</v>
      </c>
      <c r="BE494" s="1" t="s">
        <v>4357</v>
      </c>
      <c r="BF494" s="2" t="str">
        <f>HYPERLINK("http://dx.doi.org/10.1016/j.compeleceng.2020.106951","http://dx.doi.org/10.1016/j.compeleceng.2020.106951")</f>
        <v>http://dx.doi.org/10.1016/j.compeleceng.2020.106951</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4358</v>
      </c>
      <c r="BT494" s="1" t="str">
        <f>HYPERLINK("https%3A%2F%2Fwww.webofscience.com%2Fwos%2Fwoscc%2Ffull-record%2FWOS:000643671500008","View Full Record in Web of Science")</f>
        <v>View Full Record in Web of Science</v>
      </c>
    </row>
    <row r="495" ht="12.75" customHeight="1">
      <c r="A495" s="1" t="s">
        <v>72</v>
      </c>
      <c r="B495" s="1" t="s">
        <v>4359</v>
      </c>
      <c r="C495" s="1" t="s">
        <v>74</v>
      </c>
      <c r="D495" s="1" t="s">
        <v>74</v>
      </c>
      <c r="E495" s="1" t="s">
        <v>74</v>
      </c>
      <c r="F495" s="1" t="s">
        <v>4360</v>
      </c>
      <c r="G495" s="1" t="s">
        <v>74</v>
      </c>
      <c r="H495" s="1" t="s">
        <v>74</v>
      </c>
      <c r="I495" s="1" t="s">
        <v>4361</v>
      </c>
      <c r="J495" s="1" t="s">
        <v>3650</v>
      </c>
      <c r="K495" s="1" t="s">
        <v>74</v>
      </c>
      <c r="L495" s="1" t="s">
        <v>74</v>
      </c>
      <c r="M495" s="1" t="s">
        <v>74</v>
      </c>
      <c r="N495" s="1" t="s">
        <v>74</v>
      </c>
      <c r="O495" s="1" t="s">
        <v>74</v>
      </c>
      <c r="P495" s="1" t="s">
        <v>74</v>
      </c>
      <c r="Q495" s="1" t="s">
        <v>74</v>
      </c>
      <c r="R495" s="1" t="s">
        <v>74</v>
      </c>
      <c r="S495" s="1" t="s">
        <v>74</v>
      </c>
      <c r="T495" s="1" t="s">
        <v>74</v>
      </c>
      <c r="U495" s="1" t="s">
        <v>74</v>
      </c>
      <c r="V495" s="1" t="s">
        <v>4362</v>
      </c>
      <c r="W495" s="1" t="s">
        <v>74</v>
      </c>
      <c r="X495" s="1" t="s">
        <v>74</v>
      </c>
      <c r="Y495" s="1" t="s">
        <v>74</v>
      </c>
      <c r="Z495" s="1" t="s">
        <v>74</v>
      </c>
      <c r="AA495" s="1" t="s">
        <v>74</v>
      </c>
      <c r="AB495" s="1" t="s">
        <v>4363</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3651</v>
      </c>
      <c r="AP495" s="1" t="s">
        <v>3652</v>
      </c>
      <c r="AQ495" s="1" t="s">
        <v>74</v>
      </c>
      <c r="AR495" s="1" t="s">
        <v>74</v>
      </c>
      <c r="AS495" s="1" t="s">
        <v>74</v>
      </c>
      <c r="AT495" s="1" t="s">
        <v>74</v>
      </c>
      <c r="AU495" s="1">
        <v>2021.0</v>
      </c>
      <c r="AV495" s="1">
        <v>21.0</v>
      </c>
      <c r="AW495" s="1">
        <v>1.0</v>
      </c>
      <c r="AX495" s="1" t="s">
        <v>74</v>
      </c>
      <c r="AY495" s="1" t="s">
        <v>74</v>
      </c>
      <c r="AZ495" s="1" t="s">
        <v>74</v>
      </c>
      <c r="BA495" s="1" t="s">
        <v>74</v>
      </c>
      <c r="BB495" s="1">
        <v>180.0</v>
      </c>
      <c r="BC495" s="1">
        <v>201.0</v>
      </c>
      <c r="BD495" s="1" t="s">
        <v>74</v>
      </c>
      <c r="BE495" s="1" t="s">
        <v>4364</v>
      </c>
      <c r="BF495" s="2" t="str">
        <f>HYPERLINK("http://dx.doi.org/10.4067/S0719-09482021000100180","http://dx.doi.org/10.4067/S0719-09482021000100180")</f>
        <v>http://dx.doi.org/10.4067/S0719-09482021000100180</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4365</v>
      </c>
      <c r="BT495" s="1" t="str">
        <f>HYPERLINK("https%3A%2F%2Fwww.webofscience.com%2Fwos%2Fwoscc%2Ffull-record%2FWOS:000680822300008","View Full Record in Web of Science")</f>
        <v>View Full Record in Web of Science</v>
      </c>
    </row>
    <row r="496" ht="12.75" customHeight="1">
      <c r="A496" s="1" t="s">
        <v>72</v>
      </c>
      <c r="B496" s="1" t="s">
        <v>4366</v>
      </c>
      <c r="C496" s="1" t="s">
        <v>74</v>
      </c>
      <c r="D496" s="1" t="s">
        <v>74</v>
      </c>
      <c r="E496" s="1" t="s">
        <v>74</v>
      </c>
      <c r="F496" s="1" t="s">
        <v>4367</v>
      </c>
      <c r="G496" s="1" t="s">
        <v>74</v>
      </c>
      <c r="H496" s="1" t="s">
        <v>74</v>
      </c>
      <c r="I496" s="1" t="s">
        <v>4368</v>
      </c>
      <c r="J496" s="1" t="s">
        <v>4369</v>
      </c>
      <c r="K496" s="1" t="s">
        <v>74</v>
      </c>
      <c r="L496" s="1" t="s">
        <v>74</v>
      </c>
      <c r="M496" s="1" t="s">
        <v>74</v>
      </c>
      <c r="N496" s="1" t="s">
        <v>74</v>
      </c>
      <c r="O496" s="1" t="s">
        <v>74</v>
      </c>
      <c r="P496" s="1" t="s">
        <v>74</v>
      </c>
      <c r="Q496" s="1" t="s">
        <v>74</v>
      </c>
      <c r="R496" s="1" t="s">
        <v>74</v>
      </c>
      <c r="S496" s="1" t="s">
        <v>74</v>
      </c>
      <c r="T496" s="1" t="s">
        <v>74</v>
      </c>
      <c r="U496" s="1" t="s">
        <v>74</v>
      </c>
      <c r="V496" s="1" t="s">
        <v>4370</v>
      </c>
      <c r="W496" s="1" t="s">
        <v>74</v>
      </c>
      <c r="X496" s="1" t="s">
        <v>74</v>
      </c>
      <c r="Y496" s="1" t="s">
        <v>74</v>
      </c>
      <c r="Z496" s="1" t="s">
        <v>74</v>
      </c>
      <c r="AA496" s="1" t="s">
        <v>4371</v>
      </c>
      <c r="AB496" s="1" t="s">
        <v>74</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4372</v>
      </c>
      <c r="AP496" s="1" t="s">
        <v>4373</v>
      </c>
      <c r="AQ496" s="1" t="s">
        <v>74</v>
      </c>
      <c r="AR496" s="1" t="s">
        <v>74</v>
      </c>
      <c r="AS496" s="1" t="s">
        <v>74</v>
      </c>
      <c r="AT496" s="1" t="s">
        <v>74</v>
      </c>
      <c r="AU496" s="1">
        <v>2021.0</v>
      </c>
      <c r="AV496" s="1">
        <v>17.0</v>
      </c>
      <c r="AW496" s="1" t="s">
        <v>74</v>
      </c>
      <c r="AX496" s="1" t="s">
        <v>74</v>
      </c>
      <c r="AY496" s="1" t="s">
        <v>74</v>
      </c>
      <c r="AZ496" s="1" t="s">
        <v>74</v>
      </c>
      <c r="BA496" s="1" t="s">
        <v>74</v>
      </c>
      <c r="BB496" s="1">
        <v>9.0</v>
      </c>
      <c r="BC496" s="1">
        <v>27.0</v>
      </c>
      <c r="BD496" s="1" t="s">
        <v>74</v>
      </c>
      <c r="BE496" s="1" t="s">
        <v>4374</v>
      </c>
      <c r="BF496" s="2" t="str">
        <f>HYPERLINK("http://dx.doi.org/10.5209/esim.78932","http://dx.doi.org/10.5209/esim.78932")</f>
        <v>http://dx.doi.org/10.5209/esim.78932</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4375</v>
      </c>
      <c r="BT496" s="1" t="str">
        <f>HYPERLINK("https%3A%2F%2Fwww.webofscience.com%2Fwos%2Fwoscc%2Ffull-record%2FWOS:000731356200001","View Full Record in Web of Science")</f>
        <v>View Full Record in Web of Science</v>
      </c>
    </row>
    <row r="497" ht="12.75" customHeight="1">
      <c r="A497" s="1" t="s">
        <v>72</v>
      </c>
      <c r="B497" s="1" t="s">
        <v>4376</v>
      </c>
      <c r="C497" s="1" t="s">
        <v>74</v>
      </c>
      <c r="D497" s="1" t="s">
        <v>74</v>
      </c>
      <c r="E497" s="1" t="s">
        <v>74</v>
      </c>
      <c r="F497" s="1" t="s">
        <v>4377</v>
      </c>
      <c r="G497" s="1" t="s">
        <v>74</v>
      </c>
      <c r="H497" s="1" t="s">
        <v>74</v>
      </c>
      <c r="I497" s="1" t="s">
        <v>4378</v>
      </c>
      <c r="J497" s="1" t="s">
        <v>1814</v>
      </c>
      <c r="K497" s="1" t="s">
        <v>74</v>
      </c>
      <c r="L497" s="1" t="s">
        <v>74</v>
      </c>
      <c r="M497" s="1" t="s">
        <v>74</v>
      </c>
      <c r="N497" s="1" t="s">
        <v>74</v>
      </c>
      <c r="O497" s="1" t="s">
        <v>74</v>
      </c>
      <c r="P497" s="1" t="s">
        <v>74</v>
      </c>
      <c r="Q497" s="1" t="s">
        <v>74</v>
      </c>
      <c r="R497" s="1" t="s">
        <v>74</v>
      </c>
      <c r="S497" s="1" t="s">
        <v>74</v>
      </c>
      <c r="T497" s="1" t="s">
        <v>74</v>
      </c>
      <c r="U497" s="1" t="s">
        <v>74</v>
      </c>
      <c r="V497" s="1" t="s">
        <v>4379</v>
      </c>
      <c r="W497" s="1" t="s">
        <v>74</v>
      </c>
      <c r="X497" s="1" t="s">
        <v>74</v>
      </c>
      <c r="Y497" s="1" t="s">
        <v>74</v>
      </c>
      <c r="Z497" s="1" t="s">
        <v>74</v>
      </c>
      <c r="AA497" s="1" t="s">
        <v>74</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1815</v>
      </c>
      <c r="AP497" s="1" t="s">
        <v>1816</v>
      </c>
      <c r="AQ497" s="1" t="s">
        <v>74</v>
      </c>
      <c r="AR497" s="1" t="s">
        <v>74</v>
      </c>
      <c r="AS497" s="1" t="s">
        <v>74</v>
      </c>
      <c r="AT497" s="1" t="s">
        <v>382</v>
      </c>
      <c r="AU497" s="1">
        <v>2021.0</v>
      </c>
      <c r="AV497" s="1" t="s">
        <v>74</v>
      </c>
      <c r="AW497" s="1">
        <v>43.0</v>
      </c>
      <c r="AX497" s="1" t="s">
        <v>74</v>
      </c>
      <c r="AY497" s="1" t="s">
        <v>74</v>
      </c>
      <c r="AZ497" s="1" t="s">
        <v>74</v>
      </c>
      <c r="BA497" s="1" t="s">
        <v>74</v>
      </c>
      <c r="BB497" s="1">
        <v>127.0</v>
      </c>
      <c r="BC497" s="1">
        <v>138.0</v>
      </c>
      <c r="BD497" s="1" t="s">
        <v>74</v>
      </c>
      <c r="BE497" s="1" t="s">
        <v>4380</v>
      </c>
      <c r="BF497" s="2" t="str">
        <f>HYPERLINK("http://dx.doi.org/10.5354/0719-1529.2021.58763","http://dx.doi.org/10.5354/0719-1529.2021.58763")</f>
        <v>http://dx.doi.org/10.5354/0719-1529.2021.58763</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4381</v>
      </c>
      <c r="BT497" s="1" t="str">
        <f>HYPERLINK("https%3A%2F%2Fwww.webofscience.com%2Fwos%2Fwoscc%2Ffull-record%2FWOS:000669453600011","View Full Record in Web of Science")</f>
        <v>View Full Record in Web of Science</v>
      </c>
    </row>
    <row r="498" ht="12.75" customHeight="1">
      <c r="A498" s="1" t="s">
        <v>126</v>
      </c>
      <c r="B498" s="1" t="s">
        <v>4382</v>
      </c>
      <c r="C498" s="1" t="s">
        <v>74</v>
      </c>
      <c r="D498" s="1" t="s">
        <v>74</v>
      </c>
      <c r="E498" s="1" t="s">
        <v>128</v>
      </c>
      <c r="F498" s="1" t="s">
        <v>4383</v>
      </c>
      <c r="G498" s="1" t="s">
        <v>74</v>
      </c>
      <c r="H498" s="1" t="s">
        <v>74</v>
      </c>
      <c r="I498" s="1" t="s">
        <v>4384</v>
      </c>
      <c r="J498" s="1" t="s">
        <v>1070</v>
      </c>
      <c r="K498" s="1" t="s">
        <v>74</v>
      </c>
      <c r="L498" s="1" t="s">
        <v>74</v>
      </c>
      <c r="M498" s="1" t="s">
        <v>74</v>
      </c>
      <c r="N498" s="1" t="s">
        <v>74</v>
      </c>
      <c r="O498" s="1" t="s">
        <v>1071</v>
      </c>
      <c r="P498" s="1" t="s">
        <v>1072</v>
      </c>
      <c r="Q498" s="1" t="s">
        <v>1073</v>
      </c>
      <c r="R498" s="1" t="s">
        <v>1074</v>
      </c>
      <c r="S498" s="1" t="s">
        <v>74</v>
      </c>
      <c r="T498" s="1" t="s">
        <v>74</v>
      </c>
      <c r="U498" s="1" t="s">
        <v>74</v>
      </c>
      <c r="V498" s="1" t="s">
        <v>4385</v>
      </c>
      <c r="W498" s="1" t="s">
        <v>74</v>
      </c>
      <c r="X498" s="1" t="s">
        <v>74</v>
      </c>
      <c r="Y498" s="1" t="s">
        <v>74</v>
      </c>
      <c r="Z498" s="1" t="s">
        <v>74</v>
      </c>
      <c r="AA498" s="1" t="s">
        <v>74</v>
      </c>
      <c r="AB498" s="1" t="s">
        <v>138</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74</v>
      </c>
      <c r="AP498" s="1" t="s">
        <v>74</v>
      </c>
      <c r="AQ498" s="1" t="s">
        <v>1078</v>
      </c>
      <c r="AR498" s="1" t="s">
        <v>74</v>
      </c>
      <c r="AS498" s="1" t="s">
        <v>74</v>
      </c>
      <c r="AT498" s="1" t="s">
        <v>74</v>
      </c>
      <c r="AU498" s="1">
        <v>2021.0</v>
      </c>
      <c r="AV498" s="1" t="s">
        <v>74</v>
      </c>
      <c r="AW498" s="1" t="s">
        <v>74</v>
      </c>
      <c r="AX498" s="1" t="s">
        <v>74</v>
      </c>
      <c r="AY498" s="1" t="s">
        <v>74</v>
      </c>
      <c r="AZ498" s="1" t="s">
        <v>74</v>
      </c>
      <c r="BA498" s="1" t="s">
        <v>74</v>
      </c>
      <c r="BB498" s="1" t="s">
        <v>74</v>
      </c>
      <c r="BC498" s="1" t="s">
        <v>74</v>
      </c>
      <c r="BD498" s="1" t="s">
        <v>74</v>
      </c>
      <c r="BE498" s="1" t="s">
        <v>4386</v>
      </c>
      <c r="BF498" s="2" t="str">
        <f>HYPERLINK("http://dx.doi.org/10.1109/ICAACCA51523.2021.9465263","http://dx.doi.org/10.1109/ICAACCA51523.2021.9465263")</f>
        <v>http://dx.doi.org/10.1109/ICAACCA51523.2021.9465263</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4387</v>
      </c>
      <c r="BT498" s="1" t="str">
        <f>HYPERLINK("https%3A%2F%2Fwww.webofscience.com%2Fwos%2Fwoscc%2Ffull-record%2FWOS:000855764500063","View Full Record in Web of Science")</f>
        <v>View Full Record in Web of Science</v>
      </c>
    </row>
    <row r="499" ht="12.75" customHeight="1">
      <c r="A499" s="1" t="s">
        <v>72</v>
      </c>
      <c r="B499" s="1" t="s">
        <v>4388</v>
      </c>
      <c r="C499" s="1" t="s">
        <v>74</v>
      </c>
      <c r="D499" s="1" t="s">
        <v>74</v>
      </c>
      <c r="E499" s="1" t="s">
        <v>74</v>
      </c>
      <c r="F499" s="1" t="s">
        <v>4389</v>
      </c>
      <c r="G499" s="1" t="s">
        <v>74</v>
      </c>
      <c r="H499" s="1" t="s">
        <v>74</v>
      </c>
      <c r="I499" s="1" t="s">
        <v>4390</v>
      </c>
      <c r="J499" s="1" t="s">
        <v>4391</v>
      </c>
      <c r="K499" s="1" t="s">
        <v>74</v>
      </c>
      <c r="L499" s="1" t="s">
        <v>74</v>
      </c>
      <c r="M499" s="1" t="s">
        <v>74</v>
      </c>
      <c r="N499" s="1" t="s">
        <v>74</v>
      </c>
      <c r="O499" s="1" t="s">
        <v>74</v>
      </c>
      <c r="P499" s="1" t="s">
        <v>74</v>
      </c>
      <c r="Q499" s="1" t="s">
        <v>74</v>
      </c>
      <c r="R499" s="1" t="s">
        <v>74</v>
      </c>
      <c r="S499" s="1" t="s">
        <v>74</v>
      </c>
      <c r="T499" s="1" t="s">
        <v>74</v>
      </c>
      <c r="U499" s="1" t="s">
        <v>74</v>
      </c>
      <c r="V499" s="1" t="s">
        <v>4392</v>
      </c>
      <c r="W499" s="1" t="s">
        <v>74</v>
      </c>
      <c r="X499" s="1" t="s">
        <v>74</v>
      </c>
      <c r="Y499" s="1" t="s">
        <v>74</v>
      </c>
      <c r="Z499" s="1" t="s">
        <v>74</v>
      </c>
      <c r="AA499" s="1" t="s">
        <v>74</v>
      </c>
      <c r="AB499" s="1" t="s">
        <v>74</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4393</v>
      </c>
      <c r="AP499" s="1" t="s">
        <v>74</v>
      </c>
      <c r="AQ499" s="1" t="s">
        <v>74</v>
      </c>
      <c r="AR499" s="1" t="s">
        <v>74</v>
      </c>
      <c r="AS499" s="1" t="s">
        <v>74</v>
      </c>
      <c r="AT499" s="1" t="s">
        <v>410</v>
      </c>
      <c r="AU499" s="1">
        <v>2020.0</v>
      </c>
      <c r="AV499" s="1">
        <v>6.0</v>
      </c>
      <c r="AW499" s="1" t="s">
        <v>74</v>
      </c>
      <c r="AX499" s="1" t="s">
        <v>74</v>
      </c>
      <c r="AY499" s="1" t="s">
        <v>74</v>
      </c>
      <c r="AZ499" s="1" t="s">
        <v>74</v>
      </c>
      <c r="BA499" s="1" t="s">
        <v>74</v>
      </c>
      <c r="BB499" s="1">
        <v>2140.0</v>
      </c>
      <c r="BC499" s="1">
        <v>2145.0</v>
      </c>
      <c r="BD499" s="1" t="s">
        <v>74</v>
      </c>
      <c r="BE499" s="1" t="s">
        <v>4394</v>
      </c>
      <c r="BF499" s="2" t="str">
        <f>HYPERLINK("http://dx.doi.org/10.1016/j.egyr.2020.08.005","http://dx.doi.org/10.1016/j.egyr.2020.08.005")</f>
        <v>http://dx.doi.org/10.1016/j.egyr.2020.08.005</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4395</v>
      </c>
      <c r="BT499" s="1" t="str">
        <f>HYPERLINK("https%3A%2F%2Fwww.webofscience.com%2Fwos%2Fwoscc%2Ffull-record%2FWOS:000602739800013","View Full Record in Web of Science")</f>
        <v>View Full Record in Web of Science</v>
      </c>
    </row>
    <row r="500" ht="12.75" customHeight="1">
      <c r="A500" s="1" t="s">
        <v>72</v>
      </c>
      <c r="B500" s="1" t="s">
        <v>4396</v>
      </c>
      <c r="C500" s="1" t="s">
        <v>74</v>
      </c>
      <c r="D500" s="1" t="s">
        <v>74</v>
      </c>
      <c r="E500" s="1" t="s">
        <v>74</v>
      </c>
      <c r="F500" s="1" t="s">
        <v>4397</v>
      </c>
      <c r="G500" s="1" t="s">
        <v>74</v>
      </c>
      <c r="H500" s="1" t="s">
        <v>74</v>
      </c>
      <c r="I500" s="1" t="s">
        <v>4398</v>
      </c>
      <c r="J500" s="1" t="s">
        <v>4399</v>
      </c>
      <c r="K500" s="1" t="s">
        <v>74</v>
      </c>
      <c r="L500" s="1" t="s">
        <v>74</v>
      </c>
      <c r="M500" s="1" t="s">
        <v>74</v>
      </c>
      <c r="N500" s="1" t="s">
        <v>74</v>
      </c>
      <c r="O500" s="1" t="s">
        <v>74</v>
      </c>
      <c r="P500" s="1" t="s">
        <v>74</v>
      </c>
      <c r="Q500" s="1" t="s">
        <v>74</v>
      </c>
      <c r="R500" s="1" t="s">
        <v>74</v>
      </c>
      <c r="S500" s="1" t="s">
        <v>74</v>
      </c>
      <c r="T500" s="1" t="s">
        <v>74</v>
      </c>
      <c r="U500" s="1" t="s">
        <v>74</v>
      </c>
      <c r="V500" s="1" t="s">
        <v>4400</v>
      </c>
      <c r="W500" s="1" t="s">
        <v>74</v>
      </c>
      <c r="X500" s="1" t="s">
        <v>74</v>
      </c>
      <c r="Y500" s="1" t="s">
        <v>74</v>
      </c>
      <c r="Z500" s="1" t="s">
        <v>74</v>
      </c>
      <c r="AA500" s="1" t="s">
        <v>74</v>
      </c>
      <c r="AB500" s="1" t="s">
        <v>74</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74</v>
      </c>
      <c r="AP500" s="1" t="s">
        <v>4401</v>
      </c>
      <c r="AQ500" s="1" t="s">
        <v>74</v>
      </c>
      <c r="AR500" s="1" t="s">
        <v>74</v>
      </c>
      <c r="AS500" s="1" t="s">
        <v>74</v>
      </c>
      <c r="AT500" s="1" t="s">
        <v>158</v>
      </c>
      <c r="AU500" s="1">
        <v>2020.0</v>
      </c>
      <c r="AV500" s="1">
        <v>6.0</v>
      </c>
      <c r="AW500" s="1">
        <v>3.0</v>
      </c>
      <c r="AX500" s="1" t="s">
        <v>74</v>
      </c>
      <c r="AY500" s="1" t="s">
        <v>74</v>
      </c>
      <c r="AZ500" s="1" t="s">
        <v>74</v>
      </c>
      <c r="BA500" s="1" t="s">
        <v>74</v>
      </c>
      <c r="BB500" s="1" t="s">
        <v>74</v>
      </c>
      <c r="BC500" s="1" t="s">
        <v>74</v>
      </c>
      <c r="BD500" s="1">
        <v>149.0</v>
      </c>
      <c r="BE500" s="1" t="s">
        <v>4402</v>
      </c>
      <c r="BF500" s="2" t="str">
        <f>HYPERLINK("http://dx.doi.org/10.3390/jof6030149","http://dx.doi.org/10.3390/jof6030149")</f>
        <v>http://dx.doi.org/10.3390/jof6030149</v>
      </c>
      <c r="BG500" s="1" t="s">
        <v>74</v>
      </c>
      <c r="BH500" s="1" t="s">
        <v>74</v>
      </c>
      <c r="BI500" s="1" t="s">
        <v>74</v>
      </c>
      <c r="BJ500" s="1" t="s">
        <v>74</v>
      </c>
      <c r="BK500" s="1" t="s">
        <v>74</v>
      </c>
      <c r="BL500" s="1" t="s">
        <v>74</v>
      </c>
      <c r="BM500" s="1" t="s">
        <v>74</v>
      </c>
      <c r="BN500" s="1">
        <v>3.2858807E7</v>
      </c>
      <c r="BO500" s="1" t="s">
        <v>74</v>
      </c>
      <c r="BP500" s="1" t="s">
        <v>74</v>
      </c>
      <c r="BQ500" s="1" t="s">
        <v>74</v>
      </c>
      <c r="BR500" s="1" t="s">
        <v>74</v>
      </c>
      <c r="BS500" s="1" t="s">
        <v>4403</v>
      </c>
      <c r="BT500" s="1" t="str">
        <f>HYPERLINK("https%3A%2F%2Fwww.webofscience.com%2Fwos%2Fwoscc%2Ffull-record%2FWOS:000580707900001","View Full Record in Web of Science")</f>
        <v>View Full Record in Web of Science</v>
      </c>
    </row>
    <row r="501" ht="12.75" customHeight="1">
      <c r="A501" s="1" t="s">
        <v>72</v>
      </c>
      <c r="B501" s="1" t="s">
        <v>4404</v>
      </c>
      <c r="C501" s="1" t="s">
        <v>74</v>
      </c>
      <c r="D501" s="1" t="s">
        <v>74</v>
      </c>
      <c r="E501" s="1" t="s">
        <v>74</v>
      </c>
      <c r="F501" s="1" t="s">
        <v>4405</v>
      </c>
      <c r="G501" s="1" t="s">
        <v>74</v>
      </c>
      <c r="H501" s="1" t="s">
        <v>74</v>
      </c>
      <c r="I501" s="1" t="s">
        <v>4406</v>
      </c>
      <c r="J501" s="1" t="s">
        <v>4407</v>
      </c>
      <c r="K501" s="1" t="s">
        <v>74</v>
      </c>
      <c r="L501" s="1" t="s">
        <v>74</v>
      </c>
      <c r="M501" s="1" t="s">
        <v>74</v>
      </c>
      <c r="N501" s="1" t="s">
        <v>74</v>
      </c>
      <c r="O501" s="1" t="s">
        <v>74</v>
      </c>
      <c r="P501" s="1" t="s">
        <v>74</v>
      </c>
      <c r="Q501" s="1" t="s">
        <v>74</v>
      </c>
      <c r="R501" s="1" t="s">
        <v>74</v>
      </c>
      <c r="S501" s="1" t="s">
        <v>74</v>
      </c>
      <c r="T501" s="1" t="s">
        <v>74</v>
      </c>
      <c r="U501" s="1" t="s">
        <v>74</v>
      </c>
      <c r="V501" s="1" t="s">
        <v>74</v>
      </c>
      <c r="W501" s="1" t="s">
        <v>74</v>
      </c>
      <c r="X501" s="1" t="s">
        <v>74</v>
      </c>
      <c r="Y501" s="1" t="s">
        <v>74</v>
      </c>
      <c r="Z501" s="1" t="s">
        <v>74</v>
      </c>
      <c r="AA501" s="1" t="s">
        <v>74</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4408</v>
      </c>
      <c r="AP501" s="1" t="s">
        <v>4409</v>
      </c>
      <c r="AQ501" s="1" t="s">
        <v>74</v>
      </c>
      <c r="AR501" s="1" t="s">
        <v>74</v>
      </c>
      <c r="AS501" s="1" t="s">
        <v>74</v>
      </c>
      <c r="AT501" s="1" t="s">
        <v>974</v>
      </c>
      <c r="AU501" s="1">
        <v>2020.0</v>
      </c>
      <c r="AV501" s="1">
        <v>50.0</v>
      </c>
      <c r="AW501" s="1">
        <v>2.0</v>
      </c>
      <c r="AX501" s="1" t="s">
        <v>74</v>
      </c>
      <c r="AY501" s="1" t="s">
        <v>74</v>
      </c>
      <c r="AZ501" s="1" t="s">
        <v>74</v>
      </c>
      <c r="BA501" s="1" t="s">
        <v>74</v>
      </c>
      <c r="BB501" s="1">
        <v>303.0</v>
      </c>
      <c r="BC501" s="1">
        <v>304.0</v>
      </c>
      <c r="BD501" s="1" t="s">
        <v>74</v>
      </c>
      <c r="BE501" s="1" t="s">
        <v>4410</v>
      </c>
      <c r="BF501" s="2" t="str">
        <f>HYPERLINK("http://dx.doi.org/10.1017/S0025100318000178","http://dx.doi.org/10.1017/S0025100318000178")</f>
        <v>http://dx.doi.org/10.1017/S0025100318000178</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4411</v>
      </c>
      <c r="BT501" s="1" t="str">
        <f>HYPERLINK("https%3A%2F%2Fwww.webofscience.com%2Fwos%2Fwoscc%2Ffull-record%2FWOS:000560019300011","View Full Record in Web of Science")</f>
        <v>View Full Record in Web of Science</v>
      </c>
    </row>
    <row r="502" ht="12.75" customHeight="1">
      <c r="A502" s="1" t="s">
        <v>72</v>
      </c>
      <c r="B502" s="1" t="s">
        <v>4412</v>
      </c>
      <c r="C502" s="1" t="s">
        <v>74</v>
      </c>
      <c r="D502" s="1" t="s">
        <v>74</v>
      </c>
      <c r="E502" s="1" t="s">
        <v>74</v>
      </c>
      <c r="F502" s="1" t="s">
        <v>4413</v>
      </c>
      <c r="G502" s="1" t="s">
        <v>74</v>
      </c>
      <c r="H502" s="1" t="s">
        <v>74</v>
      </c>
      <c r="I502" s="1" t="s">
        <v>4414</v>
      </c>
      <c r="J502" s="1" t="s">
        <v>153</v>
      </c>
      <c r="K502" s="1" t="s">
        <v>74</v>
      </c>
      <c r="L502" s="1" t="s">
        <v>74</v>
      </c>
      <c r="M502" s="1" t="s">
        <v>74</v>
      </c>
      <c r="N502" s="1" t="s">
        <v>74</v>
      </c>
      <c r="O502" s="1" t="s">
        <v>74</v>
      </c>
      <c r="P502" s="1" t="s">
        <v>74</v>
      </c>
      <c r="Q502" s="1" t="s">
        <v>74</v>
      </c>
      <c r="R502" s="1" t="s">
        <v>74</v>
      </c>
      <c r="S502" s="1" t="s">
        <v>74</v>
      </c>
      <c r="T502" s="1" t="s">
        <v>74</v>
      </c>
      <c r="U502" s="1" t="s">
        <v>74</v>
      </c>
      <c r="V502" s="1" t="s">
        <v>74</v>
      </c>
      <c r="W502" s="1" t="s">
        <v>74</v>
      </c>
      <c r="X502" s="1" t="s">
        <v>74</v>
      </c>
      <c r="Y502" s="1" t="s">
        <v>74</v>
      </c>
      <c r="Z502" s="1" t="s">
        <v>74</v>
      </c>
      <c r="AA502" s="1" t="s">
        <v>2577</v>
      </c>
      <c r="AB502" s="1" t="s">
        <v>4415</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156</v>
      </c>
      <c r="AP502" s="1" t="s">
        <v>157</v>
      </c>
      <c r="AQ502" s="1" t="s">
        <v>74</v>
      </c>
      <c r="AR502" s="1" t="s">
        <v>74</v>
      </c>
      <c r="AS502" s="1" t="s">
        <v>74</v>
      </c>
      <c r="AT502" s="1" t="s">
        <v>123</v>
      </c>
      <c r="AU502" s="1">
        <v>2021.0</v>
      </c>
      <c r="AV502" s="1">
        <v>25.0</v>
      </c>
      <c r="AW502" s="1">
        <v>1.0</v>
      </c>
      <c r="AX502" s="1" t="s">
        <v>74</v>
      </c>
      <c r="AY502" s="1" t="s">
        <v>74</v>
      </c>
      <c r="AZ502" s="1" t="s">
        <v>159</v>
      </c>
      <c r="BA502" s="1" t="s">
        <v>74</v>
      </c>
      <c r="BB502" s="1">
        <v>1.0</v>
      </c>
      <c r="BC502" s="1">
        <v>1.0</v>
      </c>
      <c r="BD502" s="1" t="s">
        <v>74</v>
      </c>
      <c r="BE502" s="1" t="s">
        <v>4416</v>
      </c>
      <c r="BF502" s="2" t="str">
        <f>HYPERLINK("http://dx.doi.org/10.1007/s10008-020-04675-2","http://dx.doi.org/10.1007/s10008-020-04675-2")</f>
        <v>http://dx.doi.org/10.1007/s10008-020-04675-2</v>
      </c>
      <c r="BG502" s="1" t="s">
        <v>74</v>
      </c>
      <c r="BH502" s="1" t="s">
        <v>161</v>
      </c>
      <c r="BI502" s="1" t="s">
        <v>74</v>
      </c>
      <c r="BJ502" s="1" t="s">
        <v>74</v>
      </c>
      <c r="BK502" s="1" t="s">
        <v>74</v>
      </c>
      <c r="BL502" s="1" t="s">
        <v>74</v>
      </c>
      <c r="BM502" s="1" t="s">
        <v>74</v>
      </c>
      <c r="BN502" s="1" t="s">
        <v>74</v>
      </c>
      <c r="BO502" s="1" t="s">
        <v>74</v>
      </c>
      <c r="BP502" s="1" t="s">
        <v>74</v>
      </c>
      <c r="BQ502" s="1" t="s">
        <v>74</v>
      </c>
      <c r="BR502" s="1" t="s">
        <v>74</v>
      </c>
      <c r="BS502" s="1" t="s">
        <v>4417</v>
      </c>
      <c r="BT502" s="1" t="str">
        <f>HYPERLINK("https%3A%2F%2Fwww.webofscience.com%2Fwos%2Fwoscc%2Ffull-record%2FWOS:000539671800002","View Full Record in Web of Science")</f>
        <v>View Full Record in Web of Science</v>
      </c>
    </row>
    <row r="503" ht="12.75" customHeight="1">
      <c r="A503" s="1" t="s">
        <v>72</v>
      </c>
      <c r="B503" s="1" t="s">
        <v>4418</v>
      </c>
      <c r="C503" s="1" t="s">
        <v>74</v>
      </c>
      <c r="D503" s="1" t="s">
        <v>74</v>
      </c>
      <c r="E503" s="1" t="s">
        <v>74</v>
      </c>
      <c r="F503" s="1" t="s">
        <v>4419</v>
      </c>
      <c r="G503" s="1" t="s">
        <v>74</v>
      </c>
      <c r="H503" s="1" t="s">
        <v>74</v>
      </c>
      <c r="I503" s="1" t="s">
        <v>4420</v>
      </c>
      <c r="J503" s="1" t="s">
        <v>4421</v>
      </c>
      <c r="K503" s="1" t="s">
        <v>74</v>
      </c>
      <c r="L503" s="1" t="s">
        <v>74</v>
      </c>
      <c r="M503" s="1" t="s">
        <v>74</v>
      </c>
      <c r="N503" s="1" t="s">
        <v>74</v>
      </c>
      <c r="O503" s="1" t="s">
        <v>74</v>
      </c>
      <c r="P503" s="1" t="s">
        <v>74</v>
      </c>
      <c r="Q503" s="1" t="s">
        <v>74</v>
      </c>
      <c r="R503" s="1" t="s">
        <v>74</v>
      </c>
      <c r="S503" s="1" t="s">
        <v>74</v>
      </c>
      <c r="T503" s="1" t="s">
        <v>74</v>
      </c>
      <c r="U503" s="1" t="s">
        <v>74</v>
      </c>
      <c r="V503" s="1" t="s">
        <v>4422</v>
      </c>
      <c r="W503" s="1" t="s">
        <v>74</v>
      </c>
      <c r="X503" s="1" t="s">
        <v>74</v>
      </c>
      <c r="Y503" s="1" t="s">
        <v>74</v>
      </c>
      <c r="Z503" s="1" t="s">
        <v>74</v>
      </c>
      <c r="AA503" s="1" t="s">
        <v>74</v>
      </c>
      <c r="AB503" s="1" t="s">
        <v>74</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74</v>
      </c>
      <c r="AP503" s="1" t="s">
        <v>4423</v>
      </c>
      <c r="AQ503" s="1" t="s">
        <v>74</v>
      </c>
      <c r="AR503" s="1" t="s">
        <v>74</v>
      </c>
      <c r="AS503" s="1" t="s">
        <v>74</v>
      </c>
      <c r="AT503" s="1" t="s">
        <v>74</v>
      </c>
      <c r="AU503" s="1">
        <v>2020.0</v>
      </c>
      <c r="AV503" s="1">
        <v>11.0</v>
      </c>
      <c r="AW503" s="1">
        <v>1.0</v>
      </c>
      <c r="AX503" s="1" t="s">
        <v>74</v>
      </c>
      <c r="AY503" s="1" t="s">
        <v>74</v>
      </c>
      <c r="AZ503" s="1" t="s">
        <v>74</v>
      </c>
      <c r="BA503" s="1" t="s">
        <v>74</v>
      </c>
      <c r="BB503" s="1">
        <v>79.0</v>
      </c>
      <c r="BC503" s="1">
        <v>111.0</v>
      </c>
      <c r="BD503" s="1" t="s">
        <v>74</v>
      </c>
      <c r="BE503" s="1" t="s">
        <v>4424</v>
      </c>
      <c r="BF503" s="2" t="str">
        <f>HYPERLINK("http://dx.doi.org/10.5281/zenodo.3872132","http://dx.doi.org/10.5281/zenodo.3872132")</f>
        <v>http://dx.doi.org/10.5281/zenodo.3872132</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4425</v>
      </c>
      <c r="BT503" s="1" t="str">
        <f>HYPERLINK("https%3A%2F%2Fwww.webofscience.com%2Fwos%2Fwoscc%2Ffull-record%2FWOS:000538173100003","View Full Record in Web of Science")</f>
        <v>View Full Record in Web of Science</v>
      </c>
    </row>
    <row r="504" ht="12.75" customHeight="1">
      <c r="A504" s="1" t="s">
        <v>105</v>
      </c>
      <c r="B504" s="1" t="s">
        <v>4426</v>
      </c>
      <c r="C504" s="1" t="s">
        <v>74</v>
      </c>
      <c r="D504" s="1" t="s">
        <v>74</v>
      </c>
      <c r="E504" s="1" t="s">
        <v>228</v>
      </c>
      <c r="F504" s="1" t="s">
        <v>4427</v>
      </c>
      <c r="G504" s="1" t="s">
        <v>74</v>
      </c>
      <c r="H504" s="1" t="s">
        <v>74</v>
      </c>
      <c r="I504" s="1" t="s">
        <v>4428</v>
      </c>
      <c r="J504" s="1" t="s">
        <v>1996</v>
      </c>
      <c r="K504" s="1" t="s">
        <v>74</v>
      </c>
      <c r="L504" s="1" t="s">
        <v>74</v>
      </c>
      <c r="M504" s="1" t="s">
        <v>74</v>
      </c>
      <c r="N504" s="1" t="s">
        <v>74</v>
      </c>
      <c r="O504" s="1" t="s">
        <v>74</v>
      </c>
      <c r="P504" s="1" t="s">
        <v>74</v>
      </c>
      <c r="Q504" s="1" t="s">
        <v>74</v>
      </c>
      <c r="R504" s="1" t="s">
        <v>74</v>
      </c>
      <c r="S504" s="1" t="s">
        <v>74</v>
      </c>
      <c r="T504" s="1" t="s">
        <v>74</v>
      </c>
      <c r="U504" s="1" t="s">
        <v>74</v>
      </c>
      <c r="V504" s="1" t="s">
        <v>4429</v>
      </c>
      <c r="W504" s="1" t="s">
        <v>74</v>
      </c>
      <c r="X504" s="1" t="s">
        <v>74</v>
      </c>
      <c r="Y504" s="1" t="s">
        <v>74</v>
      </c>
      <c r="Z504" s="1" t="s">
        <v>74</v>
      </c>
      <c r="AA504" s="1" t="s">
        <v>74</v>
      </c>
      <c r="AB504" s="1" t="s">
        <v>74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74</v>
      </c>
      <c r="AP504" s="1" t="s">
        <v>74</v>
      </c>
      <c r="AQ504" s="1" t="s">
        <v>1998</v>
      </c>
      <c r="AR504" s="1" t="s">
        <v>74</v>
      </c>
      <c r="AS504" s="1" t="s">
        <v>74</v>
      </c>
      <c r="AT504" s="1" t="s">
        <v>74</v>
      </c>
      <c r="AU504" s="1">
        <v>2020.0</v>
      </c>
      <c r="AV504" s="1" t="s">
        <v>74</v>
      </c>
      <c r="AW504" s="1" t="s">
        <v>74</v>
      </c>
      <c r="AX504" s="1" t="s">
        <v>74</v>
      </c>
      <c r="AY504" s="1" t="s">
        <v>74</v>
      </c>
      <c r="AZ504" s="1" t="s">
        <v>74</v>
      </c>
      <c r="BA504" s="1" t="s">
        <v>74</v>
      </c>
      <c r="BB504" s="1">
        <v>169.0</v>
      </c>
      <c r="BC504" s="1">
        <v>180.0</v>
      </c>
      <c r="BD504" s="1" t="s">
        <v>74</v>
      </c>
      <c r="BE504" s="1" t="s">
        <v>74</v>
      </c>
      <c r="BF504" s="1" t="s">
        <v>74</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4430</v>
      </c>
      <c r="BT504" s="1" t="str">
        <f>HYPERLINK("https%3A%2F%2Fwww.webofscience.com%2Fwos%2Fwoscc%2Ffull-record%2FWOS:000608874800011","View Full Record in Web of Science")</f>
        <v>View Full Record in Web of Science</v>
      </c>
    </row>
    <row r="505" ht="12.75" customHeight="1">
      <c r="A505" s="1" t="s">
        <v>72</v>
      </c>
      <c r="B505" s="1" t="s">
        <v>4431</v>
      </c>
      <c r="C505" s="1" t="s">
        <v>74</v>
      </c>
      <c r="D505" s="1" t="s">
        <v>74</v>
      </c>
      <c r="E505" s="1" t="s">
        <v>74</v>
      </c>
      <c r="F505" s="1" t="s">
        <v>4432</v>
      </c>
      <c r="G505" s="1" t="s">
        <v>74</v>
      </c>
      <c r="H505" s="1" t="s">
        <v>74</v>
      </c>
      <c r="I505" s="1" t="s">
        <v>4433</v>
      </c>
      <c r="J505" s="1" t="s">
        <v>1018</v>
      </c>
      <c r="K505" s="1" t="s">
        <v>74</v>
      </c>
      <c r="L505" s="1" t="s">
        <v>74</v>
      </c>
      <c r="M505" s="1" t="s">
        <v>74</v>
      </c>
      <c r="N505" s="1" t="s">
        <v>74</v>
      </c>
      <c r="O505" s="1" t="s">
        <v>74</v>
      </c>
      <c r="P505" s="1" t="s">
        <v>74</v>
      </c>
      <c r="Q505" s="1" t="s">
        <v>74</v>
      </c>
      <c r="R505" s="1" t="s">
        <v>74</v>
      </c>
      <c r="S505" s="1" t="s">
        <v>74</v>
      </c>
      <c r="T505" s="1" t="s">
        <v>74</v>
      </c>
      <c r="U505" s="1" t="s">
        <v>74</v>
      </c>
      <c r="V505" s="1" t="s">
        <v>74</v>
      </c>
      <c r="W505" s="1" t="s">
        <v>74</v>
      </c>
      <c r="X505" s="1" t="s">
        <v>74</v>
      </c>
      <c r="Y505" s="1" t="s">
        <v>74</v>
      </c>
      <c r="Z505" s="1" t="s">
        <v>74</v>
      </c>
      <c r="AA505" s="1" t="s">
        <v>74</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1020</v>
      </c>
      <c r="AP505" s="1" t="s">
        <v>1021</v>
      </c>
      <c r="AQ505" s="1" t="s">
        <v>74</v>
      </c>
      <c r="AR505" s="1" t="s">
        <v>74</v>
      </c>
      <c r="AS505" s="1" t="s">
        <v>74</v>
      </c>
      <c r="AT505" s="1" t="s">
        <v>4434</v>
      </c>
      <c r="AU505" s="1">
        <v>2020.0</v>
      </c>
      <c r="AV505" s="1" t="s">
        <v>74</v>
      </c>
      <c r="AW505" s="1">
        <v>34.0</v>
      </c>
      <c r="AX505" s="1" t="s">
        <v>74</v>
      </c>
      <c r="AY505" s="1" t="s">
        <v>74</v>
      </c>
      <c r="AZ505" s="1" t="s">
        <v>74</v>
      </c>
      <c r="BA505" s="1" t="s">
        <v>74</v>
      </c>
      <c r="BB505" s="1">
        <v>161.0</v>
      </c>
      <c r="BC505" s="1">
        <v>162.0</v>
      </c>
      <c r="BD505" s="1" t="s">
        <v>74</v>
      </c>
      <c r="BE505" s="1" t="s">
        <v>4435</v>
      </c>
      <c r="BF505" s="2" t="str">
        <f>HYPERLINK("http://dx.doi.org/10.29344/07180772.34.2367","http://dx.doi.org/10.29344/07180772.34.2367")</f>
        <v>http://dx.doi.org/10.29344/07180772.34.2367</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4436</v>
      </c>
      <c r="BT505" s="1" t="str">
        <f>HYPERLINK("https%3A%2F%2Fwww.webofscience.com%2Fwos%2Fwoscc%2Ffull-record%2FWOS:000551246700008","View Full Record in Web of Science")</f>
        <v>View Full Record in Web of Science</v>
      </c>
    </row>
    <row r="506" ht="12.75" customHeight="1">
      <c r="A506" s="1" t="s">
        <v>72</v>
      </c>
      <c r="B506" s="1" t="s">
        <v>4437</v>
      </c>
      <c r="C506" s="1" t="s">
        <v>74</v>
      </c>
      <c r="D506" s="1" t="s">
        <v>74</v>
      </c>
      <c r="E506" s="1" t="s">
        <v>74</v>
      </c>
      <c r="F506" s="1" t="s">
        <v>4438</v>
      </c>
      <c r="G506" s="1" t="s">
        <v>74</v>
      </c>
      <c r="H506" s="1" t="s">
        <v>74</v>
      </c>
      <c r="I506" s="1" t="s">
        <v>4439</v>
      </c>
      <c r="J506" s="1" t="s">
        <v>4440</v>
      </c>
      <c r="K506" s="1" t="s">
        <v>74</v>
      </c>
      <c r="L506" s="1" t="s">
        <v>74</v>
      </c>
      <c r="M506" s="1" t="s">
        <v>74</v>
      </c>
      <c r="N506" s="1" t="s">
        <v>74</v>
      </c>
      <c r="O506" s="1" t="s">
        <v>74</v>
      </c>
      <c r="P506" s="1" t="s">
        <v>74</v>
      </c>
      <c r="Q506" s="1" t="s">
        <v>74</v>
      </c>
      <c r="R506" s="1" t="s">
        <v>74</v>
      </c>
      <c r="S506" s="1" t="s">
        <v>74</v>
      </c>
      <c r="T506" s="1" t="s">
        <v>74</v>
      </c>
      <c r="U506" s="1" t="s">
        <v>74</v>
      </c>
      <c r="V506" s="1" t="s">
        <v>74</v>
      </c>
      <c r="W506" s="1" t="s">
        <v>74</v>
      </c>
      <c r="X506" s="1" t="s">
        <v>74</v>
      </c>
      <c r="Y506" s="1" t="s">
        <v>74</v>
      </c>
      <c r="Z506" s="1" t="s">
        <v>74</v>
      </c>
      <c r="AA506" s="1" t="s">
        <v>74</v>
      </c>
      <c r="AB506" s="1" t="s">
        <v>74</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4441</v>
      </c>
      <c r="AP506" s="1" t="s">
        <v>4442</v>
      </c>
      <c r="AQ506" s="1" t="s">
        <v>74</v>
      </c>
      <c r="AR506" s="1" t="s">
        <v>74</v>
      </c>
      <c r="AS506" s="1" t="s">
        <v>74</v>
      </c>
      <c r="AT506" s="1" t="s">
        <v>123</v>
      </c>
      <c r="AU506" s="1">
        <v>2020.0</v>
      </c>
      <c r="AV506" s="1">
        <v>55.0</v>
      </c>
      <c r="AW506" s="1">
        <v>1.0</v>
      </c>
      <c r="AX506" s="1" t="s">
        <v>74</v>
      </c>
      <c r="AY506" s="1" t="s">
        <v>74</v>
      </c>
      <c r="AZ506" s="1" t="s">
        <v>74</v>
      </c>
      <c r="BA506" s="1" t="s">
        <v>74</v>
      </c>
      <c r="BB506" s="1">
        <v>239.0</v>
      </c>
      <c r="BC506" s="1">
        <v>241.0</v>
      </c>
      <c r="BD506" s="1" t="s">
        <v>74</v>
      </c>
      <c r="BE506" s="1" t="s">
        <v>4443</v>
      </c>
      <c r="BF506" s="2" t="str">
        <f>HYPERLINK("http://dx.doi.org/10.1177/0022009419896481q","http://dx.doi.org/10.1177/0022009419896481q")</f>
        <v>http://dx.doi.org/10.1177/0022009419896481q</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4444</v>
      </c>
      <c r="BT506" s="1" t="str">
        <f>HYPERLINK("https%3A%2F%2Fwww.webofscience.com%2Fwos%2Fwoscc%2Ffull-record%2FWOS:000510772500027","View Full Record in Web of Science")</f>
        <v>View Full Record in Web of Science</v>
      </c>
    </row>
    <row r="507" ht="12.75" customHeight="1">
      <c r="A507" s="1" t="s">
        <v>72</v>
      </c>
      <c r="B507" s="1" t="s">
        <v>4445</v>
      </c>
      <c r="C507" s="1" t="s">
        <v>74</v>
      </c>
      <c r="D507" s="1" t="s">
        <v>74</v>
      </c>
      <c r="E507" s="1" t="s">
        <v>74</v>
      </c>
      <c r="F507" s="1" t="s">
        <v>4446</v>
      </c>
      <c r="G507" s="1" t="s">
        <v>74</v>
      </c>
      <c r="H507" s="1" t="s">
        <v>74</v>
      </c>
      <c r="I507" s="1" t="s">
        <v>4447</v>
      </c>
      <c r="J507" s="1" t="s">
        <v>4448</v>
      </c>
      <c r="K507" s="1" t="s">
        <v>74</v>
      </c>
      <c r="L507" s="1" t="s">
        <v>74</v>
      </c>
      <c r="M507" s="1" t="s">
        <v>74</v>
      </c>
      <c r="N507" s="1" t="s">
        <v>74</v>
      </c>
      <c r="O507" s="1" t="s">
        <v>74</v>
      </c>
      <c r="P507" s="1" t="s">
        <v>74</v>
      </c>
      <c r="Q507" s="1" t="s">
        <v>74</v>
      </c>
      <c r="R507" s="1" t="s">
        <v>74</v>
      </c>
      <c r="S507" s="1" t="s">
        <v>74</v>
      </c>
      <c r="T507" s="1" t="s">
        <v>74</v>
      </c>
      <c r="U507" s="1" t="s">
        <v>74</v>
      </c>
      <c r="V507" s="1" t="s">
        <v>4449</v>
      </c>
      <c r="W507" s="1" t="s">
        <v>74</v>
      </c>
      <c r="X507" s="1" t="s">
        <v>74</v>
      </c>
      <c r="Y507" s="1" t="s">
        <v>74</v>
      </c>
      <c r="Z507" s="1" t="s">
        <v>74</v>
      </c>
      <c r="AA507" s="1" t="s">
        <v>4450</v>
      </c>
      <c r="AB507" s="1" t="s">
        <v>4451</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4452</v>
      </c>
      <c r="AP507" s="1" t="s">
        <v>74</v>
      </c>
      <c r="AQ507" s="1" t="s">
        <v>74</v>
      </c>
      <c r="AR507" s="1" t="s">
        <v>74</v>
      </c>
      <c r="AS507" s="1" t="s">
        <v>74</v>
      </c>
      <c r="AT507" s="1" t="s">
        <v>91</v>
      </c>
      <c r="AU507" s="1">
        <v>2019.0</v>
      </c>
      <c r="AV507" s="1">
        <v>98.0</v>
      </c>
      <c r="AW507" s="1" t="s">
        <v>74</v>
      </c>
      <c r="AX507" s="1" t="s">
        <v>74</v>
      </c>
      <c r="AY507" s="1" t="s">
        <v>74</v>
      </c>
      <c r="AZ507" s="1" t="s">
        <v>74</v>
      </c>
      <c r="BA507" s="1" t="s">
        <v>74</v>
      </c>
      <c r="BB507" s="1">
        <v>24.0</v>
      </c>
      <c r="BC507" s="1">
        <v>30.0</v>
      </c>
      <c r="BD507" s="1" t="s">
        <v>74</v>
      </c>
      <c r="BE507" s="1" t="s">
        <v>4453</v>
      </c>
      <c r="BF507" s="2" t="str">
        <f>HYPERLINK("http://dx.doi.org/10.1016/j.microrel.2019.04.011","http://dx.doi.org/10.1016/j.microrel.2019.04.011")</f>
        <v>http://dx.doi.org/10.1016/j.microrel.2019.04.011</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4454</v>
      </c>
      <c r="BT507" s="1" t="str">
        <f>HYPERLINK("https%3A%2F%2Fwww.webofscience.com%2Fwos%2Fwoscc%2Ffull-record%2FWOS:000472692700004","View Full Record in Web of Science")</f>
        <v>View Full Record in Web of Science</v>
      </c>
    </row>
    <row r="508" ht="12.75" customHeight="1">
      <c r="A508" s="1" t="s">
        <v>72</v>
      </c>
      <c r="B508" s="1" t="s">
        <v>4455</v>
      </c>
      <c r="C508" s="1" t="s">
        <v>74</v>
      </c>
      <c r="D508" s="1" t="s">
        <v>74</v>
      </c>
      <c r="E508" s="1" t="s">
        <v>74</v>
      </c>
      <c r="F508" s="1" t="s">
        <v>4456</v>
      </c>
      <c r="G508" s="1" t="s">
        <v>74</v>
      </c>
      <c r="H508" s="1" t="s">
        <v>74</v>
      </c>
      <c r="I508" s="1" t="s">
        <v>4457</v>
      </c>
      <c r="J508" s="1" t="s">
        <v>4458</v>
      </c>
      <c r="K508" s="1" t="s">
        <v>74</v>
      </c>
      <c r="L508" s="1" t="s">
        <v>74</v>
      </c>
      <c r="M508" s="1" t="s">
        <v>74</v>
      </c>
      <c r="N508" s="1" t="s">
        <v>74</v>
      </c>
      <c r="O508" s="1" t="s">
        <v>74</v>
      </c>
      <c r="P508" s="1" t="s">
        <v>74</v>
      </c>
      <c r="Q508" s="1" t="s">
        <v>74</v>
      </c>
      <c r="R508" s="1" t="s">
        <v>74</v>
      </c>
      <c r="S508" s="1" t="s">
        <v>74</v>
      </c>
      <c r="T508" s="1" t="s">
        <v>74</v>
      </c>
      <c r="U508" s="1" t="s">
        <v>74</v>
      </c>
      <c r="V508" s="1" t="s">
        <v>4459</v>
      </c>
      <c r="W508" s="1" t="s">
        <v>74</v>
      </c>
      <c r="X508" s="1" t="s">
        <v>74</v>
      </c>
      <c r="Y508" s="1" t="s">
        <v>74</v>
      </c>
      <c r="Z508" s="1" t="s">
        <v>74</v>
      </c>
      <c r="AA508" s="1" t="s">
        <v>4460</v>
      </c>
      <c r="AB508" s="1" t="s">
        <v>4461</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74</v>
      </c>
      <c r="AP508" s="1" t="s">
        <v>4462</v>
      </c>
      <c r="AQ508" s="1" t="s">
        <v>74</v>
      </c>
      <c r="AR508" s="1" t="s">
        <v>74</v>
      </c>
      <c r="AS508" s="1" t="s">
        <v>74</v>
      </c>
      <c r="AT508" s="1" t="s">
        <v>4463</v>
      </c>
      <c r="AU508" s="1">
        <v>2019.0</v>
      </c>
      <c r="AV508" s="1">
        <v>5.0</v>
      </c>
      <c r="AW508" s="1">
        <v>1.0</v>
      </c>
      <c r="AX508" s="1" t="s">
        <v>74</v>
      </c>
      <c r="AY508" s="1" t="s">
        <v>74</v>
      </c>
      <c r="AZ508" s="1" t="s">
        <v>74</v>
      </c>
      <c r="BA508" s="1" t="s">
        <v>74</v>
      </c>
      <c r="BB508" s="1" t="s">
        <v>74</v>
      </c>
      <c r="BC508" s="1" t="s">
        <v>74</v>
      </c>
      <c r="BD508" s="1">
        <v>25.0</v>
      </c>
      <c r="BE508" s="1" t="s">
        <v>4464</v>
      </c>
      <c r="BF508" s="2" t="str">
        <f>HYPERLINK("http://dx.doi.org/10.3390/fermentation5010025","http://dx.doi.org/10.3390/fermentation5010025")</f>
        <v>http://dx.doi.org/10.3390/fermentation5010025</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4465</v>
      </c>
      <c r="BT508" s="1" t="str">
        <f>HYPERLINK("https%3A%2F%2Fwww.webofscience.com%2Fwos%2Fwoscc%2Ffull-record%2FWOS:000464262400001","View Full Record in Web of Science")</f>
        <v>View Full Record in Web of Science</v>
      </c>
    </row>
    <row r="509" ht="12.75" customHeight="1">
      <c r="A509" s="1" t="s">
        <v>72</v>
      </c>
      <c r="B509" s="1" t="s">
        <v>4466</v>
      </c>
      <c r="C509" s="1" t="s">
        <v>74</v>
      </c>
      <c r="D509" s="1" t="s">
        <v>74</v>
      </c>
      <c r="E509" s="1" t="s">
        <v>74</v>
      </c>
      <c r="F509" s="1" t="s">
        <v>4467</v>
      </c>
      <c r="G509" s="1" t="s">
        <v>74</v>
      </c>
      <c r="H509" s="1" t="s">
        <v>74</v>
      </c>
      <c r="I509" s="1" t="s">
        <v>4468</v>
      </c>
      <c r="J509" s="1" t="s">
        <v>3657</v>
      </c>
      <c r="K509" s="1" t="s">
        <v>74</v>
      </c>
      <c r="L509" s="1" t="s">
        <v>74</v>
      </c>
      <c r="M509" s="1" t="s">
        <v>74</v>
      </c>
      <c r="N509" s="1" t="s">
        <v>74</v>
      </c>
      <c r="O509" s="1" t="s">
        <v>74</v>
      </c>
      <c r="P509" s="1" t="s">
        <v>74</v>
      </c>
      <c r="Q509" s="1" t="s">
        <v>74</v>
      </c>
      <c r="R509" s="1" t="s">
        <v>74</v>
      </c>
      <c r="S509" s="1" t="s">
        <v>74</v>
      </c>
      <c r="T509" s="1" t="s">
        <v>74</v>
      </c>
      <c r="U509" s="1" t="s">
        <v>74</v>
      </c>
      <c r="V509" s="1" t="s">
        <v>4469</v>
      </c>
      <c r="W509" s="1" t="s">
        <v>74</v>
      </c>
      <c r="X509" s="1" t="s">
        <v>74</v>
      </c>
      <c r="Y509" s="1" t="s">
        <v>74</v>
      </c>
      <c r="Z509" s="1" t="s">
        <v>74</v>
      </c>
      <c r="AA509" s="1" t="s">
        <v>4470</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3660</v>
      </c>
      <c r="AP509" s="1" t="s">
        <v>3661</v>
      </c>
      <c r="AQ509" s="1" t="s">
        <v>74</v>
      </c>
      <c r="AR509" s="1" t="s">
        <v>74</v>
      </c>
      <c r="AS509" s="1" t="s">
        <v>74</v>
      </c>
      <c r="AT509" s="1" t="s">
        <v>224</v>
      </c>
      <c r="AU509" s="1">
        <v>2018.0</v>
      </c>
      <c r="AV509" s="1">
        <v>29.0</v>
      </c>
      <c r="AW509" s="1" t="s">
        <v>74</v>
      </c>
      <c r="AX509" s="1" t="s">
        <v>74</v>
      </c>
      <c r="AY509" s="1" t="s">
        <v>74</v>
      </c>
      <c r="AZ509" s="1" t="s">
        <v>74</v>
      </c>
      <c r="BA509" s="1" t="s">
        <v>74</v>
      </c>
      <c r="BB509" s="1">
        <v>168.0</v>
      </c>
      <c r="BC509" s="1">
        <v>178.0</v>
      </c>
      <c r="BD509" s="1" t="s">
        <v>74</v>
      </c>
      <c r="BE509" s="1" t="s">
        <v>4471</v>
      </c>
      <c r="BF509" s="2" t="str">
        <f>HYPERLINK("http://dx.doi.org/10.1016/j.ehb.2018.03.004","http://dx.doi.org/10.1016/j.ehb.2018.03.004")</f>
        <v>http://dx.doi.org/10.1016/j.ehb.2018.03.004</v>
      </c>
      <c r="BG509" s="1" t="s">
        <v>74</v>
      </c>
      <c r="BH509" s="1" t="s">
        <v>74</v>
      </c>
      <c r="BI509" s="1" t="s">
        <v>74</v>
      </c>
      <c r="BJ509" s="1" t="s">
        <v>74</v>
      </c>
      <c r="BK509" s="1" t="s">
        <v>74</v>
      </c>
      <c r="BL509" s="1" t="s">
        <v>74</v>
      </c>
      <c r="BM509" s="1" t="s">
        <v>74</v>
      </c>
      <c r="BN509" s="1">
        <v>2.9614459E7</v>
      </c>
      <c r="BO509" s="1" t="s">
        <v>74</v>
      </c>
      <c r="BP509" s="1" t="s">
        <v>74</v>
      </c>
      <c r="BQ509" s="1" t="s">
        <v>74</v>
      </c>
      <c r="BR509" s="1" t="s">
        <v>74</v>
      </c>
      <c r="BS509" s="1" t="s">
        <v>4472</v>
      </c>
      <c r="BT509" s="1" t="str">
        <f>HYPERLINK("https%3A%2F%2Fwww.webofscience.com%2Fwos%2Fwoscc%2Ffull-record%2FWOS:000433649300015","View Full Record in Web of Science")</f>
        <v>View Full Record in Web of Science</v>
      </c>
    </row>
    <row r="510" ht="12.75" customHeight="1">
      <c r="A510" s="1" t="s">
        <v>126</v>
      </c>
      <c r="B510" s="1" t="s">
        <v>4473</v>
      </c>
      <c r="C510" s="1" t="s">
        <v>74</v>
      </c>
      <c r="D510" s="1" t="s">
        <v>4474</v>
      </c>
      <c r="E510" s="1" t="s">
        <v>74</v>
      </c>
      <c r="F510" s="1" t="s">
        <v>4475</v>
      </c>
      <c r="G510" s="1" t="s">
        <v>74</v>
      </c>
      <c r="H510" s="1" t="s">
        <v>74</v>
      </c>
      <c r="I510" s="1" t="s">
        <v>4476</v>
      </c>
      <c r="J510" s="1" t="s">
        <v>4477</v>
      </c>
      <c r="K510" s="1" t="s">
        <v>74</v>
      </c>
      <c r="L510" s="1" t="s">
        <v>74</v>
      </c>
      <c r="M510" s="1" t="s">
        <v>74</v>
      </c>
      <c r="N510" s="1" t="s">
        <v>74</v>
      </c>
      <c r="O510" s="1" t="s">
        <v>4478</v>
      </c>
      <c r="P510" s="1" t="s">
        <v>4479</v>
      </c>
      <c r="Q510" s="1" t="s">
        <v>2890</v>
      </c>
      <c r="R510" s="1" t="s">
        <v>4480</v>
      </c>
      <c r="S510" s="1" t="s">
        <v>74</v>
      </c>
      <c r="T510" s="1" t="s">
        <v>74</v>
      </c>
      <c r="U510" s="1" t="s">
        <v>74</v>
      </c>
      <c r="V510" s="1" t="s">
        <v>4481</v>
      </c>
      <c r="W510" s="1" t="s">
        <v>74</v>
      </c>
      <c r="X510" s="1" t="s">
        <v>74</v>
      </c>
      <c r="Y510" s="1" t="s">
        <v>74</v>
      </c>
      <c r="Z510" s="1" t="s">
        <v>74</v>
      </c>
      <c r="AA510" s="1" t="s">
        <v>4482</v>
      </c>
      <c r="AB510" s="1" t="s">
        <v>74</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74</v>
      </c>
      <c r="AP510" s="1" t="s">
        <v>74</v>
      </c>
      <c r="AQ510" s="1" t="s">
        <v>4483</v>
      </c>
      <c r="AR510" s="1" t="s">
        <v>74</v>
      </c>
      <c r="AS510" s="1" t="s">
        <v>74</v>
      </c>
      <c r="AT510" s="1" t="s">
        <v>74</v>
      </c>
      <c r="AU510" s="1">
        <v>2018.0</v>
      </c>
      <c r="AV510" s="1" t="s">
        <v>74</v>
      </c>
      <c r="AW510" s="1" t="s">
        <v>74</v>
      </c>
      <c r="AX510" s="1" t="s">
        <v>74</v>
      </c>
      <c r="AY510" s="1" t="s">
        <v>74</v>
      </c>
      <c r="AZ510" s="1" t="s">
        <v>74</v>
      </c>
      <c r="BA510" s="1" t="s">
        <v>74</v>
      </c>
      <c r="BB510" s="1" t="s">
        <v>74</v>
      </c>
      <c r="BC510" s="1" t="s">
        <v>74</v>
      </c>
      <c r="BD510" s="1" t="s">
        <v>74</v>
      </c>
      <c r="BE510" s="1" t="s">
        <v>74</v>
      </c>
      <c r="BF510" s="1" t="s">
        <v>74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4484</v>
      </c>
      <c r="BT510" s="1" t="str">
        <f>HYPERLINK("https%3A%2F%2Fwww.webofscience.com%2Fwos%2Fwoscc%2Ffull-record%2FWOS:000458417600117","View Full Record in Web of Science")</f>
        <v>View Full Record in Web of Science</v>
      </c>
    </row>
    <row r="511" ht="12.75" customHeight="1">
      <c r="A511" s="1" t="s">
        <v>72</v>
      </c>
      <c r="B511" s="1" t="s">
        <v>4485</v>
      </c>
      <c r="C511" s="1" t="s">
        <v>74</v>
      </c>
      <c r="D511" s="1" t="s">
        <v>74</v>
      </c>
      <c r="E511" s="1" t="s">
        <v>74</v>
      </c>
      <c r="F511" s="1" t="s">
        <v>4486</v>
      </c>
      <c r="G511" s="1" t="s">
        <v>74</v>
      </c>
      <c r="H511" s="1" t="s">
        <v>74</v>
      </c>
      <c r="I511" s="1" t="s">
        <v>4487</v>
      </c>
      <c r="J511" s="1" t="s">
        <v>4488</v>
      </c>
      <c r="K511" s="1" t="s">
        <v>74</v>
      </c>
      <c r="L511" s="1" t="s">
        <v>74</v>
      </c>
      <c r="M511" s="1" t="s">
        <v>74</v>
      </c>
      <c r="N511" s="1" t="s">
        <v>74</v>
      </c>
      <c r="O511" s="1" t="s">
        <v>74</v>
      </c>
      <c r="P511" s="1" t="s">
        <v>74</v>
      </c>
      <c r="Q511" s="1" t="s">
        <v>74</v>
      </c>
      <c r="R511" s="1" t="s">
        <v>74</v>
      </c>
      <c r="S511" s="1" t="s">
        <v>74</v>
      </c>
      <c r="T511" s="1" t="s">
        <v>74</v>
      </c>
      <c r="U511" s="1" t="s">
        <v>74</v>
      </c>
      <c r="V511" s="1" t="s">
        <v>4489</v>
      </c>
      <c r="W511" s="1" t="s">
        <v>74</v>
      </c>
      <c r="X511" s="1" t="s">
        <v>74</v>
      </c>
      <c r="Y511" s="1" t="s">
        <v>74</v>
      </c>
      <c r="Z511" s="1" t="s">
        <v>74</v>
      </c>
      <c r="AA511" s="1" t="s">
        <v>379</v>
      </c>
      <c r="AB511" s="1" t="s">
        <v>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4490</v>
      </c>
      <c r="AP511" s="1" t="s">
        <v>74</v>
      </c>
      <c r="AQ511" s="1" t="s">
        <v>74</v>
      </c>
      <c r="AR511" s="1" t="s">
        <v>74</v>
      </c>
      <c r="AS511" s="1" t="s">
        <v>74</v>
      </c>
      <c r="AT511" s="1" t="s">
        <v>74</v>
      </c>
      <c r="AU511" s="1">
        <v>2018.0</v>
      </c>
      <c r="AV511" s="1" t="s">
        <v>74</v>
      </c>
      <c r="AW511" s="1">
        <v>74.0</v>
      </c>
      <c r="AX511" s="1" t="s">
        <v>74</v>
      </c>
      <c r="AY511" s="1" t="s">
        <v>74</v>
      </c>
      <c r="AZ511" s="1" t="s">
        <v>74</v>
      </c>
      <c r="BA511" s="1" t="s">
        <v>74</v>
      </c>
      <c r="BB511" s="1">
        <v>43.0</v>
      </c>
      <c r="BC511" s="1">
        <v>76.0</v>
      </c>
      <c r="BD511" s="1" t="s">
        <v>74</v>
      </c>
      <c r="BE511" s="1" t="s">
        <v>74</v>
      </c>
      <c r="BF511" s="1" t="s">
        <v>74</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4491</v>
      </c>
      <c r="BT511" s="1" t="str">
        <f>HYPERLINK("https%3A%2F%2Fwww.webofscience.com%2Fwos%2Fwoscc%2Ffull-record%2FWOS:000461189200002","View Full Record in Web of Science")</f>
        <v>View Full Record in Web of Science</v>
      </c>
    </row>
    <row r="512" ht="12.75" customHeight="1">
      <c r="A512" s="1" t="s">
        <v>72</v>
      </c>
      <c r="B512" s="1" t="s">
        <v>3129</v>
      </c>
      <c r="C512" s="1" t="s">
        <v>74</v>
      </c>
      <c r="D512" s="1" t="s">
        <v>74</v>
      </c>
      <c r="E512" s="1" t="s">
        <v>74</v>
      </c>
      <c r="F512" s="1" t="s">
        <v>3130</v>
      </c>
      <c r="G512" s="1" t="s">
        <v>74</v>
      </c>
      <c r="H512" s="1" t="s">
        <v>74</v>
      </c>
      <c r="I512" s="1" t="s">
        <v>4492</v>
      </c>
      <c r="J512" s="1" t="s">
        <v>4493</v>
      </c>
      <c r="K512" s="1" t="s">
        <v>74</v>
      </c>
      <c r="L512" s="1" t="s">
        <v>74</v>
      </c>
      <c r="M512" s="1" t="s">
        <v>74</v>
      </c>
      <c r="N512" s="1" t="s">
        <v>74</v>
      </c>
      <c r="O512" s="1" t="s">
        <v>74</v>
      </c>
      <c r="P512" s="1" t="s">
        <v>74</v>
      </c>
      <c r="Q512" s="1" t="s">
        <v>74</v>
      </c>
      <c r="R512" s="1" t="s">
        <v>74</v>
      </c>
      <c r="S512" s="1" t="s">
        <v>74</v>
      </c>
      <c r="T512" s="1" t="s">
        <v>74</v>
      </c>
      <c r="U512" s="1" t="s">
        <v>74</v>
      </c>
      <c r="V512" s="1" t="s">
        <v>74</v>
      </c>
      <c r="W512" s="1" t="s">
        <v>74</v>
      </c>
      <c r="X512" s="1" t="s">
        <v>74</v>
      </c>
      <c r="Y512" s="1" t="s">
        <v>74</v>
      </c>
      <c r="Z512" s="1" t="s">
        <v>74</v>
      </c>
      <c r="AA512" s="1" t="s">
        <v>74</v>
      </c>
      <c r="AB512" s="1" t="s">
        <v>74</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4494</v>
      </c>
      <c r="AP512" s="1" t="s">
        <v>74</v>
      </c>
      <c r="AQ512" s="1" t="s">
        <v>74</v>
      </c>
      <c r="AR512" s="1" t="s">
        <v>74</v>
      </c>
      <c r="AS512" s="1" t="s">
        <v>74</v>
      </c>
      <c r="AT512" s="1" t="s">
        <v>920</v>
      </c>
      <c r="AU512" s="1">
        <v>2018.0</v>
      </c>
      <c r="AV512" s="1">
        <v>72.0</v>
      </c>
      <c r="AW512" s="1">
        <v>853.0</v>
      </c>
      <c r="AX512" s="1" t="s">
        <v>74</v>
      </c>
      <c r="AY512" s="1" t="s">
        <v>74</v>
      </c>
      <c r="AZ512" s="1" t="s">
        <v>74</v>
      </c>
      <c r="BA512" s="1" t="s">
        <v>74</v>
      </c>
      <c r="BB512" s="1">
        <v>5.0</v>
      </c>
      <c r="BC512" s="1">
        <v>8.0</v>
      </c>
      <c r="BD512" s="1" t="s">
        <v>74</v>
      </c>
      <c r="BE512" s="1" t="s">
        <v>74</v>
      </c>
      <c r="BF512" s="1" t="s">
        <v>74</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4495</v>
      </c>
      <c r="BT512" s="1" t="str">
        <f>HYPERLINK("https%3A%2F%2Fwww.webofscience.com%2Fwos%2Fwoscc%2Ffull-record%2FWOS:000430247400002","View Full Record in Web of Science")</f>
        <v>View Full Record in Web of Science</v>
      </c>
    </row>
    <row r="513" ht="12.75" customHeight="1">
      <c r="A513" s="1" t="s">
        <v>105</v>
      </c>
      <c r="B513" s="1" t="s">
        <v>4496</v>
      </c>
      <c r="C513" s="1" t="s">
        <v>4496</v>
      </c>
      <c r="D513" s="1" t="s">
        <v>74</v>
      </c>
      <c r="E513" s="1" t="s">
        <v>74</v>
      </c>
      <c r="F513" s="1" t="s">
        <v>4497</v>
      </c>
      <c r="G513" s="1" t="s">
        <v>4496</v>
      </c>
      <c r="H513" s="1" t="s">
        <v>74</v>
      </c>
      <c r="I513" s="1" t="s">
        <v>4498</v>
      </c>
      <c r="J513" s="1" t="s">
        <v>4499</v>
      </c>
      <c r="K513" s="1" t="s">
        <v>74</v>
      </c>
      <c r="L513" s="1" t="s">
        <v>74</v>
      </c>
      <c r="M513" s="1" t="s">
        <v>74</v>
      </c>
      <c r="N513" s="1" t="s">
        <v>74</v>
      </c>
      <c r="O513" s="1" t="s">
        <v>74</v>
      </c>
      <c r="P513" s="1" t="s">
        <v>74</v>
      </c>
      <c r="Q513" s="1" t="s">
        <v>74</v>
      </c>
      <c r="R513" s="1" t="s">
        <v>74</v>
      </c>
      <c r="S513" s="1" t="s">
        <v>74</v>
      </c>
      <c r="T513" s="1" t="s">
        <v>74</v>
      </c>
      <c r="U513" s="1" t="s">
        <v>74</v>
      </c>
      <c r="V513" s="1" t="s">
        <v>74</v>
      </c>
      <c r="W513" s="1" t="s">
        <v>74</v>
      </c>
      <c r="X513" s="1" t="s">
        <v>74</v>
      </c>
      <c r="Y513" s="1" t="s">
        <v>74</v>
      </c>
      <c r="Z513" s="1" t="s">
        <v>74</v>
      </c>
      <c r="AA513" s="1" t="s">
        <v>74</v>
      </c>
      <c r="AB513" s="1" t="s">
        <v>74</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74</v>
      </c>
      <c r="AP513" s="1" t="s">
        <v>74</v>
      </c>
      <c r="AQ513" s="1" t="s">
        <v>4500</v>
      </c>
      <c r="AR513" s="1" t="s">
        <v>74</v>
      </c>
      <c r="AS513" s="1" t="s">
        <v>74</v>
      </c>
      <c r="AT513" s="1" t="s">
        <v>74</v>
      </c>
      <c r="AU513" s="1">
        <v>2018.0</v>
      </c>
      <c r="AV513" s="1" t="s">
        <v>74</v>
      </c>
      <c r="AW513" s="1" t="s">
        <v>74</v>
      </c>
      <c r="AX513" s="1" t="s">
        <v>74</v>
      </c>
      <c r="AY513" s="1" t="s">
        <v>74</v>
      </c>
      <c r="AZ513" s="1" t="s">
        <v>74</v>
      </c>
      <c r="BA513" s="1" t="s">
        <v>74</v>
      </c>
      <c r="BB513" s="1">
        <v>163.0</v>
      </c>
      <c r="BC513" s="1">
        <v>165.0</v>
      </c>
      <c r="BD513" s="1" t="s">
        <v>74</v>
      </c>
      <c r="BE513" s="1" t="s">
        <v>74</v>
      </c>
      <c r="BF513" s="1" t="s">
        <v>74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4501</v>
      </c>
      <c r="BT513" s="1" t="str">
        <f>HYPERLINK("https%3A%2F%2Fwww.webofscience.com%2Fwos%2Fwoscc%2Ffull-record%2FWOS:000608876200006","View Full Record in Web of Science")</f>
        <v>View Full Record in Web of Science</v>
      </c>
    </row>
    <row r="514" ht="12.75" customHeight="1">
      <c r="A514" s="1" t="s">
        <v>72</v>
      </c>
      <c r="B514" s="1" t="s">
        <v>4502</v>
      </c>
      <c r="C514" s="1" t="s">
        <v>74</v>
      </c>
      <c r="D514" s="1" t="s">
        <v>74</v>
      </c>
      <c r="E514" s="1" t="s">
        <v>74</v>
      </c>
      <c r="F514" s="1" t="s">
        <v>4503</v>
      </c>
      <c r="G514" s="1" t="s">
        <v>74</v>
      </c>
      <c r="H514" s="1" t="s">
        <v>74</v>
      </c>
      <c r="I514" s="1" t="s">
        <v>4504</v>
      </c>
      <c r="J514" s="1" t="s">
        <v>999</v>
      </c>
      <c r="K514" s="1" t="s">
        <v>74</v>
      </c>
      <c r="L514" s="1" t="s">
        <v>74</v>
      </c>
      <c r="M514" s="1" t="s">
        <v>74</v>
      </c>
      <c r="N514" s="1" t="s">
        <v>74</v>
      </c>
      <c r="O514" s="1" t="s">
        <v>74</v>
      </c>
      <c r="P514" s="1" t="s">
        <v>74</v>
      </c>
      <c r="Q514" s="1" t="s">
        <v>74</v>
      </c>
      <c r="R514" s="1" t="s">
        <v>74</v>
      </c>
      <c r="S514" s="1" t="s">
        <v>74</v>
      </c>
      <c r="T514" s="1" t="s">
        <v>74</v>
      </c>
      <c r="U514" s="1" t="s">
        <v>74</v>
      </c>
      <c r="V514" s="1" t="s">
        <v>4505</v>
      </c>
      <c r="W514" s="1" t="s">
        <v>74</v>
      </c>
      <c r="X514" s="1" t="s">
        <v>74</v>
      </c>
      <c r="Y514" s="1" t="s">
        <v>74</v>
      </c>
      <c r="Z514" s="1" t="s">
        <v>74</v>
      </c>
      <c r="AA514" s="1" t="s">
        <v>74</v>
      </c>
      <c r="AB514" s="1" t="s">
        <v>74</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1001</v>
      </c>
      <c r="AP514" s="1" t="s">
        <v>74</v>
      </c>
      <c r="AQ514" s="1" t="s">
        <v>74</v>
      </c>
      <c r="AR514" s="1" t="s">
        <v>74</v>
      </c>
      <c r="AS514" s="1" t="s">
        <v>74</v>
      </c>
      <c r="AT514" s="1" t="s">
        <v>276</v>
      </c>
      <c r="AU514" s="1">
        <v>2017.0</v>
      </c>
      <c r="AV514" s="1">
        <v>19.0</v>
      </c>
      <c r="AW514" s="1" t="s">
        <v>74</v>
      </c>
      <c r="AX514" s="1" t="s">
        <v>74</v>
      </c>
      <c r="AY514" s="1" t="s">
        <v>74</v>
      </c>
      <c r="AZ514" s="1" t="s">
        <v>74</v>
      </c>
      <c r="BA514" s="1" t="s">
        <v>74</v>
      </c>
      <c r="BB514" s="1">
        <v>212.0</v>
      </c>
      <c r="BC514" s="1">
        <v>219.0</v>
      </c>
      <c r="BD514" s="1" t="s">
        <v>74</v>
      </c>
      <c r="BE514" s="1" t="s">
        <v>4506</v>
      </c>
      <c r="BF514" s="2" t="str">
        <f>HYPERLINK("http://dx.doi.org/10.1016/j.jwpe.2017.08.001","http://dx.doi.org/10.1016/j.jwpe.2017.08.001")</f>
        <v>http://dx.doi.org/10.1016/j.jwpe.2017.08.001</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4507</v>
      </c>
      <c r="BT514" s="1" t="str">
        <f>HYPERLINK("https%3A%2F%2Fwww.webofscience.com%2Fwos%2Fwoscc%2Ffull-record%2FWOS:000431411100027","View Full Record in Web of Science")</f>
        <v>View Full Record in Web of Science</v>
      </c>
    </row>
    <row r="515" ht="12.75" customHeight="1">
      <c r="A515" s="1" t="s">
        <v>72</v>
      </c>
      <c r="B515" s="1" t="s">
        <v>385</v>
      </c>
      <c r="C515" s="1" t="s">
        <v>74</v>
      </c>
      <c r="D515" s="1" t="s">
        <v>74</v>
      </c>
      <c r="E515" s="1" t="s">
        <v>74</v>
      </c>
      <c r="F515" s="1" t="s">
        <v>3973</v>
      </c>
      <c r="G515" s="1" t="s">
        <v>74</v>
      </c>
      <c r="H515" s="1" t="s">
        <v>74</v>
      </c>
      <c r="I515" s="1" t="s">
        <v>4508</v>
      </c>
      <c r="J515" s="1" t="s">
        <v>3207</v>
      </c>
      <c r="K515" s="1" t="s">
        <v>74</v>
      </c>
      <c r="L515" s="1" t="s">
        <v>74</v>
      </c>
      <c r="M515" s="1" t="s">
        <v>74</v>
      </c>
      <c r="N515" s="1" t="s">
        <v>74</v>
      </c>
      <c r="O515" s="1" t="s">
        <v>74</v>
      </c>
      <c r="P515" s="1" t="s">
        <v>74</v>
      </c>
      <c r="Q515" s="1" t="s">
        <v>74</v>
      </c>
      <c r="R515" s="1" t="s">
        <v>74</v>
      </c>
      <c r="S515" s="1" t="s">
        <v>74</v>
      </c>
      <c r="T515" s="1" t="s">
        <v>74</v>
      </c>
      <c r="U515" s="1" t="s">
        <v>74</v>
      </c>
      <c r="V515" s="1" t="s">
        <v>4509</v>
      </c>
      <c r="W515" s="1" t="s">
        <v>74</v>
      </c>
      <c r="X515" s="1" t="s">
        <v>74</v>
      </c>
      <c r="Y515" s="1" t="s">
        <v>74</v>
      </c>
      <c r="Z515" s="1" t="s">
        <v>74</v>
      </c>
      <c r="AA515" s="1" t="s">
        <v>390</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3211</v>
      </c>
      <c r="AP515" s="1" t="s">
        <v>3212</v>
      </c>
      <c r="AQ515" s="1" t="s">
        <v>74</v>
      </c>
      <c r="AR515" s="1" t="s">
        <v>74</v>
      </c>
      <c r="AS515" s="1" t="s">
        <v>74</v>
      </c>
      <c r="AT515" s="1" t="s">
        <v>158</v>
      </c>
      <c r="AU515" s="1">
        <v>2017.0</v>
      </c>
      <c r="AV515" s="1">
        <v>145.0</v>
      </c>
      <c r="AW515" s="1">
        <v>9.0</v>
      </c>
      <c r="AX515" s="1" t="s">
        <v>74</v>
      </c>
      <c r="AY515" s="1" t="s">
        <v>74</v>
      </c>
      <c r="AZ515" s="1" t="s">
        <v>74</v>
      </c>
      <c r="BA515" s="1" t="s">
        <v>74</v>
      </c>
      <c r="BB515" s="1">
        <v>3809.0</v>
      </c>
      <c r="BC515" s="1">
        <v>3827.0</v>
      </c>
      <c r="BD515" s="1" t="s">
        <v>74</v>
      </c>
      <c r="BE515" s="1" t="s">
        <v>4510</v>
      </c>
      <c r="BF515" s="2" t="str">
        <f>HYPERLINK("http://dx.doi.org/10.1090/proc/12895","http://dx.doi.org/10.1090/proc/12895")</f>
        <v>http://dx.doi.org/10.1090/proc/12895</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4511</v>
      </c>
      <c r="BT515" s="1" t="str">
        <f>HYPERLINK("https%3A%2F%2Fwww.webofscience.com%2Fwos%2Fwoscc%2Ffull-record%2FWOS:000404113200015","View Full Record in Web of Science")</f>
        <v>View Full Record in Web of Science</v>
      </c>
    </row>
    <row r="516" ht="12.75" customHeight="1">
      <c r="A516" s="1" t="s">
        <v>105</v>
      </c>
      <c r="B516" s="1" t="s">
        <v>374</v>
      </c>
      <c r="C516" s="1" t="s">
        <v>3842</v>
      </c>
      <c r="D516" s="1" t="s">
        <v>74</v>
      </c>
      <c r="E516" s="1" t="s">
        <v>74</v>
      </c>
      <c r="F516" s="1" t="s">
        <v>375</v>
      </c>
      <c r="G516" s="1" t="s">
        <v>3842</v>
      </c>
      <c r="H516" s="1" t="s">
        <v>74</v>
      </c>
      <c r="I516" s="1" t="s">
        <v>4512</v>
      </c>
      <c r="J516" s="1" t="s">
        <v>3844</v>
      </c>
      <c r="K516" s="1" t="s">
        <v>3845</v>
      </c>
      <c r="L516" s="1" t="s">
        <v>74</v>
      </c>
      <c r="M516" s="1" t="s">
        <v>74</v>
      </c>
      <c r="N516" s="1" t="s">
        <v>74</v>
      </c>
      <c r="O516" s="1" t="s">
        <v>74</v>
      </c>
      <c r="P516" s="1" t="s">
        <v>74</v>
      </c>
      <c r="Q516" s="1" t="s">
        <v>74</v>
      </c>
      <c r="R516" s="1" t="s">
        <v>74</v>
      </c>
      <c r="S516" s="1" t="s">
        <v>74</v>
      </c>
      <c r="T516" s="1" t="s">
        <v>74</v>
      </c>
      <c r="U516" s="1" t="s">
        <v>74</v>
      </c>
      <c r="V516" s="1" t="s">
        <v>74</v>
      </c>
      <c r="W516" s="1" t="s">
        <v>74</v>
      </c>
      <c r="X516" s="1" t="s">
        <v>74</v>
      </c>
      <c r="Y516" s="1" t="s">
        <v>74</v>
      </c>
      <c r="Z516" s="1" t="s">
        <v>74</v>
      </c>
      <c r="AA516" s="1" t="s">
        <v>379</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74</v>
      </c>
      <c r="AP516" s="1" t="s">
        <v>74</v>
      </c>
      <c r="AQ516" s="1" t="s">
        <v>3846</v>
      </c>
      <c r="AR516" s="1" t="s">
        <v>74</v>
      </c>
      <c r="AS516" s="1" t="s">
        <v>74</v>
      </c>
      <c r="AT516" s="1" t="s">
        <v>74</v>
      </c>
      <c r="AU516" s="1">
        <v>2016.0</v>
      </c>
      <c r="AV516" s="1" t="s">
        <v>74</v>
      </c>
      <c r="AW516" s="1" t="s">
        <v>74</v>
      </c>
      <c r="AX516" s="1" t="s">
        <v>74</v>
      </c>
      <c r="AY516" s="1" t="s">
        <v>74</v>
      </c>
      <c r="AZ516" s="1" t="s">
        <v>74</v>
      </c>
      <c r="BA516" s="1" t="s">
        <v>74</v>
      </c>
      <c r="BB516" s="1">
        <v>101.0</v>
      </c>
      <c r="BC516" s="1">
        <v>116.0</v>
      </c>
      <c r="BD516" s="1" t="s">
        <v>74</v>
      </c>
      <c r="BE516" s="1" t="s">
        <v>74</v>
      </c>
      <c r="BF516" s="1" t="s">
        <v>74</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4513</v>
      </c>
      <c r="BT516" s="1" t="str">
        <f>HYPERLINK("https%3A%2F%2Fwww.webofscience.com%2Fwos%2Fwoscc%2Ffull-record%2FWOS:000458913900006","View Full Record in Web of Science")</f>
        <v>View Full Record in Web of Science</v>
      </c>
    </row>
    <row r="517" ht="12.75" customHeight="1">
      <c r="A517" s="1" t="s">
        <v>72</v>
      </c>
      <c r="B517" s="1" t="s">
        <v>4514</v>
      </c>
      <c r="C517" s="1" t="s">
        <v>74</v>
      </c>
      <c r="D517" s="1" t="s">
        <v>74</v>
      </c>
      <c r="E517" s="1" t="s">
        <v>74</v>
      </c>
      <c r="F517" s="1" t="s">
        <v>4515</v>
      </c>
      <c r="G517" s="1" t="s">
        <v>74</v>
      </c>
      <c r="H517" s="1" t="s">
        <v>74</v>
      </c>
      <c r="I517" s="1" t="s">
        <v>4516</v>
      </c>
      <c r="J517" s="1" t="s">
        <v>4517</v>
      </c>
      <c r="K517" s="1" t="s">
        <v>74</v>
      </c>
      <c r="L517" s="1" t="s">
        <v>74</v>
      </c>
      <c r="M517" s="1" t="s">
        <v>74</v>
      </c>
      <c r="N517" s="1" t="s">
        <v>74</v>
      </c>
      <c r="O517" s="1" t="s">
        <v>74</v>
      </c>
      <c r="P517" s="1" t="s">
        <v>74</v>
      </c>
      <c r="Q517" s="1" t="s">
        <v>74</v>
      </c>
      <c r="R517" s="1" t="s">
        <v>74</v>
      </c>
      <c r="S517" s="1" t="s">
        <v>74</v>
      </c>
      <c r="T517" s="1" t="s">
        <v>74</v>
      </c>
      <c r="U517" s="1" t="s">
        <v>74</v>
      </c>
      <c r="V517" s="1" t="s">
        <v>4518</v>
      </c>
      <c r="W517" s="1" t="s">
        <v>74</v>
      </c>
      <c r="X517" s="1" t="s">
        <v>74</v>
      </c>
      <c r="Y517" s="1" t="s">
        <v>74</v>
      </c>
      <c r="Z517" s="1" t="s">
        <v>74</v>
      </c>
      <c r="AA517" s="1" t="s">
        <v>4519</v>
      </c>
      <c r="AB517" s="1" t="s">
        <v>4520</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4521</v>
      </c>
      <c r="AP517" s="1" t="s">
        <v>4522</v>
      </c>
      <c r="AQ517" s="1" t="s">
        <v>74</v>
      </c>
      <c r="AR517" s="1" t="s">
        <v>74</v>
      </c>
      <c r="AS517" s="1" t="s">
        <v>74</v>
      </c>
      <c r="AT517" s="1" t="s">
        <v>158</v>
      </c>
      <c r="AU517" s="1">
        <v>2015.0</v>
      </c>
      <c r="AV517" s="1">
        <v>95.0</v>
      </c>
      <c r="AW517" s="1" t="s">
        <v>74</v>
      </c>
      <c r="AX517" s="1" t="s">
        <v>74</v>
      </c>
      <c r="AY517" s="1" t="s">
        <v>74</v>
      </c>
      <c r="AZ517" s="1" t="s">
        <v>74</v>
      </c>
      <c r="BA517" s="1" t="s">
        <v>74</v>
      </c>
      <c r="BB517" s="1">
        <v>80.0</v>
      </c>
      <c r="BC517" s="1">
        <v>89.0</v>
      </c>
      <c r="BD517" s="1" t="s">
        <v>74</v>
      </c>
      <c r="BE517" s="1" t="s">
        <v>4523</v>
      </c>
      <c r="BF517" s="2" t="str">
        <f>HYPERLINK("http://dx.doi.org/10.1016/j.cep.2015.04.003","http://dx.doi.org/10.1016/j.cep.2015.04.003")</f>
        <v>http://dx.doi.org/10.1016/j.cep.2015.04.003</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4524</v>
      </c>
      <c r="BT517" s="1" t="str">
        <f>HYPERLINK("https%3A%2F%2Fwww.webofscience.com%2Fwos%2Fwoscc%2Ffull-record%2FWOS:000361258100010","View Full Record in Web of Science")</f>
        <v>View Full Record in Web of Science</v>
      </c>
    </row>
    <row r="518" ht="12.75" customHeight="1">
      <c r="A518" s="1" t="s">
        <v>72</v>
      </c>
      <c r="B518" s="1" t="s">
        <v>4525</v>
      </c>
      <c r="C518" s="1" t="s">
        <v>74</v>
      </c>
      <c r="D518" s="1" t="s">
        <v>74</v>
      </c>
      <c r="E518" s="1" t="s">
        <v>74</v>
      </c>
      <c r="F518" s="1" t="s">
        <v>4526</v>
      </c>
      <c r="G518" s="1" t="s">
        <v>74</v>
      </c>
      <c r="H518" s="1" t="s">
        <v>74</v>
      </c>
      <c r="I518" s="1" t="s">
        <v>4527</v>
      </c>
      <c r="J518" s="1" t="s">
        <v>4291</v>
      </c>
      <c r="K518" s="1" t="s">
        <v>74</v>
      </c>
      <c r="L518" s="1" t="s">
        <v>74</v>
      </c>
      <c r="M518" s="1" t="s">
        <v>74</v>
      </c>
      <c r="N518" s="1" t="s">
        <v>74</v>
      </c>
      <c r="O518" s="1" t="s">
        <v>74</v>
      </c>
      <c r="P518" s="1" t="s">
        <v>74</v>
      </c>
      <c r="Q518" s="1" t="s">
        <v>74</v>
      </c>
      <c r="R518" s="1" t="s">
        <v>74</v>
      </c>
      <c r="S518" s="1" t="s">
        <v>74</v>
      </c>
      <c r="T518" s="1" t="s">
        <v>74</v>
      </c>
      <c r="U518" s="1" t="s">
        <v>74</v>
      </c>
      <c r="V518" s="1" t="s">
        <v>4528</v>
      </c>
      <c r="W518" s="1" t="s">
        <v>74</v>
      </c>
      <c r="X518" s="1" t="s">
        <v>74</v>
      </c>
      <c r="Y518" s="1" t="s">
        <v>74</v>
      </c>
      <c r="Z518" s="1" t="s">
        <v>74</v>
      </c>
      <c r="AA518" s="1" t="s">
        <v>4529</v>
      </c>
      <c r="AB518" s="1" t="s">
        <v>4530</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4294</v>
      </c>
      <c r="AP518" s="1" t="s">
        <v>4295</v>
      </c>
      <c r="AQ518" s="1" t="s">
        <v>74</v>
      </c>
      <c r="AR518" s="1" t="s">
        <v>74</v>
      </c>
      <c r="AS518" s="1" t="s">
        <v>74</v>
      </c>
      <c r="AT518" s="1" t="s">
        <v>193</v>
      </c>
      <c r="AU518" s="1">
        <v>2015.0</v>
      </c>
      <c r="AV518" s="1">
        <v>10.0</v>
      </c>
      <c r="AW518" s="1">
        <v>2.0</v>
      </c>
      <c r="AX518" s="1" t="s">
        <v>74</v>
      </c>
      <c r="AY518" s="1" t="s">
        <v>74</v>
      </c>
      <c r="AZ518" s="1" t="s">
        <v>74</v>
      </c>
      <c r="BA518" s="1" t="s">
        <v>74</v>
      </c>
      <c r="BB518" s="1">
        <v>238.0</v>
      </c>
      <c r="BC518" s="1">
        <v>247.0</v>
      </c>
      <c r="BD518" s="1" t="s">
        <v>74</v>
      </c>
      <c r="BE518" s="1" t="s">
        <v>4531</v>
      </c>
      <c r="BF518" s="2" t="str">
        <f>HYPERLINK("http://dx.doi.org/10.15837/ijccc.2015.2.1755","http://dx.doi.org/10.15837/ijccc.2015.2.1755")</f>
        <v>http://dx.doi.org/10.15837/ijccc.2015.2.1755</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4532</v>
      </c>
      <c r="BT518" s="1" t="str">
        <f>HYPERLINK("https%3A%2F%2Fwww.webofscience.com%2Fwos%2Fwoscc%2Ffull-record%2FWOS:000349814800009","View Full Record in Web of Science")</f>
        <v>View Full Record in Web of Science</v>
      </c>
    </row>
    <row r="519" ht="12.75" customHeight="1">
      <c r="A519" s="1" t="s">
        <v>72</v>
      </c>
      <c r="B519" s="1" t="s">
        <v>4533</v>
      </c>
      <c r="C519" s="1" t="s">
        <v>74</v>
      </c>
      <c r="D519" s="1" t="s">
        <v>74</v>
      </c>
      <c r="E519" s="1" t="s">
        <v>74</v>
      </c>
      <c r="F519" s="1" t="s">
        <v>4534</v>
      </c>
      <c r="G519" s="1" t="s">
        <v>74</v>
      </c>
      <c r="H519" s="1" t="s">
        <v>74</v>
      </c>
      <c r="I519" s="1" t="s">
        <v>4535</v>
      </c>
      <c r="J519" s="1" t="s">
        <v>322</v>
      </c>
      <c r="K519" s="1" t="s">
        <v>74</v>
      </c>
      <c r="L519" s="1" t="s">
        <v>74</v>
      </c>
      <c r="M519" s="1" t="s">
        <v>74</v>
      </c>
      <c r="N519" s="1" t="s">
        <v>74</v>
      </c>
      <c r="O519" s="1" t="s">
        <v>74</v>
      </c>
      <c r="P519" s="1" t="s">
        <v>74</v>
      </c>
      <c r="Q519" s="1" t="s">
        <v>74</v>
      </c>
      <c r="R519" s="1" t="s">
        <v>74</v>
      </c>
      <c r="S519" s="1" t="s">
        <v>74</v>
      </c>
      <c r="T519" s="1" t="s">
        <v>74</v>
      </c>
      <c r="U519" s="1" t="s">
        <v>74</v>
      </c>
      <c r="V519" s="1" t="s">
        <v>4536</v>
      </c>
      <c r="W519" s="1" t="s">
        <v>74</v>
      </c>
      <c r="X519" s="1" t="s">
        <v>74</v>
      </c>
      <c r="Y519" s="1" t="s">
        <v>74</v>
      </c>
      <c r="Z519" s="1" t="s">
        <v>74</v>
      </c>
      <c r="AA519" s="1" t="s">
        <v>4537</v>
      </c>
      <c r="AB519" s="1" t="s">
        <v>4538</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324</v>
      </c>
      <c r="AP519" s="1" t="s">
        <v>325</v>
      </c>
      <c r="AQ519" s="1" t="s">
        <v>74</v>
      </c>
      <c r="AR519" s="1" t="s">
        <v>74</v>
      </c>
      <c r="AS519" s="1" t="s">
        <v>74</v>
      </c>
      <c r="AT519" s="1" t="s">
        <v>4539</v>
      </c>
      <c r="AU519" s="1">
        <v>2015.0</v>
      </c>
      <c r="AV519" s="1">
        <v>30.0</v>
      </c>
      <c r="AW519" s="1">
        <v>7.0</v>
      </c>
      <c r="AX519" s="1" t="s">
        <v>74</v>
      </c>
      <c r="AY519" s="1" t="s">
        <v>74</v>
      </c>
      <c r="AZ519" s="1" t="s">
        <v>74</v>
      </c>
      <c r="BA519" s="1" t="s">
        <v>74</v>
      </c>
      <c r="BB519" s="1" t="s">
        <v>74</v>
      </c>
      <c r="BC519" s="1" t="s">
        <v>74</v>
      </c>
      <c r="BD519" s="1">
        <v>1550030.0</v>
      </c>
      <c r="BE519" s="1" t="s">
        <v>4540</v>
      </c>
      <c r="BF519" s="2" t="str">
        <f>HYPERLINK("http://dx.doi.org/10.1142/S0217732315500303","http://dx.doi.org/10.1142/S0217732315500303")</f>
        <v>http://dx.doi.org/10.1142/S0217732315500303</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4541</v>
      </c>
      <c r="BT519" s="1" t="str">
        <f>HYPERLINK("https%3A%2F%2Fwww.webofscience.com%2Fwos%2Fwoscc%2Ffull-record%2FWOS:000350349400003","View Full Record in Web of Science")</f>
        <v>View Full Record in Web of Science</v>
      </c>
    </row>
    <row r="520" ht="12.75" customHeight="1">
      <c r="A520" s="1" t="s">
        <v>126</v>
      </c>
      <c r="B520" s="1" t="s">
        <v>4542</v>
      </c>
      <c r="C520" s="1" t="s">
        <v>74</v>
      </c>
      <c r="D520" s="1" t="s">
        <v>4543</v>
      </c>
      <c r="E520" s="1" t="s">
        <v>74</v>
      </c>
      <c r="F520" s="1" t="s">
        <v>4544</v>
      </c>
      <c r="G520" s="1" t="s">
        <v>74</v>
      </c>
      <c r="H520" s="1" t="s">
        <v>74</v>
      </c>
      <c r="I520" s="1" t="s">
        <v>4545</v>
      </c>
      <c r="J520" s="1" t="s">
        <v>4546</v>
      </c>
      <c r="K520" s="1" t="s">
        <v>74</v>
      </c>
      <c r="L520" s="1" t="s">
        <v>74</v>
      </c>
      <c r="M520" s="1" t="s">
        <v>74</v>
      </c>
      <c r="N520" s="1" t="s">
        <v>74</v>
      </c>
      <c r="O520" s="1" t="s">
        <v>3782</v>
      </c>
      <c r="P520" s="1" t="s">
        <v>4547</v>
      </c>
      <c r="Q520" s="1" t="s">
        <v>4548</v>
      </c>
      <c r="R520" s="1" t="s">
        <v>4549</v>
      </c>
      <c r="S520" s="1" t="s">
        <v>74</v>
      </c>
      <c r="T520" s="1" t="s">
        <v>74</v>
      </c>
      <c r="U520" s="1" t="s">
        <v>74</v>
      </c>
      <c r="V520" s="1" t="s">
        <v>4550</v>
      </c>
      <c r="W520" s="1" t="s">
        <v>74</v>
      </c>
      <c r="X520" s="1" t="s">
        <v>74</v>
      </c>
      <c r="Y520" s="1" t="s">
        <v>74</v>
      </c>
      <c r="Z520" s="1" t="s">
        <v>74</v>
      </c>
      <c r="AA520" s="1" t="s">
        <v>4551</v>
      </c>
      <c r="AB520" s="1" t="s">
        <v>1138</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74</v>
      </c>
      <c r="AP520" s="1" t="s">
        <v>74</v>
      </c>
      <c r="AQ520" s="1" t="s">
        <v>4552</v>
      </c>
      <c r="AR520" s="1" t="s">
        <v>74</v>
      </c>
      <c r="AS520" s="1" t="s">
        <v>74</v>
      </c>
      <c r="AT520" s="1" t="s">
        <v>74</v>
      </c>
      <c r="AU520" s="1">
        <v>2015.0</v>
      </c>
      <c r="AV520" s="1" t="s">
        <v>74</v>
      </c>
      <c r="AW520" s="1" t="s">
        <v>74</v>
      </c>
      <c r="AX520" s="1" t="s">
        <v>74</v>
      </c>
      <c r="AY520" s="1" t="s">
        <v>74</v>
      </c>
      <c r="AZ520" s="1" t="s">
        <v>74</v>
      </c>
      <c r="BA520" s="1" t="s">
        <v>74</v>
      </c>
      <c r="BB520" s="1">
        <v>73.0</v>
      </c>
      <c r="BC520" s="1">
        <v>78.0</v>
      </c>
      <c r="BD520" s="1" t="s">
        <v>74</v>
      </c>
      <c r="BE520" s="1" t="s">
        <v>74</v>
      </c>
      <c r="BF520" s="1" t="s">
        <v>74</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4553</v>
      </c>
      <c r="BT520" s="1" t="str">
        <f>HYPERLINK("https%3A%2F%2Fwww.webofscience.com%2Fwos%2Fwoscc%2Ffull-record%2FWOS:000380551100013","View Full Record in Web of Science")</f>
        <v>View Full Record in Web of Science</v>
      </c>
    </row>
    <row r="521" ht="12.75" customHeight="1">
      <c r="A521" s="1" t="s">
        <v>72</v>
      </c>
      <c r="B521" s="1" t="s">
        <v>4554</v>
      </c>
      <c r="C521" s="1" t="s">
        <v>74</v>
      </c>
      <c r="D521" s="1" t="s">
        <v>74</v>
      </c>
      <c r="E521" s="1" t="s">
        <v>74</v>
      </c>
      <c r="F521" s="1" t="s">
        <v>4555</v>
      </c>
      <c r="G521" s="1" t="s">
        <v>74</v>
      </c>
      <c r="H521" s="1" t="s">
        <v>74</v>
      </c>
      <c r="I521" s="1" t="s">
        <v>4556</v>
      </c>
      <c r="J521" s="1" t="s">
        <v>4557</v>
      </c>
      <c r="K521" s="1" t="s">
        <v>74</v>
      </c>
      <c r="L521" s="1" t="s">
        <v>74</v>
      </c>
      <c r="M521" s="1" t="s">
        <v>74</v>
      </c>
      <c r="N521" s="1" t="s">
        <v>74</v>
      </c>
      <c r="O521" s="1" t="s">
        <v>74</v>
      </c>
      <c r="P521" s="1" t="s">
        <v>74</v>
      </c>
      <c r="Q521" s="1" t="s">
        <v>74</v>
      </c>
      <c r="R521" s="1" t="s">
        <v>74</v>
      </c>
      <c r="S521" s="1" t="s">
        <v>74</v>
      </c>
      <c r="T521" s="1" t="s">
        <v>74</v>
      </c>
      <c r="U521" s="1" t="s">
        <v>74</v>
      </c>
      <c r="V521" s="1" t="s">
        <v>4558</v>
      </c>
      <c r="W521" s="1" t="s">
        <v>74</v>
      </c>
      <c r="X521" s="1" t="s">
        <v>74</v>
      </c>
      <c r="Y521" s="1" t="s">
        <v>74</v>
      </c>
      <c r="Z521" s="1" t="s">
        <v>74</v>
      </c>
      <c r="AA521" s="1" t="s">
        <v>4559</v>
      </c>
      <c r="AB521" s="1" t="s">
        <v>4560</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4561</v>
      </c>
      <c r="AP521" s="1" t="s">
        <v>4562</v>
      </c>
      <c r="AQ521" s="1" t="s">
        <v>74</v>
      </c>
      <c r="AR521" s="1" t="s">
        <v>74</v>
      </c>
      <c r="AS521" s="1" t="s">
        <v>74</v>
      </c>
      <c r="AT521" s="1" t="s">
        <v>74</v>
      </c>
      <c r="AU521" s="1">
        <v>2015.0</v>
      </c>
      <c r="AV521" s="1">
        <v>22.0</v>
      </c>
      <c r="AW521" s="1">
        <v>3.0</v>
      </c>
      <c r="AX521" s="1" t="s">
        <v>74</v>
      </c>
      <c r="AY521" s="1" t="s">
        <v>74</v>
      </c>
      <c r="AZ521" s="1" t="s">
        <v>74</v>
      </c>
      <c r="BA521" s="1" t="s">
        <v>74</v>
      </c>
      <c r="BB521" s="1">
        <v>342.0</v>
      </c>
      <c r="BC521" s="1">
        <v>360.0</v>
      </c>
      <c r="BD521" s="1" t="s">
        <v>74</v>
      </c>
      <c r="BE521" s="1" t="s">
        <v>4563</v>
      </c>
      <c r="BF521" s="2" t="str">
        <f>HYPERLINK("http://dx.doi.org/10.1080/14029251.2015.1056616","http://dx.doi.org/10.1080/14029251.2015.1056616")</f>
        <v>http://dx.doi.org/10.1080/14029251.2015.1056616</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4564</v>
      </c>
      <c r="BT521" s="1" t="str">
        <f>HYPERLINK("https%3A%2F%2Fwww.webofscience.com%2Fwos%2Fwoscc%2Ffull-record%2FWOS:000355803700002","View Full Record in Web of Science")</f>
        <v>View Full Record in Web of Science</v>
      </c>
    </row>
    <row r="522" ht="12.75" customHeight="1">
      <c r="A522" s="1" t="s">
        <v>72</v>
      </c>
      <c r="B522" s="1" t="s">
        <v>4565</v>
      </c>
      <c r="C522" s="1" t="s">
        <v>74</v>
      </c>
      <c r="D522" s="1" t="s">
        <v>74</v>
      </c>
      <c r="E522" s="1" t="s">
        <v>74</v>
      </c>
      <c r="F522" s="1" t="s">
        <v>4566</v>
      </c>
      <c r="G522" s="1" t="s">
        <v>74</v>
      </c>
      <c r="H522" s="1" t="s">
        <v>74</v>
      </c>
      <c r="I522" s="1" t="s">
        <v>4567</v>
      </c>
      <c r="J522" s="1" t="s">
        <v>4568</v>
      </c>
      <c r="K522" s="1" t="s">
        <v>74</v>
      </c>
      <c r="L522" s="1" t="s">
        <v>74</v>
      </c>
      <c r="M522" s="1" t="s">
        <v>74</v>
      </c>
      <c r="N522" s="1" t="s">
        <v>74</v>
      </c>
      <c r="O522" s="1" t="s">
        <v>74</v>
      </c>
      <c r="P522" s="1" t="s">
        <v>74</v>
      </c>
      <c r="Q522" s="1" t="s">
        <v>74</v>
      </c>
      <c r="R522" s="1" t="s">
        <v>74</v>
      </c>
      <c r="S522" s="1" t="s">
        <v>74</v>
      </c>
      <c r="T522" s="1" t="s">
        <v>74</v>
      </c>
      <c r="U522" s="1" t="s">
        <v>74</v>
      </c>
      <c r="V522" s="1" t="s">
        <v>4569</v>
      </c>
      <c r="W522" s="1" t="s">
        <v>74</v>
      </c>
      <c r="X522" s="1" t="s">
        <v>74</v>
      </c>
      <c r="Y522" s="1" t="s">
        <v>74</v>
      </c>
      <c r="Z522" s="1" t="s">
        <v>74</v>
      </c>
      <c r="AA522" s="1" t="s">
        <v>4570</v>
      </c>
      <c r="AB522" s="1" t="s">
        <v>4571</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4572</v>
      </c>
      <c r="AP522" s="1" t="s">
        <v>4573</v>
      </c>
      <c r="AQ522" s="1" t="s">
        <v>74</v>
      </c>
      <c r="AR522" s="1" t="s">
        <v>74</v>
      </c>
      <c r="AS522" s="1" t="s">
        <v>74</v>
      </c>
      <c r="AT522" s="1" t="s">
        <v>82</v>
      </c>
      <c r="AU522" s="1">
        <v>2014.0</v>
      </c>
      <c r="AV522" s="1">
        <v>88.0</v>
      </c>
      <c r="AW522" s="1" t="s">
        <v>74</v>
      </c>
      <c r="AX522" s="1" t="s">
        <v>74</v>
      </c>
      <c r="AY522" s="1" t="s">
        <v>74</v>
      </c>
      <c r="AZ522" s="1" t="s">
        <v>74</v>
      </c>
      <c r="BA522" s="1" t="s">
        <v>74</v>
      </c>
      <c r="BB522" s="1">
        <v>391.0</v>
      </c>
      <c r="BC522" s="1">
        <v>398.0</v>
      </c>
      <c r="BD522" s="1" t="s">
        <v>74</v>
      </c>
      <c r="BE522" s="1" t="s">
        <v>4574</v>
      </c>
      <c r="BF522" s="2" t="str">
        <f>HYPERLINK("http://dx.doi.org/10.1016/j.enconman.2014.08.032","http://dx.doi.org/10.1016/j.enconman.2014.08.032")</f>
        <v>http://dx.doi.org/10.1016/j.enconman.2014.08.032</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4575</v>
      </c>
      <c r="BT522" s="1" t="str">
        <f>HYPERLINK("https%3A%2F%2Fwww.webofscience.com%2Fwos%2Fwoscc%2Ffull-record%2FWOS:000345725400039","View Full Record in Web of Science")</f>
        <v>View Full Record in Web of Science</v>
      </c>
    </row>
    <row r="523" ht="12.75" customHeight="1">
      <c r="A523" s="1" t="s">
        <v>72</v>
      </c>
      <c r="B523" s="1" t="s">
        <v>4576</v>
      </c>
      <c r="C523" s="1" t="s">
        <v>74</v>
      </c>
      <c r="D523" s="1" t="s">
        <v>74</v>
      </c>
      <c r="E523" s="1" t="s">
        <v>74</v>
      </c>
      <c r="F523" s="1" t="s">
        <v>4577</v>
      </c>
      <c r="G523" s="1" t="s">
        <v>74</v>
      </c>
      <c r="H523" s="1" t="s">
        <v>74</v>
      </c>
      <c r="I523" s="1" t="s">
        <v>4578</v>
      </c>
      <c r="J523" s="1" t="s">
        <v>314</v>
      </c>
      <c r="K523" s="1" t="s">
        <v>74</v>
      </c>
      <c r="L523" s="1" t="s">
        <v>74</v>
      </c>
      <c r="M523" s="1" t="s">
        <v>74</v>
      </c>
      <c r="N523" s="1" t="s">
        <v>74</v>
      </c>
      <c r="O523" s="1" t="s">
        <v>74</v>
      </c>
      <c r="P523" s="1" t="s">
        <v>74</v>
      </c>
      <c r="Q523" s="1" t="s">
        <v>74</v>
      </c>
      <c r="R523" s="1" t="s">
        <v>74</v>
      </c>
      <c r="S523" s="1" t="s">
        <v>74</v>
      </c>
      <c r="T523" s="1" t="s">
        <v>74</v>
      </c>
      <c r="U523" s="1" t="s">
        <v>74</v>
      </c>
      <c r="V523" s="1" t="s">
        <v>4579</v>
      </c>
      <c r="W523" s="1" t="s">
        <v>74</v>
      </c>
      <c r="X523" s="1" t="s">
        <v>74</v>
      </c>
      <c r="Y523" s="1" t="s">
        <v>74</v>
      </c>
      <c r="Z523" s="1" t="s">
        <v>74</v>
      </c>
      <c r="AA523" s="1" t="s">
        <v>74</v>
      </c>
      <c r="AB523" s="1" t="s">
        <v>74</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316</v>
      </c>
      <c r="AP523" s="1" t="s">
        <v>74</v>
      </c>
      <c r="AQ523" s="1" t="s">
        <v>74</v>
      </c>
      <c r="AR523" s="1" t="s">
        <v>74</v>
      </c>
      <c r="AS523" s="1" t="s">
        <v>74</v>
      </c>
      <c r="AT523" s="1" t="s">
        <v>224</v>
      </c>
      <c r="AU523" s="1">
        <v>2014.0</v>
      </c>
      <c r="AV523" s="1">
        <v>12.0</v>
      </c>
      <c r="AW523" s="1">
        <v>3.0</v>
      </c>
      <c r="AX523" s="1" t="s">
        <v>74</v>
      </c>
      <c r="AY523" s="1" t="s">
        <v>74</v>
      </c>
      <c r="AZ523" s="1" t="s">
        <v>159</v>
      </c>
      <c r="BA523" s="1" t="s">
        <v>74</v>
      </c>
      <c r="BB523" s="1">
        <v>416.0</v>
      </c>
      <c r="BC523" s="1">
        <v>422.0</v>
      </c>
      <c r="BD523" s="1" t="s">
        <v>74</v>
      </c>
      <c r="BE523" s="1" t="s">
        <v>4580</v>
      </c>
      <c r="BF523" s="2" t="str">
        <f>HYPERLINK("http://dx.doi.org/10.1109/TLA.2014.6827867","http://dx.doi.org/10.1109/TLA.2014.6827867")</f>
        <v>http://dx.doi.org/10.1109/TLA.2014.6827867</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4581</v>
      </c>
      <c r="BT523" s="1" t="str">
        <f>HYPERLINK("https%3A%2F%2Fwww.webofscience.com%2Fwos%2Fwoscc%2Ffull-record%2FWOS:000338111100010","View Full Record in Web of Science")</f>
        <v>View Full Record in Web of Science</v>
      </c>
    </row>
    <row r="524" ht="12.75" customHeight="1">
      <c r="A524" s="1" t="s">
        <v>72</v>
      </c>
      <c r="B524" s="1" t="s">
        <v>4582</v>
      </c>
      <c r="C524" s="1" t="s">
        <v>74</v>
      </c>
      <c r="D524" s="1" t="s">
        <v>74</v>
      </c>
      <c r="E524" s="1" t="s">
        <v>74</v>
      </c>
      <c r="F524" s="1" t="s">
        <v>4583</v>
      </c>
      <c r="G524" s="1" t="s">
        <v>74</v>
      </c>
      <c r="H524" s="1" t="s">
        <v>74</v>
      </c>
      <c r="I524" s="1" t="s">
        <v>4584</v>
      </c>
      <c r="J524" s="1" t="s">
        <v>1869</v>
      </c>
      <c r="K524" s="1" t="s">
        <v>74</v>
      </c>
      <c r="L524" s="1" t="s">
        <v>74</v>
      </c>
      <c r="M524" s="1" t="s">
        <v>74</v>
      </c>
      <c r="N524" s="1" t="s">
        <v>74</v>
      </c>
      <c r="O524" s="1" t="s">
        <v>74</v>
      </c>
      <c r="P524" s="1" t="s">
        <v>74</v>
      </c>
      <c r="Q524" s="1" t="s">
        <v>74</v>
      </c>
      <c r="R524" s="1" t="s">
        <v>74</v>
      </c>
      <c r="S524" s="1" t="s">
        <v>74</v>
      </c>
      <c r="T524" s="1" t="s">
        <v>74</v>
      </c>
      <c r="U524" s="1" t="s">
        <v>74</v>
      </c>
      <c r="V524" s="1" t="s">
        <v>4585</v>
      </c>
      <c r="W524" s="1" t="s">
        <v>74</v>
      </c>
      <c r="X524" s="1" t="s">
        <v>74</v>
      </c>
      <c r="Y524" s="1" t="s">
        <v>74</v>
      </c>
      <c r="Z524" s="1" t="s">
        <v>74</v>
      </c>
      <c r="AA524" s="1" t="s">
        <v>406</v>
      </c>
      <c r="AB524" s="1" t="s">
        <v>407</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1873</v>
      </c>
      <c r="AP524" s="1" t="s">
        <v>1874</v>
      </c>
      <c r="AQ524" s="1" t="s">
        <v>74</v>
      </c>
      <c r="AR524" s="1" t="s">
        <v>74</v>
      </c>
      <c r="AS524" s="1" t="s">
        <v>74</v>
      </c>
      <c r="AT524" s="1" t="s">
        <v>193</v>
      </c>
      <c r="AU524" s="1">
        <v>2014.0</v>
      </c>
      <c r="AV524" s="1">
        <v>157.0</v>
      </c>
      <c r="AW524" s="1" t="s">
        <v>74</v>
      </c>
      <c r="AX524" s="1" t="s">
        <v>74</v>
      </c>
      <c r="AY524" s="1" t="s">
        <v>74</v>
      </c>
      <c r="AZ524" s="1" t="s">
        <v>74</v>
      </c>
      <c r="BA524" s="1" t="s">
        <v>74</v>
      </c>
      <c r="BB524" s="1">
        <v>206.0</v>
      </c>
      <c r="BC524" s="1">
        <v>213.0</v>
      </c>
      <c r="BD524" s="1" t="s">
        <v>74</v>
      </c>
      <c r="BE524" s="1" t="s">
        <v>4586</v>
      </c>
      <c r="BF524" s="2" t="str">
        <f>HYPERLINK("http://dx.doi.org/10.1016/j.biortech.2014.01.109","http://dx.doi.org/10.1016/j.biortech.2014.01.109")</f>
        <v>http://dx.doi.org/10.1016/j.biortech.2014.01.109</v>
      </c>
      <c r="BG524" s="1" t="s">
        <v>74</v>
      </c>
      <c r="BH524" s="1" t="s">
        <v>74</v>
      </c>
      <c r="BI524" s="1" t="s">
        <v>74</v>
      </c>
      <c r="BJ524" s="1" t="s">
        <v>74</v>
      </c>
      <c r="BK524" s="1" t="s">
        <v>74</v>
      </c>
      <c r="BL524" s="1" t="s">
        <v>74</v>
      </c>
      <c r="BM524" s="1" t="s">
        <v>74</v>
      </c>
      <c r="BN524" s="1">
        <v>2.4561626E7</v>
      </c>
      <c r="BO524" s="1" t="s">
        <v>74</v>
      </c>
      <c r="BP524" s="1" t="s">
        <v>74</v>
      </c>
      <c r="BQ524" s="1" t="s">
        <v>74</v>
      </c>
      <c r="BR524" s="1" t="s">
        <v>74</v>
      </c>
      <c r="BS524" s="1" t="s">
        <v>4587</v>
      </c>
      <c r="BT524" s="1" t="str">
        <f>HYPERLINK("https%3A%2F%2Fwww.webofscience.com%2Fwos%2Fwoscc%2Ffull-record%2FWOS:000334829600029","View Full Record in Web of Science")</f>
        <v>View Full Record in Web of Science</v>
      </c>
    </row>
    <row r="525" ht="12.75" customHeight="1">
      <c r="A525" s="1" t="s">
        <v>72</v>
      </c>
      <c r="B525" s="1" t="s">
        <v>4588</v>
      </c>
      <c r="C525" s="1" t="s">
        <v>74</v>
      </c>
      <c r="D525" s="1" t="s">
        <v>74</v>
      </c>
      <c r="E525" s="1" t="s">
        <v>74</v>
      </c>
      <c r="F525" s="1" t="s">
        <v>4589</v>
      </c>
      <c r="G525" s="1" t="s">
        <v>74</v>
      </c>
      <c r="H525" s="1" t="s">
        <v>74</v>
      </c>
      <c r="I525" s="1" t="s">
        <v>4590</v>
      </c>
      <c r="J525" s="1" t="s">
        <v>2104</v>
      </c>
      <c r="K525" s="1" t="s">
        <v>74</v>
      </c>
      <c r="L525" s="1" t="s">
        <v>74</v>
      </c>
      <c r="M525" s="1" t="s">
        <v>74</v>
      </c>
      <c r="N525" s="1" t="s">
        <v>74</v>
      </c>
      <c r="O525" s="1" t="s">
        <v>74</v>
      </c>
      <c r="P525" s="1" t="s">
        <v>74</v>
      </c>
      <c r="Q525" s="1" t="s">
        <v>74</v>
      </c>
      <c r="R525" s="1" t="s">
        <v>74</v>
      </c>
      <c r="S525" s="1" t="s">
        <v>74</v>
      </c>
      <c r="T525" s="1" t="s">
        <v>74</v>
      </c>
      <c r="U525" s="1" t="s">
        <v>74</v>
      </c>
      <c r="V525" s="1" t="s">
        <v>4591</v>
      </c>
      <c r="W525" s="1" t="s">
        <v>74</v>
      </c>
      <c r="X525" s="1" t="s">
        <v>74</v>
      </c>
      <c r="Y525" s="1" t="s">
        <v>74</v>
      </c>
      <c r="Z525" s="1" t="s">
        <v>74</v>
      </c>
      <c r="AA525" s="1" t="s">
        <v>74</v>
      </c>
      <c r="AB525" s="1" t="s">
        <v>74</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2107</v>
      </c>
      <c r="AP525" s="1" t="s">
        <v>2108</v>
      </c>
      <c r="AQ525" s="1" t="s">
        <v>74</v>
      </c>
      <c r="AR525" s="1" t="s">
        <v>74</v>
      </c>
      <c r="AS525" s="1" t="s">
        <v>74</v>
      </c>
      <c r="AT525" s="1" t="s">
        <v>256</v>
      </c>
      <c r="AU525" s="1">
        <v>2014.0</v>
      </c>
      <c r="AV525" s="1">
        <v>61.0</v>
      </c>
      <c r="AW525" s="1">
        <v>1.0</v>
      </c>
      <c r="AX525" s="1" t="s">
        <v>74</v>
      </c>
      <c r="AY525" s="1" t="s">
        <v>74</v>
      </c>
      <c r="AZ525" s="1" t="s">
        <v>159</v>
      </c>
      <c r="BA525" s="1" t="s">
        <v>74</v>
      </c>
      <c r="BB525" s="1">
        <v>108.0</v>
      </c>
      <c r="BC525" s="1">
        <v>120.0</v>
      </c>
      <c r="BD525" s="1" t="s">
        <v>74</v>
      </c>
      <c r="BE525" s="1" t="s">
        <v>4592</v>
      </c>
      <c r="BF525" s="2" t="str">
        <f>HYPERLINK("http://dx.doi.org/10.1177/0037768613513945","http://dx.doi.org/10.1177/0037768613513945")</f>
        <v>http://dx.doi.org/10.1177/0037768613513945</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4593</v>
      </c>
      <c r="BT525" s="1" t="str">
        <f>HYPERLINK("https%3A%2F%2Fwww.webofscience.com%2Fwos%2Fwoscc%2Ffull-record%2FWOS:000331862800011","View Full Record in Web of Science")</f>
        <v>View Full Record in Web of Science</v>
      </c>
    </row>
    <row r="526" ht="12.75" customHeight="1">
      <c r="A526" s="1" t="s">
        <v>72</v>
      </c>
      <c r="B526" s="1" t="s">
        <v>4594</v>
      </c>
      <c r="C526" s="1" t="s">
        <v>74</v>
      </c>
      <c r="D526" s="1" t="s">
        <v>74</v>
      </c>
      <c r="E526" s="1" t="s">
        <v>74</v>
      </c>
      <c r="F526" s="1" t="s">
        <v>4595</v>
      </c>
      <c r="G526" s="1" t="s">
        <v>74</v>
      </c>
      <c r="H526" s="1" t="s">
        <v>74</v>
      </c>
      <c r="I526" s="1" t="s">
        <v>4596</v>
      </c>
      <c r="J526" s="1" t="s">
        <v>4597</v>
      </c>
      <c r="K526" s="1" t="s">
        <v>74</v>
      </c>
      <c r="L526" s="1" t="s">
        <v>74</v>
      </c>
      <c r="M526" s="1" t="s">
        <v>74</v>
      </c>
      <c r="N526" s="1" t="s">
        <v>74</v>
      </c>
      <c r="O526" s="1" t="s">
        <v>74</v>
      </c>
      <c r="P526" s="1" t="s">
        <v>74</v>
      </c>
      <c r="Q526" s="1" t="s">
        <v>74</v>
      </c>
      <c r="R526" s="1" t="s">
        <v>74</v>
      </c>
      <c r="S526" s="1" t="s">
        <v>74</v>
      </c>
      <c r="T526" s="1" t="s">
        <v>74</v>
      </c>
      <c r="U526" s="1" t="s">
        <v>74</v>
      </c>
      <c r="V526" s="1" t="s">
        <v>4598</v>
      </c>
      <c r="W526" s="1" t="s">
        <v>74</v>
      </c>
      <c r="X526" s="1" t="s">
        <v>74</v>
      </c>
      <c r="Y526" s="1" t="s">
        <v>74</v>
      </c>
      <c r="Z526" s="1" t="s">
        <v>74</v>
      </c>
      <c r="AA526" s="1" t="s">
        <v>1930</v>
      </c>
      <c r="AB526" s="1" t="s">
        <v>4599</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4600</v>
      </c>
      <c r="AP526" s="1" t="s">
        <v>4601</v>
      </c>
      <c r="AQ526" s="1" t="s">
        <v>74</v>
      </c>
      <c r="AR526" s="1" t="s">
        <v>74</v>
      </c>
      <c r="AS526" s="1" t="s">
        <v>74</v>
      </c>
      <c r="AT526" s="1" t="s">
        <v>158</v>
      </c>
      <c r="AU526" s="1">
        <v>2013.0</v>
      </c>
      <c r="AV526" s="1">
        <v>25.0</v>
      </c>
      <c r="AW526" s="1">
        <v>3.0</v>
      </c>
      <c r="AX526" s="1" t="s">
        <v>74</v>
      </c>
      <c r="AY526" s="1" t="s">
        <v>74</v>
      </c>
      <c r="AZ526" s="1" t="s">
        <v>74</v>
      </c>
      <c r="BA526" s="1" t="s">
        <v>74</v>
      </c>
      <c r="BB526" s="1">
        <v>345.0</v>
      </c>
      <c r="BC526" s="1">
        <v>386.0</v>
      </c>
      <c r="BD526" s="1" t="s">
        <v>74</v>
      </c>
      <c r="BE526" s="1" t="s">
        <v>4602</v>
      </c>
      <c r="BF526" s="2" t="str">
        <f>HYPERLINK("http://dx.doi.org/10.1007/s00498-012-0103-1","http://dx.doi.org/10.1007/s00498-012-0103-1")</f>
        <v>http://dx.doi.org/10.1007/s00498-012-0103-1</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4603</v>
      </c>
      <c r="BT526" s="1" t="str">
        <f>HYPERLINK("https%3A%2F%2Fwww.webofscience.com%2Fwos%2Fwoscc%2Ffull-record%2FWOS:000322673700004","View Full Record in Web of Science")</f>
        <v>View Full Record in Web of Science</v>
      </c>
    </row>
    <row r="527" ht="12.75" customHeight="1">
      <c r="A527" s="1" t="s">
        <v>72</v>
      </c>
      <c r="B527" s="1" t="s">
        <v>1273</v>
      </c>
      <c r="C527" s="1" t="s">
        <v>74</v>
      </c>
      <c r="D527" s="1" t="s">
        <v>74</v>
      </c>
      <c r="E527" s="1" t="s">
        <v>74</v>
      </c>
      <c r="F527" s="1" t="s">
        <v>1274</v>
      </c>
      <c r="G527" s="1" t="s">
        <v>74</v>
      </c>
      <c r="H527" s="1" t="s">
        <v>74</v>
      </c>
      <c r="I527" s="1" t="s">
        <v>4604</v>
      </c>
      <c r="J527" s="1" t="s">
        <v>4605</v>
      </c>
      <c r="K527" s="1" t="s">
        <v>74</v>
      </c>
      <c r="L527" s="1" t="s">
        <v>74</v>
      </c>
      <c r="M527" s="1" t="s">
        <v>74</v>
      </c>
      <c r="N527" s="1" t="s">
        <v>74</v>
      </c>
      <c r="O527" s="1" t="s">
        <v>74</v>
      </c>
      <c r="P527" s="1" t="s">
        <v>74</v>
      </c>
      <c r="Q527" s="1" t="s">
        <v>74</v>
      </c>
      <c r="R527" s="1" t="s">
        <v>74</v>
      </c>
      <c r="S527" s="1" t="s">
        <v>74</v>
      </c>
      <c r="T527" s="1" t="s">
        <v>74</v>
      </c>
      <c r="U527" s="1" t="s">
        <v>74</v>
      </c>
      <c r="V527" s="1" t="s">
        <v>4606</v>
      </c>
      <c r="W527" s="1" t="s">
        <v>74</v>
      </c>
      <c r="X527" s="1" t="s">
        <v>74</v>
      </c>
      <c r="Y527" s="1" t="s">
        <v>74</v>
      </c>
      <c r="Z527" s="1" t="s">
        <v>74</v>
      </c>
      <c r="AA527" s="1" t="s">
        <v>1278</v>
      </c>
      <c r="AB527" s="1" t="s">
        <v>1279</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4607</v>
      </c>
      <c r="AP527" s="1" t="s">
        <v>74</v>
      </c>
      <c r="AQ527" s="1" t="s">
        <v>74</v>
      </c>
      <c r="AR527" s="1" t="s">
        <v>74</v>
      </c>
      <c r="AS527" s="1" t="s">
        <v>74</v>
      </c>
      <c r="AT527" s="1" t="s">
        <v>256</v>
      </c>
      <c r="AU527" s="1">
        <v>2013.0</v>
      </c>
      <c r="AV527" s="1">
        <v>108.0</v>
      </c>
      <c r="AW527" s="1">
        <v>2.0</v>
      </c>
      <c r="AX527" s="1" t="s">
        <v>74</v>
      </c>
      <c r="AY527" s="1" t="s">
        <v>74</v>
      </c>
      <c r="AZ527" s="1" t="s">
        <v>74</v>
      </c>
      <c r="BA527" s="1" t="s">
        <v>74</v>
      </c>
      <c r="BB527" s="1">
        <v>173.0</v>
      </c>
      <c r="BC527" s="1">
        <v>202.0</v>
      </c>
      <c r="BD527" s="1" t="s">
        <v>74</v>
      </c>
      <c r="BE527" s="1" t="s">
        <v>4608</v>
      </c>
      <c r="BF527" s="2" t="str">
        <f>HYPERLINK("http://dx.doi.org/10.1007/s00712-012-0272-x","http://dx.doi.org/10.1007/s00712-012-0272-x")</f>
        <v>http://dx.doi.org/10.1007/s00712-012-0272-x</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4609</v>
      </c>
      <c r="BT527" s="1" t="str">
        <f>HYPERLINK("https%3A%2F%2Fwww.webofscience.com%2Fwos%2Fwoscc%2Ffull-record%2FWOS:000315273100004","View Full Record in Web of Science")</f>
        <v>View Full Record in Web of Science</v>
      </c>
    </row>
    <row r="528" ht="12.75" customHeight="1">
      <c r="A528" s="1" t="s">
        <v>72</v>
      </c>
      <c r="B528" s="1" t="s">
        <v>4610</v>
      </c>
      <c r="C528" s="1" t="s">
        <v>74</v>
      </c>
      <c r="D528" s="1" t="s">
        <v>74</v>
      </c>
      <c r="E528" s="1" t="s">
        <v>74</v>
      </c>
      <c r="F528" s="1" t="s">
        <v>4611</v>
      </c>
      <c r="G528" s="1" t="s">
        <v>74</v>
      </c>
      <c r="H528" s="1" t="s">
        <v>74</v>
      </c>
      <c r="I528" s="1" t="s">
        <v>4612</v>
      </c>
      <c r="J528" s="1" t="s">
        <v>4613</v>
      </c>
      <c r="K528" s="1" t="s">
        <v>74</v>
      </c>
      <c r="L528" s="1" t="s">
        <v>74</v>
      </c>
      <c r="M528" s="1" t="s">
        <v>74</v>
      </c>
      <c r="N528" s="1" t="s">
        <v>74</v>
      </c>
      <c r="O528" s="1" t="s">
        <v>74</v>
      </c>
      <c r="P528" s="1" t="s">
        <v>74</v>
      </c>
      <c r="Q528" s="1" t="s">
        <v>74</v>
      </c>
      <c r="R528" s="1" t="s">
        <v>74</v>
      </c>
      <c r="S528" s="1" t="s">
        <v>74</v>
      </c>
      <c r="T528" s="1" t="s">
        <v>74</v>
      </c>
      <c r="U528" s="1" t="s">
        <v>74</v>
      </c>
      <c r="V528" s="1" t="s">
        <v>4614</v>
      </c>
      <c r="W528" s="1" t="s">
        <v>74</v>
      </c>
      <c r="X528" s="1" t="s">
        <v>74</v>
      </c>
      <c r="Y528" s="1" t="s">
        <v>74</v>
      </c>
      <c r="Z528" s="1" t="s">
        <v>74</v>
      </c>
      <c r="AA528" s="1" t="s">
        <v>74</v>
      </c>
      <c r="AB528" s="1" t="s">
        <v>4615</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4616</v>
      </c>
      <c r="AP528" s="1" t="s">
        <v>74</v>
      </c>
      <c r="AQ528" s="1" t="s">
        <v>74</v>
      </c>
      <c r="AR528" s="1" t="s">
        <v>74</v>
      </c>
      <c r="AS528" s="1" t="s">
        <v>74</v>
      </c>
      <c r="AT528" s="1" t="s">
        <v>1560</v>
      </c>
      <c r="AU528" s="1">
        <v>2012.0</v>
      </c>
      <c r="AV528" s="1">
        <v>350.0</v>
      </c>
      <c r="AW528" s="1">
        <v>1.0</v>
      </c>
      <c r="AX528" s="1" t="s">
        <v>74</v>
      </c>
      <c r="AY528" s="1" t="s">
        <v>74</v>
      </c>
      <c r="AZ528" s="1" t="s">
        <v>74</v>
      </c>
      <c r="BA528" s="1" t="s">
        <v>74</v>
      </c>
      <c r="BB528" s="1">
        <v>318.0</v>
      </c>
      <c r="BC528" s="1">
        <v>329.0</v>
      </c>
      <c r="BD528" s="1" t="s">
        <v>74</v>
      </c>
      <c r="BE528" s="1" t="s">
        <v>4617</v>
      </c>
      <c r="BF528" s="2" t="str">
        <f>HYPERLINK("http://dx.doi.org/10.1016/j.jalgebra.2011.10.036","http://dx.doi.org/10.1016/j.jalgebra.2011.10.036")</f>
        <v>http://dx.doi.org/10.1016/j.jalgebra.2011.10.036</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4618</v>
      </c>
      <c r="BT528" s="1" t="str">
        <f>HYPERLINK("https%3A%2F%2Fwww.webofscience.com%2Fwos%2Fwoscc%2Ffull-record%2FWOS:000297970700018","View Full Record in Web of Science")</f>
        <v>View Full Record in Web of Science</v>
      </c>
    </row>
    <row r="529" ht="12.75" customHeight="1">
      <c r="A529" s="1" t="s">
        <v>72</v>
      </c>
      <c r="B529" s="1" t="s">
        <v>2650</v>
      </c>
      <c r="C529" s="1" t="s">
        <v>74</v>
      </c>
      <c r="D529" s="1" t="s">
        <v>74</v>
      </c>
      <c r="E529" s="1" t="s">
        <v>74</v>
      </c>
      <c r="F529" s="1" t="s">
        <v>2651</v>
      </c>
      <c r="G529" s="1" t="s">
        <v>74</v>
      </c>
      <c r="H529" s="1" t="s">
        <v>74</v>
      </c>
      <c r="I529" s="1" t="s">
        <v>4619</v>
      </c>
      <c r="J529" s="1" t="s">
        <v>4620</v>
      </c>
      <c r="K529" s="1" t="s">
        <v>74</v>
      </c>
      <c r="L529" s="1" t="s">
        <v>74</v>
      </c>
      <c r="M529" s="1" t="s">
        <v>74</v>
      </c>
      <c r="N529" s="1" t="s">
        <v>74</v>
      </c>
      <c r="O529" s="1" t="s">
        <v>74</v>
      </c>
      <c r="P529" s="1" t="s">
        <v>74</v>
      </c>
      <c r="Q529" s="1" t="s">
        <v>74</v>
      </c>
      <c r="R529" s="1" t="s">
        <v>74</v>
      </c>
      <c r="S529" s="1" t="s">
        <v>74</v>
      </c>
      <c r="T529" s="1" t="s">
        <v>74</v>
      </c>
      <c r="U529" s="1" t="s">
        <v>74</v>
      </c>
      <c r="V529" s="1" t="s">
        <v>4621</v>
      </c>
      <c r="W529" s="1" t="s">
        <v>74</v>
      </c>
      <c r="X529" s="1" t="s">
        <v>74</v>
      </c>
      <c r="Y529" s="1" t="s">
        <v>74</v>
      </c>
      <c r="Z529" s="1" t="s">
        <v>74</v>
      </c>
      <c r="AA529" s="1" t="s">
        <v>74</v>
      </c>
      <c r="AB529" s="1" t="s">
        <v>4622</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4623</v>
      </c>
      <c r="AP529" s="1" t="s">
        <v>74</v>
      </c>
      <c r="AQ529" s="1" t="s">
        <v>74</v>
      </c>
      <c r="AR529" s="1" t="s">
        <v>74</v>
      </c>
      <c r="AS529" s="1" t="s">
        <v>74</v>
      </c>
      <c r="AT529" s="1" t="s">
        <v>74</v>
      </c>
      <c r="AU529" s="1">
        <v>2012.0</v>
      </c>
      <c r="AV529" s="1">
        <v>53.0</v>
      </c>
      <c r="AW529" s="1">
        <v>4.0</v>
      </c>
      <c r="AX529" s="1" t="s">
        <v>74</v>
      </c>
      <c r="AY529" s="1" t="s">
        <v>74</v>
      </c>
      <c r="AZ529" s="1" t="s">
        <v>74</v>
      </c>
      <c r="BA529" s="1" t="s">
        <v>74</v>
      </c>
      <c r="BB529" s="1">
        <v>521.0</v>
      </c>
      <c r="BC529" s="1">
        <v>545.0</v>
      </c>
      <c r="BD529" s="1" t="s">
        <v>74</v>
      </c>
      <c r="BE529" s="1" t="s">
        <v>4624</v>
      </c>
      <c r="BF529" s="2" t="str">
        <f>HYPERLINK("http://dx.doi.org/10.4067/S0049-34492012000300005","http://dx.doi.org/10.4067/S0049-34492012000300005")</f>
        <v>http://dx.doi.org/10.4067/S0049-34492012000300005</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4625</v>
      </c>
      <c r="BT529" s="1" t="str">
        <f>HYPERLINK("https%3A%2F%2Fwww.webofscience.com%2Fwos%2Fwoscc%2Ffull-record%2FWOS:000208941000005","View Full Record in Web of Science")</f>
        <v>View Full Record in Web of Science</v>
      </c>
    </row>
    <row r="530" ht="12.75" customHeight="1">
      <c r="A530" s="1" t="s">
        <v>72</v>
      </c>
      <c r="B530" s="1" t="s">
        <v>4626</v>
      </c>
      <c r="C530" s="1" t="s">
        <v>74</v>
      </c>
      <c r="D530" s="1" t="s">
        <v>74</v>
      </c>
      <c r="E530" s="1" t="s">
        <v>74</v>
      </c>
      <c r="F530" s="1" t="s">
        <v>4627</v>
      </c>
      <c r="G530" s="1" t="s">
        <v>74</v>
      </c>
      <c r="H530" s="1" t="s">
        <v>74</v>
      </c>
      <c r="I530" s="1" t="s">
        <v>4628</v>
      </c>
      <c r="J530" s="1" t="s">
        <v>2048</v>
      </c>
      <c r="K530" s="1" t="s">
        <v>74</v>
      </c>
      <c r="L530" s="1" t="s">
        <v>74</v>
      </c>
      <c r="M530" s="1" t="s">
        <v>74</v>
      </c>
      <c r="N530" s="1" t="s">
        <v>74</v>
      </c>
      <c r="O530" s="1" t="s">
        <v>74</v>
      </c>
      <c r="P530" s="1" t="s">
        <v>74</v>
      </c>
      <c r="Q530" s="1" t="s">
        <v>74</v>
      </c>
      <c r="R530" s="1" t="s">
        <v>74</v>
      </c>
      <c r="S530" s="1" t="s">
        <v>74</v>
      </c>
      <c r="T530" s="1" t="s">
        <v>74</v>
      </c>
      <c r="U530" s="1" t="s">
        <v>74</v>
      </c>
      <c r="V530" s="1" t="s">
        <v>4629</v>
      </c>
      <c r="W530" s="1" t="s">
        <v>74</v>
      </c>
      <c r="X530" s="1" t="s">
        <v>74</v>
      </c>
      <c r="Y530" s="1" t="s">
        <v>74</v>
      </c>
      <c r="Z530" s="1" t="s">
        <v>74</v>
      </c>
      <c r="AA530" s="1" t="s">
        <v>74</v>
      </c>
      <c r="AB530" s="1" t="s">
        <v>74</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2050</v>
      </c>
      <c r="AP530" s="1" t="s">
        <v>74</v>
      </c>
      <c r="AQ530" s="1" t="s">
        <v>74</v>
      </c>
      <c r="AR530" s="1" t="s">
        <v>74</v>
      </c>
      <c r="AS530" s="1" t="s">
        <v>74</v>
      </c>
      <c r="AT530" s="1" t="s">
        <v>410</v>
      </c>
      <c r="AU530" s="1">
        <v>2011.0</v>
      </c>
      <c r="AV530" s="1">
        <v>10.0</v>
      </c>
      <c r="AW530" s="1">
        <v>6.0</v>
      </c>
      <c r="AX530" s="1" t="s">
        <v>74</v>
      </c>
      <c r="AY530" s="1" t="s">
        <v>74</v>
      </c>
      <c r="AZ530" s="1" t="s">
        <v>74</v>
      </c>
      <c r="BA530" s="1" t="s">
        <v>74</v>
      </c>
      <c r="BB530" s="1">
        <v>500.0</v>
      </c>
      <c r="BC530" s="1">
        <v>506.0</v>
      </c>
      <c r="BD530" s="1" t="s">
        <v>74</v>
      </c>
      <c r="BE530" s="1" t="s">
        <v>74</v>
      </c>
      <c r="BF530" s="1" t="s">
        <v>74</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4630</v>
      </c>
      <c r="BT530" s="1" t="str">
        <f>HYPERLINK("https%3A%2F%2Fwww.webofscience.com%2Fwos%2Fwoscc%2Ffull-record%2FWOS:000297724500003","View Full Record in Web of Science")</f>
        <v>View Full Record in Web of Science</v>
      </c>
    </row>
    <row r="531" ht="12.75" customHeight="1">
      <c r="A531" s="1" t="s">
        <v>72</v>
      </c>
      <c r="B531" s="1" t="s">
        <v>4631</v>
      </c>
      <c r="C531" s="1" t="s">
        <v>74</v>
      </c>
      <c r="D531" s="1" t="s">
        <v>74</v>
      </c>
      <c r="E531" s="1" t="s">
        <v>74</v>
      </c>
      <c r="F531" s="1" t="s">
        <v>4632</v>
      </c>
      <c r="G531" s="1" t="s">
        <v>74</v>
      </c>
      <c r="H531" s="1" t="s">
        <v>74</v>
      </c>
      <c r="I531" s="1" t="s">
        <v>4633</v>
      </c>
      <c r="J531" s="1" t="s">
        <v>864</v>
      </c>
      <c r="K531" s="1" t="s">
        <v>74</v>
      </c>
      <c r="L531" s="1" t="s">
        <v>74</v>
      </c>
      <c r="M531" s="1" t="s">
        <v>74</v>
      </c>
      <c r="N531" s="1" t="s">
        <v>74</v>
      </c>
      <c r="O531" s="1" t="s">
        <v>74</v>
      </c>
      <c r="P531" s="1" t="s">
        <v>74</v>
      </c>
      <c r="Q531" s="1" t="s">
        <v>74</v>
      </c>
      <c r="R531" s="1" t="s">
        <v>74</v>
      </c>
      <c r="S531" s="1" t="s">
        <v>74</v>
      </c>
      <c r="T531" s="1" t="s">
        <v>74</v>
      </c>
      <c r="U531" s="1" t="s">
        <v>74</v>
      </c>
      <c r="V531" s="1" t="s">
        <v>4634</v>
      </c>
      <c r="W531" s="1" t="s">
        <v>74</v>
      </c>
      <c r="X531" s="1" t="s">
        <v>74</v>
      </c>
      <c r="Y531" s="1" t="s">
        <v>74</v>
      </c>
      <c r="Z531" s="1" t="s">
        <v>74</v>
      </c>
      <c r="AA531" s="1" t="s">
        <v>4635</v>
      </c>
      <c r="AB531" s="1" t="s">
        <v>4636</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1586</v>
      </c>
      <c r="AP531" s="1" t="s">
        <v>1587</v>
      </c>
      <c r="AQ531" s="1" t="s">
        <v>74</v>
      </c>
      <c r="AR531" s="1" t="s">
        <v>74</v>
      </c>
      <c r="AS531" s="1" t="s">
        <v>74</v>
      </c>
      <c r="AT531" s="1" t="s">
        <v>4637</v>
      </c>
      <c r="AU531" s="1">
        <v>2011.0</v>
      </c>
      <c r="AV531" s="1">
        <v>84.0</v>
      </c>
      <c r="AW531" s="1">
        <v>4.0</v>
      </c>
      <c r="AX531" s="1">
        <v>1.0</v>
      </c>
      <c r="AY531" s="1" t="s">
        <v>74</v>
      </c>
      <c r="AZ531" s="1" t="s">
        <v>74</v>
      </c>
      <c r="BA531" s="1" t="s">
        <v>74</v>
      </c>
      <c r="BB531" s="1" t="s">
        <v>74</v>
      </c>
      <c r="BC531" s="1" t="s">
        <v>74</v>
      </c>
      <c r="BD531" s="1">
        <v>41304.0</v>
      </c>
      <c r="BE531" s="1" t="s">
        <v>4638</v>
      </c>
      <c r="BF531" s="2" t="str">
        <f>HYPERLINK("http://dx.doi.org/10.1103/PhysRevE.84.041304","http://dx.doi.org/10.1103/PhysRevE.84.041304")</f>
        <v>http://dx.doi.org/10.1103/PhysRevE.84.041304</v>
      </c>
      <c r="BG531" s="1" t="s">
        <v>74</v>
      </c>
      <c r="BH531" s="1" t="s">
        <v>74</v>
      </c>
      <c r="BI531" s="1" t="s">
        <v>74</v>
      </c>
      <c r="BJ531" s="1" t="s">
        <v>74</v>
      </c>
      <c r="BK531" s="1" t="s">
        <v>74</v>
      </c>
      <c r="BL531" s="1" t="s">
        <v>74</v>
      </c>
      <c r="BM531" s="1" t="s">
        <v>74</v>
      </c>
      <c r="BN531" s="1">
        <v>2.2181132E7</v>
      </c>
      <c r="BO531" s="1" t="s">
        <v>74</v>
      </c>
      <c r="BP531" s="1" t="s">
        <v>74</v>
      </c>
      <c r="BQ531" s="1" t="s">
        <v>74</v>
      </c>
      <c r="BR531" s="1" t="s">
        <v>74</v>
      </c>
      <c r="BS531" s="1" t="s">
        <v>4639</v>
      </c>
      <c r="BT531" s="1" t="str">
        <f>HYPERLINK("https%3A%2F%2Fwww.webofscience.com%2Fwos%2Fwoscc%2Ffull-record%2FWOS:000296524500004","View Full Record in Web of Science")</f>
        <v>View Full Record in Web of Science</v>
      </c>
    </row>
    <row r="532" ht="12.75" customHeight="1">
      <c r="A532" s="1" t="s">
        <v>72</v>
      </c>
      <c r="B532" s="1" t="s">
        <v>4640</v>
      </c>
      <c r="C532" s="1" t="s">
        <v>74</v>
      </c>
      <c r="D532" s="1" t="s">
        <v>74</v>
      </c>
      <c r="E532" s="1" t="s">
        <v>74</v>
      </c>
      <c r="F532" s="1" t="s">
        <v>4641</v>
      </c>
      <c r="G532" s="1" t="s">
        <v>74</v>
      </c>
      <c r="H532" s="1" t="s">
        <v>74</v>
      </c>
      <c r="I532" s="1" t="s">
        <v>4642</v>
      </c>
      <c r="J532" s="1" t="s">
        <v>816</v>
      </c>
      <c r="K532" s="1" t="s">
        <v>74</v>
      </c>
      <c r="L532" s="1" t="s">
        <v>74</v>
      </c>
      <c r="M532" s="1" t="s">
        <v>74</v>
      </c>
      <c r="N532" s="1" t="s">
        <v>74</v>
      </c>
      <c r="O532" s="1" t="s">
        <v>74</v>
      </c>
      <c r="P532" s="1" t="s">
        <v>74</v>
      </c>
      <c r="Q532" s="1" t="s">
        <v>74</v>
      </c>
      <c r="R532" s="1" t="s">
        <v>74</v>
      </c>
      <c r="S532" s="1" t="s">
        <v>74</v>
      </c>
      <c r="T532" s="1" t="s">
        <v>74</v>
      </c>
      <c r="U532" s="1" t="s">
        <v>74</v>
      </c>
      <c r="V532" s="1" t="s">
        <v>4643</v>
      </c>
      <c r="W532" s="1" t="s">
        <v>74</v>
      </c>
      <c r="X532" s="1" t="s">
        <v>74</v>
      </c>
      <c r="Y532" s="1" t="s">
        <v>74</v>
      </c>
      <c r="Z532" s="1" t="s">
        <v>74</v>
      </c>
      <c r="AA532" s="1" t="s">
        <v>74</v>
      </c>
      <c r="AB532" s="1" t="s">
        <v>74</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817</v>
      </c>
      <c r="AP532" s="1" t="s">
        <v>994</v>
      </c>
      <c r="AQ532" s="1" t="s">
        <v>74</v>
      </c>
      <c r="AR532" s="1" t="s">
        <v>74</v>
      </c>
      <c r="AS532" s="1" t="s">
        <v>74</v>
      </c>
      <c r="AT532" s="1" t="s">
        <v>974</v>
      </c>
      <c r="AU532" s="1">
        <v>2010.0</v>
      </c>
      <c r="AV532" s="1">
        <v>138.0</v>
      </c>
      <c r="AW532" s="1">
        <v>8.0</v>
      </c>
      <c r="AX532" s="1" t="s">
        <v>74</v>
      </c>
      <c r="AY532" s="1" t="s">
        <v>74</v>
      </c>
      <c r="AZ532" s="1" t="s">
        <v>74</v>
      </c>
      <c r="BA532" s="1" t="s">
        <v>74</v>
      </c>
      <c r="BB532" s="1">
        <v>982.0</v>
      </c>
      <c r="BC532" s="1">
        <v>987.0</v>
      </c>
      <c r="BD532" s="1" t="s">
        <v>74</v>
      </c>
      <c r="BE532" s="1" t="s">
        <v>74</v>
      </c>
      <c r="BF532" s="1" t="s">
        <v>74</v>
      </c>
      <c r="BG532" s="1" t="s">
        <v>74</v>
      </c>
      <c r="BH532" s="1" t="s">
        <v>74</v>
      </c>
      <c r="BI532" s="1" t="s">
        <v>74</v>
      </c>
      <c r="BJ532" s="1" t="s">
        <v>74</v>
      </c>
      <c r="BK532" s="1" t="s">
        <v>74</v>
      </c>
      <c r="BL532" s="1" t="s">
        <v>74</v>
      </c>
      <c r="BM532" s="1" t="s">
        <v>74</v>
      </c>
      <c r="BN532" s="1">
        <v>2.1140055E7</v>
      </c>
      <c r="BO532" s="1" t="s">
        <v>74</v>
      </c>
      <c r="BP532" s="1" t="s">
        <v>74</v>
      </c>
      <c r="BQ532" s="1" t="s">
        <v>74</v>
      </c>
      <c r="BR532" s="1" t="s">
        <v>74</v>
      </c>
      <c r="BS532" s="1" t="s">
        <v>4644</v>
      </c>
      <c r="BT532" s="1" t="str">
        <f>HYPERLINK("https%3A%2F%2Fwww.webofscience.com%2Fwos%2Fwoscc%2Ffull-record%2FWOS:000281907400006","View Full Record in Web of Science")</f>
        <v>View Full Record in Web of Science</v>
      </c>
    </row>
    <row r="533" ht="12.75" customHeight="1">
      <c r="A533" s="1" t="s">
        <v>72</v>
      </c>
      <c r="B533" s="1" t="s">
        <v>548</v>
      </c>
      <c r="C533" s="1" t="s">
        <v>74</v>
      </c>
      <c r="D533" s="1" t="s">
        <v>74</v>
      </c>
      <c r="E533" s="1" t="s">
        <v>74</v>
      </c>
      <c r="F533" s="1" t="s">
        <v>549</v>
      </c>
      <c r="G533" s="1" t="s">
        <v>74</v>
      </c>
      <c r="H533" s="1" t="s">
        <v>74</v>
      </c>
      <c r="I533" s="1" t="s">
        <v>4645</v>
      </c>
      <c r="J533" s="1" t="s">
        <v>1302</v>
      </c>
      <c r="K533" s="1" t="s">
        <v>74</v>
      </c>
      <c r="L533" s="1" t="s">
        <v>74</v>
      </c>
      <c r="M533" s="1" t="s">
        <v>74</v>
      </c>
      <c r="N533" s="1" t="s">
        <v>74</v>
      </c>
      <c r="O533" s="1" t="s">
        <v>74</v>
      </c>
      <c r="P533" s="1" t="s">
        <v>74</v>
      </c>
      <c r="Q533" s="1" t="s">
        <v>74</v>
      </c>
      <c r="R533" s="1" t="s">
        <v>74</v>
      </c>
      <c r="S533" s="1" t="s">
        <v>74</v>
      </c>
      <c r="T533" s="1" t="s">
        <v>74</v>
      </c>
      <c r="U533" s="1" t="s">
        <v>74</v>
      </c>
      <c r="V533" s="1" t="s">
        <v>4646</v>
      </c>
      <c r="W533" s="1" t="s">
        <v>74</v>
      </c>
      <c r="X533" s="1" t="s">
        <v>74</v>
      </c>
      <c r="Y533" s="1" t="s">
        <v>74</v>
      </c>
      <c r="Z533" s="1" t="s">
        <v>74</v>
      </c>
      <c r="AA533" s="1" t="s">
        <v>74</v>
      </c>
      <c r="AB533" s="1" t="s">
        <v>4647</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1304</v>
      </c>
      <c r="AP533" s="1" t="s">
        <v>1305</v>
      </c>
      <c r="AQ533" s="1" t="s">
        <v>74</v>
      </c>
      <c r="AR533" s="1" t="s">
        <v>74</v>
      </c>
      <c r="AS533" s="1" t="s">
        <v>74</v>
      </c>
      <c r="AT533" s="1" t="s">
        <v>158</v>
      </c>
      <c r="AU533" s="1">
        <v>2009.0</v>
      </c>
      <c r="AV533" s="1" t="s">
        <v>74</v>
      </c>
      <c r="AW533" s="1">
        <v>44.0</v>
      </c>
      <c r="AX533" s="1" t="s">
        <v>74</v>
      </c>
      <c r="AY533" s="1" t="s">
        <v>74</v>
      </c>
      <c r="AZ533" s="1" t="s">
        <v>74</v>
      </c>
      <c r="BA533" s="1" t="s">
        <v>74</v>
      </c>
      <c r="BB533" s="1">
        <v>53.0</v>
      </c>
      <c r="BC533" s="1">
        <v>65.0</v>
      </c>
      <c r="BD533" s="1" t="s">
        <v>74</v>
      </c>
      <c r="BE533" s="1" t="s">
        <v>74</v>
      </c>
      <c r="BF533" s="1" t="s">
        <v>74</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4648</v>
      </c>
      <c r="BT533" s="1" t="str">
        <f>HYPERLINK("https%3A%2F%2Fwww.webofscience.com%2Fwos%2Fwoscc%2Ffull-record%2FWOS:000269722700003","View Full Record in Web of Science")</f>
        <v>View Full Record in Web of Science</v>
      </c>
    </row>
    <row r="534" ht="12.75" customHeight="1">
      <c r="A534" s="1" t="s">
        <v>72</v>
      </c>
      <c r="B534" s="1" t="s">
        <v>413</v>
      </c>
      <c r="C534" s="1" t="s">
        <v>74</v>
      </c>
      <c r="D534" s="1" t="s">
        <v>74</v>
      </c>
      <c r="E534" s="1" t="s">
        <v>74</v>
      </c>
      <c r="F534" s="1" t="s">
        <v>414</v>
      </c>
      <c r="G534" s="1" t="s">
        <v>74</v>
      </c>
      <c r="H534" s="1" t="s">
        <v>74</v>
      </c>
      <c r="I534" s="1" t="s">
        <v>4649</v>
      </c>
      <c r="J534" s="1" t="s">
        <v>4650</v>
      </c>
      <c r="K534" s="1" t="s">
        <v>74</v>
      </c>
      <c r="L534" s="1" t="s">
        <v>74</v>
      </c>
      <c r="M534" s="1" t="s">
        <v>74</v>
      </c>
      <c r="N534" s="1" t="s">
        <v>74</v>
      </c>
      <c r="O534" s="1" t="s">
        <v>74</v>
      </c>
      <c r="P534" s="1" t="s">
        <v>74</v>
      </c>
      <c r="Q534" s="1" t="s">
        <v>74</v>
      </c>
      <c r="R534" s="1" t="s">
        <v>74</v>
      </c>
      <c r="S534" s="1" t="s">
        <v>74</v>
      </c>
      <c r="T534" s="1" t="s">
        <v>74</v>
      </c>
      <c r="U534" s="1" t="s">
        <v>74</v>
      </c>
      <c r="V534" s="1" t="s">
        <v>4651</v>
      </c>
      <c r="W534" s="1" t="s">
        <v>74</v>
      </c>
      <c r="X534" s="1" t="s">
        <v>74</v>
      </c>
      <c r="Y534" s="1" t="s">
        <v>74</v>
      </c>
      <c r="Z534" s="1" t="s">
        <v>74</v>
      </c>
      <c r="AA534" s="1" t="s">
        <v>74</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4652</v>
      </c>
      <c r="AP534" s="1" t="s">
        <v>74</v>
      </c>
      <c r="AQ534" s="1" t="s">
        <v>74</v>
      </c>
      <c r="AR534" s="1" t="s">
        <v>74</v>
      </c>
      <c r="AS534" s="1" t="s">
        <v>74</v>
      </c>
      <c r="AT534" s="1" t="s">
        <v>974</v>
      </c>
      <c r="AU534" s="1">
        <v>2009.0</v>
      </c>
      <c r="AV534" s="1">
        <v>10.0</v>
      </c>
      <c r="AW534" s="1">
        <v>4.0</v>
      </c>
      <c r="AX534" s="1" t="s">
        <v>74</v>
      </c>
      <c r="AY534" s="1" t="s">
        <v>74</v>
      </c>
      <c r="AZ534" s="1" t="s">
        <v>74</v>
      </c>
      <c r="BA534" s="1" t="s">
        <v>74</v>
      </c>
      <c r="BB534" s="1">
        <v>2441.0</v>
      </c>
      <c r="BC534" s="1">
        <v>2454.0</v>
      </c>
      <c r="BD534" s="1" t="s">
        <v>74</v>
      </c>
      <c r="BE534" s="1" t="s">
        <v>4653</v>
      </c>
      <c r="BF534" s="2" t="str">
        <f>HYPERLINK("http://dx.doi.org/10.1016/j.nonrwa.2008.05.002","http://dx.doi.org/10.1016/j.nonrwa.2008.05.002")</f>
        <v>http://dx.doi.org/10.1016/j.nonrwa.2008.05.002</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4654</v>
      </c>
      <c r="BT534" s="1" t="str">
        <f>HYPERLINK("https%3A%2F%2Fwww.webofscience.com%2Fwos%2Fwoscc%2Ffull-record%2FWOS:000264911200047","View Full Record in Web of Science")</f>
        <v>View Full Record in Web of Science</v>
      </c>
    </row>
    <row r="535" ht="12.75" customHeight="1">
      <c r="A535" s="1" t="s">
        <v>72</v>
      </c>
      <c r="B535" s="1" t="s">
        <v>4655</v>
      </c>
      <c r="C535" s="1" t="s">
        <v>74</v>
      </c>
      <c r="D535" s="1" t="s">
        <v>74</v>
      </c>
      <c r="E535" s="1" t="s">
        <v>74</v>
      </c>
      <c r="F535" s="1" t="s">
        <v>4656</v>
      </c>
      <c r="G535" s="1" t="s">
        <v>74</v>
      </c>
      <c r="H535" s="1" t="s">
        <v>74</v>
      </c>
      <c r="I535" s="1" t="s">
        <v>4657</v>
      </c>
      <c r="J535" s="1" t="s">
        <v>4658</v>
      </c>
      <c r="K535" s="1" t="s">
        <v>74</v>
      </c>
      <c r="L535" s="1" t="s">
        <v>74</v>
      </c>
      <c r="M535" s="1" t="s">
        <v>74</v>
      </c>
      <c r="N535" s="1" t="s">
        <v>74</v>
      </c>
      <c r="O535" s="1" t="s">
        <v>74</v>
      </c>
      <c r="P535" s="1" t="s">
        <v>74</v>
      </c>
      <c r="Q535" s="1" t="s">
        <v>74</v>
      </c>
      <c r="R535" s="1" t="s">
        <v>74</v>
      </c>
      <c r="S535" s="1" t="s">
        <v>74</v>
      </c>
      <c r="T535" s="1" t="s">
        <v>74</v>
      </c>
      <c r="U535" s="1" t="s">
        <v>74</v>
      </c>
      <c r="V535" s="1" t="s">
        <v>4659</v>
      </c>
      <c r="W535" s="1" t="s">
        <v>74</v>
      </c>
      <c r="X535" s="1" t="s">
        <v>74</v>
      </c>
      <c r="Y535" s="1" t="s">
        <v>74</v>
      </c>
      <c r="Z535" s="1" t="s">
        <v>74</v>
      </c>
      <c r="AA535" s="1" t="s">
        <v>4660</v>
      </c>
      <c r="AB535" s="1" t="s">
        <v>1581</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4661</v>
      </c>
      <c r="AP535" s="1" t="s">
        <v>4662</v>
      </c>
      <c r="AQ535" s="1" t="s">
        <v>74</v>
      </c>
      <c r="AR535" s="1" t="s">
        <v>74</v>
      </c>
      <c r="AS535" s="1" t="s">
        <v>74</v>
      </c>
      <c r="AT535" s="1" t="s">
        <v>193</v>
      </c>
      <c r="AU535" s="1">
        <v>2009.0</v>
      </c>
      <c r="AV535" s="1">
        <v>18.0</v>
      </c>
      <c r="AW535" s="1">
        <v>1.0</v>
      </c>
      <c r="AX535" s="1" t="s">
        <v>74</v>
      </c>
      <c r="AY535" s="1" t="s">
        <v>74</v>
      </c>
      <c r="AZ535" s="1" t="s">
        <v>74</v>
      </c>
      <c r="BA535" s="1" t="s">
        <v>74</v>
      </c>
      <c r="BB535" s="1">
        <v>21.0</v>
      </c>
      <c r="BC535" s="1">
        <v>30.0</v>
      </c>
      <c r="BD535" s="1" t="s">
        <v>74</v>
      </c>
      <c r="BE535" s="1" t="s">
        <v>74</v>
      </c>
      <c r="BF535" s="1" t="s">
        <v>74</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4663</v>
      </c>
      <c r="BT535" s="1" t="str">
        <f>HYPERLINK("https%3A%2F%2Fwww.webofscience.com%2Fwos%2Fwoscc%2Ffull-record%2FWOS:000270440600003","View Full Record in Web of Science")</f>
        <v>View Full Record in Web of Science</v>
      </c>
    </row>
    <row r="536" ht="12.75" customHeight="1">
      <c r="A536" s="1" t="s">
        <v>72</v>
      </c>
      <c r="B536" s="1" t="s">
        <v>2650</v>
      </c>
      <c r="C536" s="1" t="s">
        <v>74</v>
      </c>
      <c r="D536" s="1" t="s">
        <v>74</v>
      </c>
      <c r="E536" s="1" t="s">
        <v>74</v>
      </c>
      <c r="F536" s="1" t="s">
        <v>2651</v>
      </c>
      <c r="G536" s="1" t="s">
        <v>74</v>
      </c>
      <c r="H536" s="1" t="s">
        <v>74</v>
      </c>
      <c r="I536" s="1" t="s">
        <v>4664</v>
      </c>
      <c r="J536" s="1" t="s">
        <v>1400</v>
      </c>
      <c r="K536" s="1" t="s">
        <v>74</v>
      </c>
      <c r="L536" s="1" t="s">
        <v>74</v>
      </c>
      <c r="M536" s="1" t="s">
        <v>74</v>
      </c>
      <c r="N536" s="1" t="s">
        <v>74</v>
      </c>
      <c r="O536" s="1" t="s">
        <v>74</v>
      </c>
      <c r="P536" s="1" t="s">
        <v>74</v>
      </c>
      <c r="Q536" s="1" t="s">
        <v>74</v>
      </c>
      <c r="R536" s="1" t="s">
        <v>74</v>
      </c>
      <c r="S536" s="1" t="s">
        <v>74</v>
      </c>
      <c r="T536" s="1" t="s">
        <v>74</v>
      </c>
      <c r="U536" s="1" t="s">
        <v>74</v>
      </c>
      <c r="V536" s="1" t="s">
        <v>74</v>
      </c>
      <c r="W536" s="1" t="s">
        <v>74</v>
      </c>
      <c r="X536" s="1" t="s">
        <v>74</v>
      </c>
      <c r="Y536" s="1" t="s">
        <v>74</v>
      </c>
      <c r="Z536" s="1" t="s">
        <v>74</v>
      </c>
      <c r="AA536" s="1" t="s">
        <v>74</v>
      </c>
      <c r="AB536" s="1" t="s">
        <v>4622</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1401</v>
      </c>
      <c r="AP536" s="1" t="s">
        <v>4665</v>
      </c>
      <c r="AQ536" s="1" t="s">
        <v>74</v>
      </c>
      <c r="AR536" s="1" t="s">
        <v>74</v>
      </c>
      <c r="AS536" s="1" t="s">
        <v>74</v>
      </c>
      <c r="AT536" s="1" t="s">
        <v>410</v>
      </c>
      <c r="AU536" s="1">
        <v>2008.0</v>
      </c>
      <c r="AV536" s="1">
        <v>37.0</v>
      </c>
      <c r="AW536" s="1">
        <v>2.0</v>
      </c>
      <c r="AX536" s="1" t="s">
        <v>74</v>
      </c>
      <c r="AY536" s="1" t="s">
        <v>74</v>
      </c>
      <c r="AZ536" s="1" t="s">
        <v>74</v>
      </c>
      <c r="BA536" s="1" t="s">
        <v>74</v>
      </c>
      <c r="BB536" s="1">
        <v>106.0</v>
      </c>
      <c r="BC536" s="1">
        <v>126.0</v>
      </c>
      <c r="BD536" s="1" t="s">
        <v>74</v>
      </c>
      <c r="BE536" s="1" t="s">
        <v>74</v>
      </c>
      <c r="BF536" s="1" t="s">
        <v>74</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4666</v>
      </c>
      <c r="BT536" s="1" t="str">
        <f>HYPERLINK("https%3A%2F%2Fwww.webofscience.com%2Fwos%2Fwoscc%2Ffull-record%2FWOS:000261390600007","View Full Record in Web of Science")</f>
        <v>View Full Record in Web of Science</v>
      </c>
    </row>
    <row r="537" ht="12.75" customHeight="1">
      <c r="A537" s="1" t="s">
        <v>72</v>
      </c>
      <c r="B537" s="1" t="s">
        <v>427</v>
      </c>
      <c r="C537" s="1" t="s">
        <v>74</v>
      </c>
      <c r="D537" s="1" t="s">
        <v>74</v>
      </c>
      <c r="E537" s="1" t="s">
        <v>74</v>
      </c>
      <c r="F537" s="1" t="s">
        <v>427</v>
      </c>
      <c r="G537" s="1" t="s">
        <v>74</v>
      </c>
      <c r="H537" s="1" t="s">
        <v>74</v>
      </c>
      <c r="I537" s="1" t="s">
        <v>4667</v>
      </c>
      <c r="J537" s="1" t="s">
        <v>430</v>
      </c>
      <c r="K537" s="1" t="s">
        <v>74</v>
      </c>
      <c r="L537" s="1" t="s">
        <v>74</v>
      </c>
      <c r="M537" s="1" t="s">
        <v>74</v>
      </c>
      <c r="N537" s="1" t="s">
        <v>74</v>
      </c>
      <c r="O537" s="1" t="s">
        <v>74</v>
      </c>
      <c r="P537" s="1" t="s">
        <v>74</v>
      </c>
      <c r="Q537" s="1" t="s">
        <v>74</v>
      </c>
      <c r="R537" s="1" t="s">
        <v>74</v>
      </c>
      <c r="S537" s="1" t="s">
        <v>74</v>
      </c>
      <c r="T537" s="1" t="s">
        <v>74</v>
      </c>
      <c r="U537" s="1" t="s">
        <v>74</v>
      </c>
      <c r="V537" s="1" t="s">
        <v>4668</v>
      </c>
      <c r="W537" s="1" t="s">
        <v>74</v>
      </c>
      <c r="X537" s="1" t="s">
        <v>74</v>
      </c>
      <c r="Y537" s="1" t="s">
        <v>74</v>
      </c>
      <c r="Z537" s="1" t="s">
        <v>74</v>
      </c>
      <c r="AA537" s="1" t="s">
        <v>74</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432</v>
      </c>
      <c r="AP537" s="1" t="s">
        <v>74</v>
      </c>
      <c r="AQ537" s="1" t="s">
        <v>74</v>
      </c>
      <c r="AR537" s="1" t="s">
        <v>74</v>
      </c>
      <c r="AS537" s="1" t="s">
        <v>74</v>
      </c>
      <c r="AT537" s="1" t="s">
        <v>74</v>
      </c>
      <c r="AU537" s="1">
        <v>2003.0</v>
      </c>
      <c r="AV537" s="1">
        <v>32.0</v>
      </c>
      <c r="AW537" s="1" t="s">
        <v>4669</v>
      </c>
      <c r="AX537" s="1" t="s">
        <v>74</v>
      </c>
      <c r="AY537" s="1" t="s">
        <v>74</v>
      </c>
      <c r="AZ537" s="1" t="s">
        <v>74</v>
      </c>
      <c r="BA537" s="1" t="s">
        <v>74</v>
      </c>
      <c r="BB537" s="1">
        <v>1464.0</v>
      </c>
      <c r="BC537" s="1">
        <v>1472.0</v>
      </c>
      <c r="BD537" s="1" t="s">
        <v>74</v>
      </c>
      <c r="BE537" s="1" t="s">
        <v>4670</v>
      </c>
      <c r="BF537" s="2" t="str">
        <f>HYPERLINK("http://dx.doi.org/10.1108/03684920310493350","http://dx.doi.org/10.1108/03684920310493350")</f>
        <v>http://dx.doi.org/10.1108/03684920310493350</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4671</v>
      </c>
      <c r="BT537" s="1" t="str">
        <f>HYPERLINK("https%3A%2F%2Fwww.webofscience.com%2Fwos%2Fwoscc%2Ffull-record%2FWOS:000186599000015","View Full Record in Web of Science")</f>
        <v>View Full Record in Web of Science</v>
      </c>
    </row>
    <row r="538" ht="12.75" customHeight="1">
      <c r="A538" s="1" t="s">
        <v>72</v>
      </c>
      <c r="B538" s="1" t="s">
        <v>3164</v>
      </c>
      <c r="C538" s="1" t="s">
        <v>74</v>
      </c>
      <c r="D538" s="1" t="s">
        <v>74</v>
      </c>
      <c r="E538" s="1" t="s">
        <v>74</v>
      </c>
      <c r="F538" s="1" t="s">
        <v>3164</v>
      </c>
      <c r="G538" s="1" t="s">
        <v>74</v>
      </c>
      <c r="H538" s="1" t="s">
        <v>74</v>
      </c>
      <c r="I538" s="1" t="s">
        <v>4672</v>
      </c>
      <c r="J538" s="1" t="s">
        <v>1645</v>
      </c>
      <c r="K538" s="1" t="s">
        <v>74</v>
      </c>
      <c r="L538" s="1" t="s">
        <v>74</v>
      </c>
      <c r="M538" s="1" t="s">
        <v>74</v>
      </c>
      <c r="N538" s="1" t="s">
        <v>74</v>
      </c>
      <c r="O538" s="1" t="s">
        <v>74</v>
      </c>
      <c r="P538" s="1" t="s">
        <v>74</v>
      </c>
      <c r="Q538" s="1" t="s">
        <v>74</v>
      </c>
      <c r="R538" s="1" t="s">
        <v>74</v>
      </c>
      <c r="S538" s="1" t="s">
        <v>74</v>
      </c>
      <c r="T538" s="1" t="s">
        <v>74</v>
      </c>
      <c r="U538" s="1" t="s">
        <v>74</v>
      </c>
      <c r="V538" s="1" t="s">
        <v>4673</v>
      </c>
      <c r="W538" s="1" t="s">
        <v>74</v>
      </c>
      <c r="X538" s="1" t="s">
        <v>74</v>
      </c>
      <c r="Y538" s="1" t="s">
        <v>74</v>
      </c>
      <c r="Z538" s="1" t="s">
        <v>74</v>
      </c>
      <c r="AA538" s="1" t="s">
        <v>4674</v>
      </c>
      <c r="AB538" s="1" t="s">
        <v>1647</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1648</v>
      </c>
      <c r="AP538" s="1" t="s">
        <v>74</v>
      </c>
      <c r="AQ538" s="1" t="s">
        <v>74</v>
      </c>
      <c r="AR538" s="1" t="s">
        <v>74</v>
      </c>
      <c r="AS538" s="1" t="s">
        <v>74</v>
      </c>
      <c r="AT538" s="1" t="s">
        <v>158</v>
      </c>
      <c r="AU538" s="1">
        <v>2002.0</v>
      </c>
      <c r="AV538" s="1">
        <v>36.0</v>
      </c>
      <c r="AW538" s="1">
        <v>28.0</v>
      </c>
      <c r="AX538" s="1" t="s">
        <v>74</v>
      </c>
      <c r="AY538" s="1" t="s">
        <v>74</v>
      </c>
      <c r="AZ538" s="1" t="s">
        <v>74</v>
      </c>
      <c r="BA538" s="1" t="s">
        <v>74</v>
      </c>
      <c r="BB538" s="1">
        <v>4555.0</v>
      </c>
      <c r="BC538" s="1">
        <v>4561.0</v>
      </c>
      <c r="BD538" s="1" t="s">
        <v>4675</v>
      </c>
      <c r="BE538" s="1" t="s">
        <v>4676</v>
      </c>
      <c r="BF538" s="2" t="str">
        <f>HYPERLINK("http://dx.doi.org/10.1016/S1352-2310(02)00419-3","http://dx.doi.org/10.1016/S1352-2310(02)00419-3")</f>
        <v>http://dx.doi.org/10.1016/S1352-2310(02)00419-3</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4677</v>
      </c>
      <c r="BT538" s="1" t="str">
        <f>HYPERLINK("https%3A%2F%2Fwww.webofscience.com%2Fwos%2Fwoscc%2Ffull-record%2FWOS:000178496000011","View Full Record in Web of Science")</f>
        <v>View Full Record in Web of Science</v>
      </c>
    </row>
    <row r="539" ht="12.75" customHeight="1">
      <c r="A539" s="1" t="s">
        <v>72</v>
      </c>
      <c r="B539" s="1" t="s">
        <v>3243</v>
      </c>
      <c r="C539" s="1" t="s">
        <v>74</v>
      </c>
      <c r="D539" s="1" t="s">
        <v>74</v>
      </c>
      <c r="E539" s="1" t="s">
        <v>74</v>
      </c>
      <c r="F539" s="1" t="s">
        <v>3243</v>
      </c>
      <c r="G539" s="1" t="s">
        <v>74</v>
      </c>
      <c r="H539" s="1" t="s">
        <v>74</v>
      </c>
      <c r="I539" s="1" t="s">
        <v>4678</v>
      </c>
      <c r="J539" s="1" t="s">
        <v>4679</v>
      </c>
      <c r="K539" s="1" t="s">
        <v>74</v>
      </c>
      <c r="L539" s="1" t="s">
        <v>74</v>
      </c>
      <c r="M539" s="1" t="s">
        <v>74</v>
      </c>
      <c r="N539" s="1" t="s">
        <v>74</v>
      </c>
      <c r="O539" s="1" t="s">
        <v>4680</v>
      </c>
      <c r="P539" s="1" t="s">
        <v>4681</v>
      </c>
      <c r="Q539" s="1" t="s">
        <v>4682</v>
      </c>
      <c r="R539" s="1" t="s">
        <v>74</v>
      </c>
      <c r="S539" s="1" t="s">
        <v>74</v>
      </c>
      <c r="T539" s="1" t="s">
        <v>74</v>
      </c>
      <c r="U539" s="1" t="s">
        <v>74</v>
      </c>
      <c r="V539" s="1" t="s">
        <v>4683</v>
      </c>
      <c r="W539" s="1" t="s">
        <v>74</v>
      </c>
      <c r="X539" s="1" t="s">
        <v>74</v>
      </c>
      <c r="Y539" s="1" t="s">
        <v>74</v>
      </c>
      <c r="Z539" s="1" t="s">
        <v>74</v>
      </c>
      <c r="AA539" s="1" t="s">
        <v>803</v>
      </c>
      <c r="AB539" s="1" t="s">
        <v>804</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4684</v>
      </c>
      <c r="AP539" s="1" t="s">
        <v>74</v>
      </c>
      <c r="AQ539" s="1" t="s">
        <v>74</v>
      </c>
      <c r="AR539" s="1" t="s">
        <v>74</v>
      </c>
      <c r="AS539" s="1" t="s">
        <v>74</v>
      </c>
      <c r="AT539" s="1" t="s">
        <v>74</v>
      </c>
      <c r="AU539" s="1">
        <v>2002.0</v>
      </c>
      <c r="AV539" s="1">
        <v>16.0</v>
      </c>
      <c r="AW539" s="1">
        <v>4.0</v>
      </c>
      <c r="AX539" s="1" t="s">
        <v>74</v>
      </c>
      <c r="AY539" s="1" t="s">
        <v>74</v>
      </c>
      <c r="AZ539" s="1" t="s">
        <v>74</v>
      </c>
      <c r="BA539" s="1" t="s">
        <v>74</v>
      </c>
      <c r="BB539" s="1">
        <v>247.0</v>
      </c>
      <c r="BC539" s="1">
        <v>262.0</v>
      </c>
      <c r="BD539" s="1" t="s">
        <v>74</v>
      </c>
      <c r="BE539" s="1" t="s">
        <v>4685</v>
      </c>
      <c r="BF539" s="2" t="str">
        <f>HYPERLINK("http://dx.doi.org/10.1080/1061856021000025139","http://dx.doi.org/10.1080/1061856021000025139")</f>
        <v>http://dx.doi.org/10.1080/1061856021000025139</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4686</v>
      </c>
      <c r="BT539" s="1" t="str">
        <f>HYPERLINK("https%3A%2F%2Fwww.webofscience.com%2Fwos%2Fwoscc%2Ffull-record%2FWOS:000178078300003","View Full Record in Web of Science")</f>
        <v>View Full Record in Web of Science</v>
      </c>
    </row>
    <row r="540" ht="12.75" customHeight="1">
      <c r="A540" s="1" t="s">
        <v>72</v>
      </c>
      <c r="B540" s="1" t="s">
        <v>4687</v>
      </c>
      <c r="C540" s="1" t="s">
        <v>74</v>
      </c>
      <c r="D540" s="1" t="s">
        <v>74</v>
      </c>
      <c r="E540" s="1" t="s">
        <v>74</v>
      </c>
      <c r="F540" s="1" t="s">
        <v>4687</v>
      </c>
      <c r="G540" s="1" t="s">
        <v>74</v>
      </c>
      <c r="H540" s="1" t="s">
        <v>74</v>
      </c>
      <c r="I540" s="1" t="s">
        <v>4688</v>
      </c>
      <c r="J540" s="1" t="s">
        <v>514</v>
      </c>
      <c r="K540" s="1" t="s">
        <v>74</v>
      </c>
      <c r="L540" s="1" t="s">
        <v>74</v>
      </c>
      <c r="M540" s="1" t="s">
        <v>74</v>
      </c>
      <c r="N540" s="1" t="s">
        <v>74</v>
      </c>
      <c r="O540" s="1" t="s">
        <v>74</v>
      </c>
      <c r="P540" s="1" t="s">
        <v>74</v>
      </c>
      <c r="Q540" s="1" t="s">
        <v>74</v>
      </c>
      <c r="R540" s="1" t="s">
        <v>74</v>
      </c>
      <c r="S540" s="1" t="s">
        <v>74</v>
      </c>
      <c r="T540" s="1" t="s">
        <v>74</v>
      </c>
      <c r="U540" s="1" t="s">
        <v>74</v>
      </c>
      <c r="V540" s="1" t="s">
        <v>4689</v>
      </c>
      <c r="W540" s="1" t="s">
        <v>74</v>
      </c>
      <c r="X540" s="1" t="s">
        <v>74</v>
      </c>
      <c r="Y540" s="1" t="s">
        <v>74</v>
      </c>
      <c r="Z540" s="1" t="s">
        <v>74</v>
      </c>
      <c r="AA540" s="1" t="s">
        <v>4690</v>
      </c>
      <c r="AB540" s="1" t="s">
        <v>4691</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516</v>
      </c>
      <c r="AP540" s="1" t="s">
        <v>74</v>
      </c>
      <c r="AQ540" s="1" t="s">
        <v>74</v>
      </c>
      <c r="AR540" s="1" t="s">
        <v>74</v>
      </c>
      <c r="AS540" s="1" t="s">
        <v>74</v>
      </c>
      <c r="AT540" s="1" t="s">
        <v>74</v>
      </c>
      <c r="AU540" s="1">
        <v>2002.0</v>
      </c>
      <c r="AV540" s="1">
        <v>20.0</v>
      </c>
      <c r="AW540" s="1">
        <v>7.0</v>
      </c>
      <c r="AX540" s="1" t="s">
        <v>74</v>
      </c>
      <c r="AY540" s="1" t="s">
        <v>74</v>
      </c>
      <c r="AZ540" s="1" t="s">
        <v>74</v>
      </c>
      <c r="BA540" s="1" t="s">
        <v>74</v>
      </c>
      <c r="BB540" s="1">
        <v>1303.0</v>
      </c>
      <c r="BC540" s="1">
        <v>1318.0</v>
      </c>
      <c r="BD540" s="1" t="s">
        <v>74</v>
      </c>
      <c r="BE540" s="1" t="s">
        <v>4692</v>
      </c>
      <c r="BF540" s="2" t="str">
        <f>HYPERLINK("http://dx.doi.org/10.1081/DRT-120005854","http://dx.doi.org/10.1081/DRT-120005854")</f>
        <v>http://dx.doi.org/10.1081/DRT-120005854</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4693</v>
      </c>
      <c r="BT540" s="1" t="str">
        <f>HYPERLINK("https%3A%2F%2Fwww.webofscience.com%2Fwos%2Fwoscc%2Ffull-record%2FWOS:000177123200002","View Full Record in Web of Science")</f>
        <v>View Full Record in Web of Science</v>
      </c>
    </row>
    <row r="541" ht="12.75" customHeight="1">
      <c r="A541" s="1" t="s">
        <v>126</v>
      </c>
      <c r="B541" s="1" t="s">
        <v>4694</v>
      </c>
      <c r="C541" s="1" t="s">
        <v>74</v>
      </c>
      <c r="D541" s="1" t="s">
        <v>4695</v>
      </c>
      <c r="E541" s="1" t="s">
        <v>74</v>
      </c>
      <c r="F541" s="1" t="s">
        <v>4694</v>
      </c>
      <c r="G541" s="1" t="s">
        <v>74</v>
      </c>
      <c r="H541" s="1" t="s">
        <v>74</v>
      </c>
      <c r="I541" s="1" t="s">
        <v>4696</v>
      </c>
      <c r="J541" s="1" t="s">
        <v>4697</v>
      </c>
      <c r="K541" s="1" t="s">
        <v>4698</v>
      </c>
      <c r="L541" s="1" t="s">
        <v>74</v>
      </c>
      <c r="M541" s="1" t="s">
        <v>74</v>
      </c>
      <c r="N541" s="1" t="s">
        <v>74</v>
      </c>
      <c r="O541" s="1" t="s">
        <v>4699</v>
      </c>
      <c r="P541" s="1" t="s">
        <v>4700</v>
      </c>
      <c r="Q541" s="1" t="s">
        <v>4701</v>
      </c>
      <c r="R541" s="1" t="s">
        <v>74</v>
      </c>
      <c r="S541" s="1" t="s">
        <v>74</v>
      </c>
      <c r="T541" s="1" t="s">
        <v>74</v>
      </c>
      <c r="U541" s="1" t="s">
        <v>74</v>
      </c>
      <c r="V541" s="1" t="s">
        <v>74</v>
      </c>
      <c r="W541" s="1" t="s">
        <v>74</v>
      </c>
      <c r="X541" s="1" t="s">
        <v>74</v>
      </c>
      <c r="Y541" s="1" t="s">
        <v>74</v>
      </c>
      <c r="Z541" s="1" t="s">
        <v>74</v>
      </c>
      <c r="AA541" s="1" t="s">
        <v>4702</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4703</v>
      </c>
      <c r="AP541" s="1" t="s">
        <v>74</v>
      </c>
      <c r="AQ541" s="1" t="s">
        <v>4704</v>
      </c>
      <c r="AR541" s="1" t="s">
        <v>74</v>
      </c>
      <c r="AS541" s="1" t="s">
        <v>74</v>
      </c>
      <c r="AT541" s="1" t="s">
        <v>74</v>
      </c>
      <c r="AU541" s="1">
        <v>2002.0</v>
      </c>
      <c r="AV541" s="1">
        <v>1242.0</v>
      </c>
      <c r="AW541" s="1" t="s">
        <v>74</v>
      </c>
      <c r="AX541" s="1" t="s">
        <v>74</v>
      </c>
      <c r="AY541" s="1" t="s">
        <v>74</v>
      </c>
      <c r="AZ541" s="1" t="s">
        <v>74</v>
      </c>
      <c r="BA541" s="1" t="s">
        <v>74</v>
      </c>
      <c r="BB541" s="1">
        <v>475.0</v>
      </c>
      <c r="BC541" s="1">
        <v>479.0</v>
      </c>
      <c r="BD541" s="1" t="s">
        <v>4705</v>
      </c>
      <c r="BE541" s="1" t="s">
        <v>4706</v>
      </c>
      <c r="BF541" s="2" t="str">
        <f>HYPERLINK("http://dx.doi.org/10.1016/S0531-5131(02)00772-0","http://dx.doi.org/10.1016/S0531-5131(02)00772-0")</f>
        <v>http://dx.doi.org/10.1016/S0531-5131(02)00772-0</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4707</v>
      </c>
      <c r="BT541" s="1" t="str">
        <f>HYPERLINK("https%3A%2F%2Fwww.webofscience.com%2Fwos%2Fwoscc%2Ffull-record%2FWOS:000181334800072","View Full Record in Web of Science")</f>
        <v>View Full Record in Web of Science</v>
      </c>
    </row>
    <row r="542" ht="12.75" customHeight="1">
      <c r="A542" s="1" t="s">
        <v>72</v>
      </c>
      <c r="B542" s="1" t="s">
        <v>4708</v>
      </c>
      <c r="C542" s="1" t="s">
        <v>74</v>
      </c>
      <c r="D542" s="1" t="s">
        <v>74</v>
      </c>
      <c r="E542" s="1" t="s">
        <v>74</v>
      </c>
      <c r="F542" s="1" t="s">
        <v>4708</v>
      </c>
      <c r="G542" s="1" t="s">
        <v>74</v>
      </c>
      <c r="H542" s="1" t="s">
        <v>74</v>
      </c>
      <c r="I542" s="1" t="s">
        <v>4709</v>
      </c>
      <c r="J542" s="1" t="s">
        <v>4710</v>
      </c>
      <c r="K542" s="1" t="s">
        <v>74</v>
      </c>
      <c r="L542" s="1" t="s">
        <v>74</v>
      </c>
      <c r="M542" s="1" t="s">
        <v>74</v>
      </c>
      <c r="N542" s="1" t="s">
        <v>74</v>
      </c>
      <c r="O542" s="1" t="s">
        <v>74</v>
      </c>
      <c r="P542" s="1" t="s">
        <v>74</v>
      </c>
      <c r="Q542" s="1" t="s">
        <v>74</v>
      </c>
      <c r="R542" s="1" t="s">
        <v>74</v>
      </c>
      <c r="S542" s="1" t="s">
        <v>74</v>
      </c>
      <c r="T542" s="1" t="s">
        <v>74</v>
      </c>
      <c r="U542" s="1" t="s">
        <v>74</v>
      </c>
      <c r="V542" s="1" t="s">
        <v>4711</v>
      </c>
      <c r="W542" s="1" t="s">
        <v>74</v>
      </c>
      <c r="X542" s="1" t="s">
        <v>74</v>
      </c>
      <c r="Y542" s="1" t="s">
        <v>74</v>
      </c>
      <c r="Z542" s="1" t="s">
        <v>74</v>
      </c>
      <c r="AA542" s="1" t="s">
        <v>4712</v>
      </c>
      <c r="AB542" s="1" t="s">
        <v>74</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4713</v>
      </c>
      <c r="AP542" s="1" t="s">
        <v>74</v>
      </c>
      <c r="AQ542" s="1" t="s">
        <v>74</v>
      </c>
      <c r="AR542" s="1" t="s">
        <v>74</v>
      </c>
      <c r="AS542" s="1" t="s">
        <v>74</v>
      </c>
      <c r="AT542" s="1" t="s">
        <v>276</v>
      </c>
      <c r="AU542" s="1">
        <v>2001.0</v>
      </c>
      <c r="AV542" s="1">
        <v>16.0</v>
      </c>
      <c r="AW542" s="1">
        <v>4.0</v>
      </c>
      <c r="AX542" s="1" t="s">
        <v>74</v>
      </c>
      <c r="AY542" s="1" t="s">
        <v>74</v>
      </c>
      <c r="AZ542" s="1" t="s">
        <v>74</v>
      </c>
      <c r="BA542" s="1" t="s">
        <v>74</v>
      </c>
      <c r="BB542" s="1">
        <v>766.0</v>
      </c>
      <c r="BC542" s="1">
        <v>774.0</v>
      </c>
      <c r="BD542" s="1" t="s">
        <v>74</v>
      </c>
      <c r="BE542" s="1" t="s">
        <v>4714</v>
      </c>
      <c r="BF542" s="2" t="str">
        <f>HYPERLINK("http://dx.doi.org/10.1109/61.956768","http://dx.doi.org/10.1109/61.956768")</f>
        <v>http://dx.doi.org/10.1109/61.956768</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4715</v>
      </c>
      <c r="BT542" s="1" t="str">
        <f>HYPERLINK("https%3A%2F%2Fwww.webofscience.com%2Fwos%2Fwoscc%2Ffull-record%2FWOS:000171542300049","View Full Record in Web of Science")</f>
        <v>View Full Record in Web of Science</v>
      </c>
    </row>
    <row r="543" ht="12.75" customHeight="1">
      <c r="A543" s="1" t="s">
        <v>72</v>
      </c>
      <c r="B543" s="1" t="s">
        <v>4716</v>
      </c>
      <c r="C543" s="1" t="s">
        <v>74</v>
      </c>
      <c r="D543" s="1" t="s">
        <v>74</v>
      </c>
      <c r="E543" s="1" t="s">
        <v>74</v>
      </c>
      <c r="F543" s="1" t="s">
        <v>4716</v>
      </c>
      <c r="G543" s="1" t="s">
        <v>74</v>
      </c>
      <c r="H543" s="1" t="s">
        <v>74</v>
      </c>
      <c r="I543" s="1" t="s">
        <v>4717</v>
      </c>
      <c r="J543" s="1" t="s">
        <v>2874</v>
      </c>
      <c r="K543" s="1" t="s">
        <v>74</v>
      </c>
      <c r="L543" s="1" t="s">
        <v>74</v>
      </c>
      <c r="M543" s="1" t="s">
        <v>74</v>
      </c>
      <c r="N543" s="1" t="s">
        <v>74</v>
      </c>
      <c r="O543" s="1" t="s">
        <v>74</v>
      </c>
      <c r="P543" s="1" t="s">
        <v>74</v>
      </c>
      <c r="Q543" s="1" t="s">
        <v>74</v>
      </c>
      <c r="R543" s="1" t="s">
        <v>74</v>
      </c>
      <c r="S543" s="1" t="s">
        <v>74</v>
      </c>
      <c r="T543" s="1" t="s">
        <v>74</v>
      </c>
      <c r="U543" s="1" t="s">
        <v>74</v>
      </c>
      <c r="V543" s="1" t="s">
        <v>4718</v>
      </c>
      <c r="W543" s="1" t="s">
        <v>74</v>
      </c>
      <c r="X543" s="1" t="s">
        <v>74</v>
      </c>
      <c r="Y543" s="1" t="s">
        <v>74</v>
      </c>
      <c r="Z543" s="1" t="s">
        <v>74</v>
      </c>
      <c r="AA543" s="1" t="s">
        <v>74</v>
      </c>
      <c r="AB543" s="1" t="s">
        <v>74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2878</v>
      </c>
      <c r="AP543" s="1" t="s">
        <v>2879</v>
      </c>
      <c r="AQ543" s="1" t="s">
        <v>74</v>
      </c>
      <c r="AR543" s="1" t="s">
        <v>74</v>
      </c>
      <c r="AS543" s="1" t="s">
        <v>74</v>
      </c>
      <c r="AT543" s="1" t="s">
        <v>158</v>
      </c>
      <c r="AU543" s="1">
        <v>2001.0</v>
      </c>
      <c r="AV543" s="1">
        <v>46.0</v>
      </c>
      <c r="AW543" s="1">
        <v>1.0</v>
      </c>
      <c r="AX543" s="1" t="s">
        <v>74</v>
      </c>
      <c r="AY543" s="1" t="s">
        <v>74</v>
      </c>
      <c r="AZ543" s="1" t="s">
        <v>74</v>
      </c>
      <c r="BA543" s="1" t="s">
        <v>74</v>
      </c>
      <c r="BB543" s="1">
        <v>81.0</v>
      </c>
      <c r="BC543" s="1">
        <v>87.0</v>
      </c>
      <c r="BD543" s="1" t="s">
        <v>74</v>
      </c>
      <c r="BE543" s="1" t="s">
        <v>4719</v>
      </c>
      <c r="BF543" s="2" t="str">
        <f>HYPERLINK("http://dx.doi.org/10.1016/S0144-8617(00)00286-1","http://dx.doi.org/10.1016/S0144-8617(00)00286-1")</f>
        <v>http://dx.doi.org/10.1016/S0144-8617(00)00286-1</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4720</v>
      </c>
      <c r="BT543" s="1" t="str">
        <f>HYPERLINK("https%3A%2F%2Fwww.webofscience.com%2Fwos%2Fwoscc%2Ffull-record%2FWOS:000169395200009","View Full Record in Web of Science")</f>
        <v>View Full Record in Web of Science</v>
      </c>
    </row>
    <row r="544" ht="12.75" customHeight="1">
      <c r="A544" s="1" t="s">
        <v>72</v>
      </c>
      <c r="B544" s="1" t="s">
        <v>4721</v>
      </c>
      <c r="C544" s="1" t="s">
        <v>74</v>
      </c>
      <c r="D544" s="1" t="s">
        <v>74</v>
      </c>
      <c r="E544" s="1" t="s">
        <v>74</v>
      </c>
      <c r="F544" s="1" t="s">
        <v>4721</v>
      </c>
      <c r="G544" s="1" t="s">
        <v>74</v>
      </c>
      <c r="H544" s="1" t="s">
        <v>74</v>
      </c>
      <c r="I544" s="1" t="s">
        <v>4722</v>
      </c>
      <c r="J544" s="1" t="s">
        <v>816</v>
      </c>
      <c r="K544" s="1" t="s">
        <v>74</v>
      </c>
      <c r="L544" s="1" t="s">
        <v>74</v>
      </c>
      <c r="M544" s="1" t="s">
        <v>74</v>
      </c>
      <c r="N544" s="1" t="s">
        <v>74</v>
      </c>
      <c r="O544" s="1" t="s">
        <v>74</v>
      </c>
      <c r="P544" s="1" t="s">
        <v>74</v>
      </c>
      <c r="Q544" s="1" t="s">
        <v>74</v>
      </c>
      <c r="R544" s="1" t="s">
        <v>74</v>
      </c>
      <c r="S544" s="1" t="s">
        <v>74</v>
      </c>
      <c r="T544" s="1" t="s">
        <v>74</v>
      </c>
      <c r="U544" s="1" t="s">
        <v>74</v>
      </c>
      <c r="V544" s="1" t="s">
        <v>74</v>
      </c>
      <c r="W544" s="1" t="s">
        <v>74</v>
      </c>
      <c r="X544" s="1" t="s">
        <v>74</v>
      </c>
      <c r="Y544" s="1" t="s">
        <v>74</v>
      </c>
      <c r="Z544" s="1" t="s">
        <v>74</v>
      </c>
      <c r="AA544" s="1" t="s">
        <v>74</v>
      </c>
      <c r="AB544" s="1" t="s">
        <v>74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817</v>
      </c>
      <c r="AP544" s="1" t="s">
        <v>74</v>
      </c>
      <c r="AQ544" s="1" t="s">
        <v>74</v>
      </c>
      <c r="AR544" s="1" t="s">
        <v>74</v>
      </c>
      <c r="AS544" s="1" t="s">
        <v>74</v>
      </c>
      <c r="AT544" s="1" t="s">
        <v>224</v>
      </c>
      <c r="AU544" s="1">
        <v>2000.0</v>
      </c>
      <c r="AV544" s="1">
        <v>128.0</v>
      </c>
      <c r="AW544" s="1">
        <v>5.0</v>
      </c>
      <c r="AX544" s="1" t="s">
        <v>74</v>
      </c>
      <c r="AY544" s="1" t="s">
        <v>74</v>
      </c>
      <c r="AZ544" s="1" t="s">
        <v>74</v>
      </c>
      <c r="BA544" s="1" t="s">
        <v>74</v>
      </c>
      <c r="BB544" s="1">
        <v>553.0</v>
      </c>
      <c r="BC544" s="1">
        <v>553.0</v>
      </c>
      <c r="BD544" s="1" t="s">
        <v>74</v>
      </c>
      <c r="BE544" s="1" t="s">
        <v>74</v>
      </c>
      <c r="BF544" s="1" t="s">
        <v>74</v>
      </c>
      <c r="BG544" s="1" t="s">
        <v>74</v>
      </c>
      <c r="BH544" s="1" t="s">
        <v>74</v>
      </c>
      <c r="BI544" s="1" t="s">
        <v>74</v>
      </c>
      <c r="BJ544" s="1" t="s">
        <v>74</v>
      </c>
      <c r="BK544" s="1" t="s">
        <v>74</v>
      </c>
      <c r="BL544" s="1" t="s">
        <v>74</v>
      </c>
      <c r="BM544" s="1" t="s">
        <v>74</v>
      </c>
      <c r="BN544" s="1">
        <v>1.1008362E7</v>
      </c>
      <c r="BO544" s="1" t="s">
        <v>74</v>
      </c>
      <c r="BP544" s="1" t="s">
        <v>74</v>
      </c>
      <c r="BQ544" s="1" t="s">
        <v>74</v>
      </c>
      <c r="BR544" s="1" t="s">
        <v>74</v>
      </c>
      <c r="BS544" s="1" t="s">
        <v>4723</v>
      </c>
      <c r="BT544" s="1" t="str">
        <f>HYPERLINK("https%3A%2F%2Fwww.webofscience.com%2Fwos%2Fwoscc%2Ffull-record%2FWOS:000088333300016","View Full Record in Web of Science")</f>
        <v>View Full Record in Web of Science</v>
      </c>
    </row>
    <row r="545" ht="12.75" customHeight="1">
      <c r="A545" s="1" t="s">
        <v>72</v>
      </c>
      <c r="B545" s="1" t="s">
        <v>4724</v>
      </c>
      <c r="C545" s="1" t="s">
        <v>74</v>
      </c>
      <c r="D545" s="1" t="s">
        <v>74</v>
      </c>
      <c r="E545" s="1" t="s">
        <v>74</v>
      </c>
      <c r="F545" s="1" t="s">
        <v>4724</v>
      </c>
      <c r="G545" s="1" t="s">
        <v>74</v>
      </c>
      <c r="H545" s="1" t="s">
        <v>74</v>
      </c>
      <c r="I545" s="1" t="s">
        <v>4725</v>
      </c>
      <c r="J545" s="1" t="s">
        <v>3087</v>
      </c>
      <c r="K545" s="1" t="s">
        <v>74</v>
      </c>
      <c r="L545" s="1" t="s">
        <v>74</v>
      </c>
      <c r="M545" s="1" t="s">
        <v>74</v>
      </c>
      <c r="N545" s="1" t="s">
        <v>74</v>
      </c>
      <c r="O545" s="1" t="s">
        <v>74</v>
      </c>
      <c r="P545" s="1" t="s">
        <v>74</v>
      </c>
      <c r="Q545" s="1" t="s">
        <v>74</v>
      </c>
      <c r="R545" s="1" t="s">
        <v>74</v>
      </c>
      <c r="S545" s="1" t="s">
        <v>74</v>
      </c>
      <c r="T545" s="1" t="s">
        <v>74</v>
      </c>
      <c r="U545" s="1" t="s">
        <v>74</v>
      </c>
      <c r="V545" s="1" t="s">
        <v>4726</v>
      </c>
      <c r="W545" s="1" t="s">
        <v>74</v>
      </c>
      <c r="X545" s="1" t="s">
        <v>74</v>
      </c>
      <c r="Y545" s="1" t="s">
        <v>74</v>
      </c>
      <c r="Z545" s="1" t="s">
        <v>74</v>
      </c>
      <c r="AA545" s="1" t="s">
        <v>4727</v>
      </c>
      <c r="AB545" s="1" t="s">
        <v>4728</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3095</v>
      </c>
      <c r="AP545" s="1" t="s">
        <v>74</v>
      </c>
      <c r="AQ545" s="1" t="s">
        <v>74</v>
      </c>
      <c r="AR545" s="1" t="s">
        <v>74</v>
      </c>
      <c r="AS545" s="1" t="s">
        <v>74</v>
      </c>
      <c r="AT545" s="1" t="s">
        <v>4729</v>
      </c>
      <c r="AU545" s="1">
        <v>1999.0</v>
      </c>
      <c r="AV545" s="1" t="s">
        <v>4730</v>
      </c>
      <c r="AW545" s="1" t="s">
        <v>74</v>
      </c>
      <c r="AX545" s="1" t="s">
        <v>74</v>
      </c>
      <c r="AY545" s="1" t="s">
        <v>74</v>
      </c>
      <c r="AZ545" s="1" t="s">
        <v>74</v>
      </c>
      <c r="BA545" s="1" t="s">
        <v>74</v>
      </c>
      <c r="BB545" s="1">
        <v>87.0</v>
      </c>
      <c r="BC545" s="1">
        <v>94.0</v>
      </c>
      <c r="BD545" s="1" t="s">
        <v>74</v>
      </c>
      <c r="BE545" s="1" t="s">
        <v>4731</v>
      </c>
      <c r="BF545" s="2" t="str">
        <f>HYPERLINK("http://dx.doi.org/10.1016/S0925-5273(98)00194-7","http://dx.doi.org/10.1016/S0925-5273(98)00194-7")</f>
        <v>http://dx.doi.org/10.1016/S0925-5273(98)00194-7</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4732</v>
      </c>
      <c r="BT545" s="1" t="str">
        <f>HYPERLINK("https%3A%2F%2Fwww.webofscience.com%2Fwos%2Fwoscc%2Ffull-record%2FWOS:000080065300011","View Full Record in Web of Science")</f>
        <v>View Full Record in Web of Science</v>
      </c>
    </row>
    <row r="546" ht="12.75" customHeight="1">
      <c r="A546" s="1" t="s">
        <v>126</v>
      </c>
      <c r="B546" s="1" t="s">
        <v>4733</v>
      </c>
      <c r="C546" s="1" t="s">
        <v>74</v>
      </c>
      <c r="D546" s="1" t="s">
        <v>4734</v>
      </c>
      <c r="E546" s="1" t="s">
        <v>74</v>
      </c>
      <c r="F546" s="1" t="s">
        <v>4733</v>
      </c>
      <c r="G546" s="1" t="s">
        <v>74</v>
      </c>
      <c r="H546" s="1" t="s">
        <v>74</v>
      </c>
      <c r="I546" s="1" t="s">
        <v>4735</v>
      </c>
      <c r="J546" s="1" t="s">
        <v>4736</v>
      </c>
      <c r="K546" s="1" t="s">
        <v>4737</v>
      </c>
      <c r="L546" s="1" t="s">
        <v>74</v>
      </c>
      <c r="M546" s="1" t="s">
        <v>74</v>
      </c>
      <c r="N546" s="1" t="s">
        <v>74</v>
      </c>
      <c r="O546" s="1" t="s">
        <v>4738</v>
      </c>
      <c r="P546" s="1" t="s">
        <v>4739</v>
      </c>
      <c r="Q546" s="1" t="s">
        <v>2373</v>
      </c>
      <c r="R546" s="1" t="s">
        <v>4740</v>
      </c>
      <c r="S546" s="1" t="s">
        <v>74</v>
      </c>
      <c r="T546" s="1" t="s">
        <v>74</v>
      </c>
      <c r="U546" s="1" t="s">
        <v>74</v>
      </c>
      <c r="V546" s="1" t="s">
        <v>4741</v>
      </c>
      <c r="W546" s="1" t="s">
        <v>74</v>
      </c>
      <c r="X546" s="1" t="s">
        <v>74</v>
      </c>
      <c r="Y546" s="1" t="s">
        <v>74</v>
      </c>
      <c r="Z546" s="1" t="s">
        <v>74</v>
      </c>
      <c r="AA546" s="1" t="s">
        <v>74</v>
      </c>
      <c r="AB546" s="1" t="s">
        <v>74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4742</v>
      </c>
      <c r="AP546" s="1" t="s">
        <v>74</v>
      </c>
      <c r="AQ546" s="1" t="s">
        <v>4743</v>
      </c>
      <c r="AR546" s="1" t="s">
        <v>74</v>
      </c>
      <c r="AS546" s="1" t="s">
        <v>74</v>
      </c>
      <c r="AT546" s="1" t="s">
        <v>74</v>
      </c>
      <c r="AU546" s="1">
        <v>1999.0</v>
      </c>
      <c r="AV546" s="1" t="s">
        <v>74</v>
      </c>
      <c r="AW546" s="1" t="s">
        <v>74</v>
      </c>
      <c r="AX546" s="1" t="s">
        <v>74</v>
      </c>
      <c r="AY546" s="1" t="s">
        <v>74</v>
      </c>
      <c r="AZ546" s="1" t="s">
        <v>74</v>
      </c>
      <c r="BA546" s="1" t="s">
        <v>74</v>
      </c>
      <c r="BB546" s="1">
        <v>649.0</v>
      </c>
      <c r="BC546" s="1">
        <v>658.0</v>
      </c>
      <c r="BD546" s="1" t="s">
        <v>74</v>
      </c>
      <c r="BE546" s="1" t="s">
        <v>74</v>
      </c>
      <c r="BF546" s="1" t="s">
        <v>74</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4744</v>
      </c>
      <c r="BT546" s="1" t="str">
        <f>HYPERLINK("https%3A%2F%2Fwww.webofscience.com%2Fwos%2Fwoscc%2Ffull-record%2FWOS:000080238500053","View Full Record in Web of Science")</f>
        <v>View Full Record in Web of Science</v>
      </c>
    </row>
    <row r="547" ht="12.75" customHeight="1">
      <c r="A547" s="1" t="s">
        <v>126</v>
      </c>
      <c r="B547" s="1" t="s">
        <v>4745</v>
      </c>
      <c r="C547" s="1" t="s">
        <v>74</v>
      </c>
      <c r="D547" s="1" t="s">
        <v>4746</v>
      </c>
      <c r="E547" s="1" t="s">
        <v>74</v>
      </c>
      <c r="F547" s="1" t="s">
        <v>4745</v>
      </c>
      <c r="G547" s="1" t="s">
        <v>74</v>
      </c>
      <c r="H547" s="1" t="s">
        <v>74</v>
      </c>
      <c r="I547" s="1" t="s">
        <v>4747</v>
      </c>
      <c r="J547" s="1" t="s">
        <v>4748</v>
      </c>
      <c r="K547" s="1" t="s">
        <v>4749</v>
      </c>
      <c r="L547" s="1" t="s">
        <v>74</v>
      </c>
      <c r="M547" s="1" t="s">
        <v>74</v>
      </c>
      <c r="N547" s="1" t="s">
        <v>74</v>
      </c>
      <c r="O547" s="1" t="s">
        <v>4750</v>
      </c>
      <c r="P547" s="1" t="s">
        <v>4751</v>
      </c>
      <c r="Q547" s="1" t="s">
        <v>708</v>
      </c>
      <c r="R547" s="1" t="s">
        <v>4752</v>
      </c>
      <c r="S547" s="1" t="s">
        <v>74</v>
      </c>
      <c r="T547" s="1" t="s">
        <v>74</v>
      </c>
      <c r="U547" s="1" t="s">
        <v>74</v>
      </c>
      <c r="V547" s="1" t="s">
        <v>4753</v>
      </c>
      <c r="W547" s="1" t="s">
        <v>74</v>
      </c>
      <c r="X547" s="1" t="s">
        <v>74</v>
      </c>
      <c r="Y547" s="1" t="s">
        <v>74</v>
      </c>
      <c r="Z547" s="1" t="s">
        <v>74</v>
      </c>
      <c r="AA547" s="1" t="s">
        <v>4754</v>
      </c>
      <c r="AB547" s="1" t="s">
        <v>4755</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74</v>
      </c>
      <c r="AP547" s="1" t="s">
        <v>74</v>
      </c>
      <c r="AQ547" s="1" t="s">
        <v>4756</v>
      </c>
      <c r="AR547" s="1" t="s">
        <v>74</v>
      </c>
      <c r="AS547" s="1" t="s">
        <v>74</v>
      </c>
      <c r="AT547" s="1" t="s">
        <v>74</v>
      </c>
      <c r="AU547" s="1">
        <v>1999.0</v>
      </c>
      <c r="AV547" s="1">
        <v>9.0</v>
      </c>
      <c r="AW547" s="1" t="s">
        <v>74</v>
      </c>
      <c r="AX547" s="1" t="s">
        <v>105</v>
      </c>
      <c r="AY547" s="1" t="s">
        <v>74</v>
      </c>
      <c r="AZ547" s="1" t="s">
        <v>74</v>
      </c>
      <c r="BA547" s="1" t="s">
        <v>74</v>
      </c>
      <c r="BB547" s="1">
        <v>139.0</v>
      </c>
      <c r="BC547" s="1">
        <v>147.0</v>
      </c>
      <c r="BD547" s="1" t="s">
        <v>74</v>
      </c>
      <c r="BE547" s="1" t="s">
        <v>4757</v>
      </c>
      <c r="BF547" s="2" t="str">
        <f>HYPERLINK("http://dx.doi.org/10.1016/S1572-4409(99)80102-3","http://dx.doi.org/10.1016/S1572-4409(99)80102-3")</f>
        <v>http://dx.doi.org/10.1016/S1572-4409(99)80102-3</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4758</v>
      </c>
      <c r="BT547" s="1" t="str">
        <f>HYPERLINK("https%3A%2F%2Fwww.webofscience.com%2Fwos%2Fwoscc%2Ffull-record%2FWOS:000086245100015","View Full Record in Web of Science")</f>
        <v>View Full Record in Web of Science</v>
      </c>
    </row>
    <row r="548" ht="12.75" customHeight="1">
      <c r="A548" s="1" t="s">
        <v>72</v>
      </c>
      <c r="B548" s="1" t="s">
        <v>4759</v>
      </c>
      <c r="C548" s="1" t="s">
        <v>74</v>
      </c>
      <c r="D548" s="1" t="s">
        <v>74</v>
      </c>
      <c r="E548" s="1" t="s">
        <v>74</v>
      </c>
      <c r="F548" s="1" t="s">
        <v>4759</v>
      </c>
      <c r="G548" s="1" t="s">
        <v>74</v>
      </c>
      <c r="H548" s="1" t="s">
        <v>74</v>
      </c>
      <c r="I548" s="1" t="s">
        <v>4760</v>
      </c>
      <c r="J548" s="1" t="s">
        <v>4761</v>
      </c>
      <c r="K548" s="1" t="s">
        <v>74</v>
      </c>
      <c r="L548" s="1" t="s">
        <v>74</v>
      </c>
      <c r="M548" s="1" t="s">
        <v>74</v>
      </c>
      <c r="N548" s="1" t="s">
        <v>74</v>
      </c>
      <c r="O548" s="1" t="s">
        <v>74</v>
      </c>
      <c r="P548" s="1" t="s">
        <v>74</v>
      </c>
      <c r="Q548" s="1" t="s">
        <v>74</v>
      </c>
      <c r="R548" s="1" t="s">
        <v>74</v>
      </c>
      <c r="S548" s="1" t="s">
        <v>74</v>
      </c>
      <c r="T548" s="1" t="s">
        <v>74</v>
      </c>
      <c r="U548" s="1" t="s">
        <v>74</v>
      </c>
      <c r="V548" s="1" t="s">
        <v>4762</v>
      </c>
      <c r="W548" s="1" t="s">
        <v>74</v>
      </c>
      <c r="X548" s="1" t="s">
        <v>74</v>
      </c>
      <c r="Y548" s="1" t="s">
        <v>74</v>
      </c>
      <c r="Z548" s="1" t="s">
        <v>74</v>
      </c>
      <c r="AA548" s="1" t="s">
        <v>2451</v>
      </c>
      <c r="AB548" s="1" t="s">
        <v>2452</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4763</v>
      </c>
      <c r="AP548" s="1" t="s">
        <v>74</v>
      </c>
      <c r="AQ548" s="1" t="s">
        <v>74</v>
      </c>
      <c r="AR548" s="1" t="s">
        <v>74</v>
      </c>
      <c r="AS548" s="1" t="s">
        <v>74</v>
      </c>
      <c r="AT548" s="1" t="s">
        <v>4764</v>
      </c>
      <c r="AU548" s="1">
        <v>1998.0</v>
      </c>
      <c r="AV548" s="1">
        <v>1429.0</v>
      </c>
      <c r="AW548" s="1">
        <v>1.0</v>
      </c>
      <c r="AX548" s="1" t="s">
        <v>74</v>
      </c>
      <c r="AY548" s="1" t="s">
        <v>74</v>
      </c>
      <c r="AZ548" s="1" t="s">
        <v>74</v>
      </c>
      <c r="BA548" s="1" t="s">
        <v>74</v>
      </c>
      <c r="BB548" s="1">
        <v>93.0</v>
      </c>
      <c r="BC548" s="1">
        <v>101.0</v>
      </c>
      <c r="BD548" s="1" t="s">
        <v>74</v>
      </c>
      <c r="BE548" s="1" t="s">
        <v>4765</v>
      </c>
      <c r="BF548" s="2" t="str">
        <f>HYPERLINK("http://dx.doi.org/10.1016/S0167-4838(98)00223-4","http://dx.doi.org/10.1016/S0167-4838(98)00223-4")</f>
        <v>http://dx.doi.org/10.1016/S0167-4838(98)00223-4</v>
      </c>
      <c r="BG548" s="1" t="s">
        <v>74</v>
      </c>
      <c r="BH548" s="1" t="s">
        <v>74</v>
      </c>
      <c r="BI548" s="1" t="s">
        <v>74</v>
      </c>
      <c r="BJ548" s="1" t="s">
        <v>74</v>
      </c>
      <c r="BK548" s="1" t="s">
        <v>74</v>
      </c>
      <c r="BL548" s="1" t="s">
        <v>74</v>
      </c>
      <c r="BM548" s="1" t="s">
        <v>74</v>
      </c>
      <c r="BN548" s="1">
        <v>9920388.0</v>
      </c>
      <c r="BO548" s="1" t="s">
        <v>74</v>
      </c>
      <c r="BP548" s="1" t="s">
        <v>74</v>
      </c>
      <c r="BQ548" s="1" t="s">
        <v>74</v>
      </c>
      <c r="BR548" s="1" t="s">
        <v>74</v>
      </c>
      <c r="BS548" s="1" t="s">
        <v>4766</v>
      </c>
      <c r="BT548" s="1" t="str">
        <f>HYPERLINK("https%3A%2F%2Fwww.webofscience.com%2Fwos%2Fwoscc%2Ffull-record%2FWOS:000077781900010","View Full Record in Web of Science")</f>
        <v>View Full Record in Web of Science</v>
      </c>
    </row>
    <row r="549" ht="12.75" customHeight="1">
      <c r="A549" s="1" t="s">
        <v>72</v>
      </c>
      <c r="B549" s="1" t="s">
        <v>4767</v>
      </c>
      <c r="C549" s="1" t="s">
        <v>74</v>
      </c>
      <c r="D549" s="1" t="s">
        <v>74</v>
      </c>
      <c r="E549" s="1" t="s">
        <v>74</v>
      </c>
      <c r="F549" s="1" t="s">
        <v>4767</v>
      </c>
      <c r="G549" s="1" t="s">
        <v>74</v>
      </c>
      <c r="H549" s="1" t="s">
        <v>74</v>
      </c>
      <c r="I549" s="1" t="s">
        <v>4768</v>
      </c>
      <c r="J549" s="1" t="s">
        <v>680</v>
      </c>
      <c r="K549" s="1" t="s">
        <v>74</v>
      </c>
      <c r="L549" s="1" t="s">
        <v>74</v>
      </c>
      <c r="M549" s="1" t="s">
        <v>74</v>
      </c>
      <c r="N549" s="1" t="s">
        <v>74</v>
      </c>
      <c r="O549" s="1" t="s">
        <v>74</v>
      </c>
      <c r="P549" s="1" t="s">
        <v>74</v>
      </c>
      <c r="Q549" s="1" t="s">
        <v>74</v>
      </c>
      <c r="R549" s="1" t="s">
        <v>74</v>
      </c>
      <c r="S549" s="1" t="s">
        <v>74</v>
      </c>
      <c r="T549" s="1" t="s">
        <v>74</v>
      </c>
      <c r="U549" s="1" t="s">
        <v>74</v>
      </c>
      <c r="V549" s="1" t="s">
        <v>4769</v>
      </c>
      <c r="W549" s="1" t="s">
        <v>74</v>
      </c>
      <c r="X549" s="1" t="s">
        <v>74</v>
      </c>
      <c r="Y549" s="1" t="s">
        <v>74</v>
      </c>
      <c r="Z549" s="1" t="s">
        <v>74</v>
      </c>
      <c r="AA549" s="1" t="s">
        <v>4770</v>
      </c>
      <c r="AB549" s="1" t="s">
        <v>4771</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684</v>
      </c>
      <c r="AP549" s="1" t="s">
        <v>74</v>
      </c>
      <c r="AQ549" s="1" t="s">
        <v>74</v>
      </c>
      <c r="AR549" s="1" t="s">
        <v>74</v>
      </c>
      <c r="AS549" s="1" t="s">
        <v>74</v>
      </c>
      <c r="AT549" s="1" t="s">
        <v>74</v>
      </c>
      <c r="AU549" s="1">
        <v>1998.0</v>
      </c>
      <c r="AV549" s="1">
        <v>31.0</v>
      </c>
      <c r="AW549" s="1">
        <v>4.0</v>
      </c>
      <c r="AX549" s="1" t="s">
        <v>74</v>
      </c>
      <c r="AY549" s="1" t="s">
        <v>74</v>
      </c>
      <c r="AZ549" s="1" t="s">
        <v>74</v>
      </c>
      <c r="BA549" s="1" t="s">
        <v>74</v>
      </c>
      <c r="BB549" s="1">
        <v>351.0</v>
      </c>
      <c r="BC549" s="1">
        <v>358.0</v>
      </c>
      <c r="BD549" s="1" t="s">
        <v>74</v>
      </c>
      <c r="BE549" s="1" t="s">
        <v>74</v>
      </c>
      <c r="BF549" s="1" t="s">
        <v>74</v>
      </c>
      <c r="BG549" s="1" t="s">
        <v>74</v>
      </c>
      <c r="BH549" s="1" t="s">
        <v>74</v>
      </c>
      <c r="BI549" s="1" t="s">
        <v>74</v>
      </c>
      <c r="BJ549" s="1" t="s">
        <v>74</v>
      </c>
      <c r="BK549" s="1" t="s">
        <v>74</v>
      </c>
      <c r="BL549" s="1" t="s">
        <v>74</v>
      </c>
      <c r="BM549" s="1" t="s">
        <v>74</v>
      </c>
      <c r="BN549" s="1">
        <v>1.0029899E7</v>
      </c>
      <c r="BO549" s="1" t="s">
        <v>74</v>
      </c>
      <c r="BP549" s="1" t="s">
        <v>74</v>
      </c>
      <c r="BQ549" s="1" t="s">
        <v>74</v>
      </c>
      <c r="BR549" s="1" t="s">
        <v>74</v>
      </c>
      <c r="BS549" s="1" t="s">
        <v>4772</v>
      </c>
      <c r="BT549" s="1" t="str">
        <f>HYPERLINK("https%3A%2F%2Fwww.webofscience.com%2Fwos%2Fwoscc%2Ffull-record%2FWOS:000077870500006","View Full Record in Web of Science")</f>
        <v>View Full Record in Web of Science</v>
      </c>
    </row>
    <row r="550" ht="12.75" customHeight="1">
      <c r="A550" s="1" t="s">
        <v>72</v>
      </c>
      <c r="B550" s="1" t="s">
        <v>4773</v>
      </c>
      <c r="C550" s="1" t="s">
        <v>74</v>
      </c>
      <c r="D550" s="1" t="s">
        <v>74</v>
      </c>
      <c r="E550" s="1" t="s">
        <v>74</v>
      </c>
      <c r="F550" s="1" t="s">
        <v>4773</v>
      </c>
      <c r="G550" s="1" t="s">
        <v>74</v>
      </c>
      <c r="H550" s="1" t="s">
        <v>74</v>
      </c>
      <c r="I550" s="1" t="s">
        <v>4774</v>
      </c>
      <c r="J550" s="1" t="s">
        <v>765</v>
      </c>
      <c r="K550" s="1" t="s">
        <v>74</v>
      </c>
      <c r="L550" s="1" t="s">
        <v>74</v>
      </c>
      <c r="M550" s="1" t="s">
        <v>74</v>
      </c>
      <c r="N550" s="1" t="s">
        <v>74</v>
      </c>
      <c r="O550" s="1" t="s">
        <v>74</v>
      </c>
      <c r="P550" s="1" t="s">
        <v>74</v>
      </c>
      <c r="Q550" s="1" t="s">
        <v>74</v>
      </c>
      <c r="R550" s="1" t="s">
        <v>74</v>
      </c>
      <c r="S550" s="1" t="s">
        <v>74</v>
      </c>
      <c r="T550" s="1" t="s">
        <v>74</v>
      </c>
      <c r="U550" s="1" t="s">
        <v>74</v>
      </c>
      <c r="V550" s="1" t="s">
        <v>4775</v>
      </c>
      <c r="W550" s="1" t="s">
        <v>74</v>
      </c>
      <c r="X550" s="1" t="s">
        <v>74</v>
      </c>
      <c r="Y550" s="1" t="s">
        <v>74</v>
      </c>
      <c r="Z550" s="1" t="s">
        <v>74</v>
      </c>
      <c r="AA550" s="1" t="s">
        <v>4776</v>
      </c>
      <c r="AB550" s="1" t="s">
        <v>4777</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769</v>
      </c>
      <c r="AP550" s="1" t="s">
        <v>74</v>
      </c>
      <c r="AQ550" s="1" t="s">
        <v>74</v>
      </c>
      <c r="AR550" s="1" t="s">
        <v>74</v>
      </c>
      <c r="AS550" s="1" t="s">
        <v>74</v>
      </c>
      <c r="AT550" s="1" t="s">
        <v>2788</v>
      </c>
      <c r="AU550" s="1">
        <v>1997.0</v>
      </c>
      <c r="AV550" s="1">
        <v>437.0</v>
      </c>
      <c r="AW550" s="1" t="s">
        <v>433</v>
      </c>
      <c r="AX550" s="1" t="s">
        <v>74</v>
      </c>
      <c r="AY550" s="1" t="s">
        <v>74</v>
      </c>
      <c r="AZ550" s="1" t="s">
        <v>74</v>
      </c>
      <c r="BA550" s="1" t="s">
        <v>74</v>
      </c>
      <c r="BB550" s="1">
        <v>45.0</v>
      </c>
      <c r="BC550" s="1">
        <v>52.0</v>
      </c>
      <c r="BD550" s="1" t="s">
        <v>74</v>
      </c>
      <c r="BE550" s="1" t="s">
        <v>4778</v>
      </c>
      <c r="BF550" s="2" t="str">
        <f>HYPERLINK("http://dx.doi.org/10.1016/S0022-0728(97)00253-2","http://dx.doi.org/10.1016/S0022-0728(97)00253-2")</f>
        <v>http://dx.doi.org/10.1016/S0022-0728(97)00253-2</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4779</v>
      </c>
      <c r="BT550" s="1" t="str">
        <f>HYPERLINK("https%3A%2F%2Fwww.webofscience.com%2Fwos%2Fwoscc%2Ffull-record%2FWOS:000071189700005","View Full Record in Web of Science")</f>
        <v>View Full Record in Web of Science</v>
      </c>
    </row>
    <row r="551" ht="12.75" customHeight="1">
      <c r="A551" s="1" t="s">
        <v>72</v>
      </c>
      <c r="B551" s="1" t="s">
        <v>4780</v>
      </c>
      <c r="C551" s="1" t="s">
        <v>74</v>
      </c>
      <c r="D551" s="1" t="s">
        <v>74</v>
      </c>
      <c r="E551" s="1" t="s">
        <v>74</v>
      </c>
      <c r="F551" s="1" t="s">
        <v>4780</v>
      </c>
      <c r="G551" s="1" t="s">
        <v>74</v>
      </c>
      <c r="H551" s="1" t="s">
        <v>74</v>
      </c>
      <c r="I551" s="1" t="s">
        <v>4781</v>
      </c>
      <c r="J551" s="1" t="s">
        <v>3010</v>
      </c>
      <c r="K551" s="1" t="s">
        <v>74</v>
      </c>
      <c r="L551" s="1" t="s">
        <v>74</v>
      </c>
      <c r="M551" s="1" t="s">
        <v>74</v>
      </c>
      <c r="N551" s="1" t="s">
        <v>74</v>
      </c>
      <c r="O551" s="1" t="s">
        <v>74</v>
      </c>
      <c r="P551" s="1" t="s">
        <v>74</v>
      </c>
      <c r="Q551" s="1" t="s">
        <v>74</v>
      </c>
      <c r="R551" s="1" t="s">
        <v>74</v>
      </c>
      <c r="S551" s="1" t="s">
        <v>74</v>
      </c>
      <c r="T551" s="1" t="s">
        <v>74</v>
      </c>
      <c r="U551" s="1" t="s">
        <v>74</v>
      </c>
      <c r="V551" s="1" t="s">
        <v>4782</v>
      </c>
      <c r="W551" s="1" t="s">
        <v>74</v>
      </c>
      <c r="X551" s="1" t="s">
        <v>74</v>
      </c>
      <c r="Y551" s="1" t="s">
        <v>74</v>
      </c>
      <c r="Z551" s="1" t="s">
        <v>74</v>
      </c>
      <c r="AA551" s="1" t="s">
        <v>74</v>
      </c>
      <c r="AB551" s="1" t="s">
        <v>74</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3014</v>
      </c>
      <c r="AP551" s="1" t="s">
        <v>74</v>
      </c>
      <c r="AQ551" s="1" t="s">
        <v>74</v>
      </c>
      <c r="AR551" s="1" t="s">
        <v>74</v>
      </c>
      <c r="AS551" s="1" t="s">
        <v>74</v>
      </c>
      <c r="AT551" s="1" t="s">
        <v>4783</v>
      </c>
      <c r="AU551" s="1">
        <v>1996.0</v>
      </c>
      <c r="AV551" s="1">
        <v>179.0</v>
      </c>
      <c r="AW551" s="1">
        <v>2.0</v>
      </c>
      <c r="AX551" s="1" t="s">
        <v>74</v>
      </c>
      <c r="AY551" s="1" t="s">
        <v>74</v>
      </c>
      <c r="AZ551" s="1" t="s">
        <v>74</v>
      </c>
      <c r="BA551" s="1" t="s">
        <v>74</v>
      </c>
      <c r="BB551" s="1">
        <v>532.0</v>
      </c>
      <c r="BC551" s="1">
        <v>536.0</v>
      </c>
      <c r="BD551" s="1" t="s">
        <v>74</v>
      </c>
      <c r="BE551" s="1" t="s">
        <v>4784</v>
      </c>
      <c r="BF551" s="2" t="str">
        <f>HYPERLINK("http://dx.doi.org/10.1006/jcis.1996.0246","http://dx.doi.org/10.1006/jcis.1996.0246")</f>
        <v>http://dx.doi.org/10.1006/jcis.1996.0246</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4785</v>
      </c>
      <c r="BT551" s="1" t="str">
        <f>HYPERLINK("https%3A%2F%2Fwww.webofscience.com%2Fwos%2Fwoscc%2Ffull-record%2FWOS:A1996UM25700024","View Full Record in Web of Science")</f>
        <v>View Full Record in Web of Science</v>
      </c>
    </row>
    <row r="552" ht="12.75" customHeight="1">
      <c r="A552" s="1" t="s">
        <v>72</v>
      </c>
      <c r="B552" s="1" t="s">
        <v>4786</v>
      </c>
      <c r="C552" s="1" t="s">
        <v>74</v>
      </c>
      <c r="D552" s="1" t="s">
        <v>74</v>
      </c>
      <c r="E552" s="1" t="s">
        <v>74</v>
      </c>
      <c r="F552" s="1" t="s">
        <v>4786</v>
      </c>
      <c r="G552" s="1" t="s">
        <v>74</v>
      </c>
      <c r="H552" s="1" t="s">
        <v>74</v>
      </c>
      <c r="I552" s="1" t="s">
        <v>4787</v>
      </c>
      <c r="J552" s="1" t="s">
        <v>4788</v>
      </c>
      <c r="K552" s="1" t="s">
        <v>74</v>
      </c>
      <c r="L552" s="1" t="s">
        <v>74</v>
      </c>
      <c r="M552" s="1" t="s">
        <v>74</v>
      </c>
      <c r="N552" s="1" t="s">
        <v>74</v>
      </c>
      <c r="O552" s="1" t="s">
        <v>74</v>
      </c>
      <c r="P552" s="1" t="s">
        <v>74</v>
      </c>
      <c r="Q552" s="1" t="s">
        <v>74</v>
      </c>
      <c r="R552" s="1" t="s">
        <v>74</v>
      </c>
      <c r="S552" s="1" t="s">
        <v>74</v>
      </c>
      <c r="T552" s="1" t="s">
        <v>74</v>
      </c>
      <c r="U552" s="1" t="s">
        <v>74</v>
      </c>
      <c r="V552" s="1" t="s">
        <v>74</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4789</v>
      </c>
      <c r="AP552" s="1" t="s">
        <v>74</v>
      </c>
      <c r="AQ552" s="1" t="s">
        <v>74</v>
      </c>
      <c r="AR552" s="1" t="s">
        <v>74</v>
      </c>
      <c r="AS552" s="1" t="s">
        <v>74</v>
      </c>
      <c r="AT552" s="1" t="s">
        <v>74</v>
      </c>
      <c r="AU552" s="1">
        <v>1996.0</v>
      </c>
      <c r="AV552" s="1">
        <v>18.0</v>
      </c>
      <c r="AW552" s="1" t="s">
        <v>4790</v>
      </c>
      <c r="AX552" s="1" t="s">
        <v>74</v>
      </c>
      <c r="AY552" s="1" t="s">
        <v>74</v>
      </c>
      <c r="AZ552" s="1" t="s">
        <v>74</v>
      </c>
      <c r="BA552" s="1" t="s">
        <v>74</v>
      </c>
      <c r="BB552" s="1">
        <v>380.0</v>
      </c>
      <c r="BC552" s="1">
        <v>381.0</v>
      </c>
      <c r="BD552" s="1" t="s">
        <v>74</v>
      </c>
      <c r="BE552" s="1" t="s">
        <v>74</v>
      </c>
      <c r="BF552" s="1" t="s">
        <v>74</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4791</v>
      </c>
      <c r="BT552" s="1" t="str">
        <f>HYPERLINK("https%3A%2F%2Fwww.webofscience.com%2Fwos%2Fwoscc%2Ffull-record%2FWOS:A1996WH12600025","View Full Record in Web of Science")</f>
        <v>View Full Record in Web of Science</v>
      </c>
    </row>
    <row r="553" ht="12.75" customHeight="1">
      <c r="A553" s="1" t="s">
        <v>72</v>
      </c>
      <c r="B553" s="1" t="s">
        <v>4792</v>
      </c>
      <c r="C553" s="1" t="s">
        <v>74</v>
      </c>
      <c r="D553" s="1" t="s">
        <v>74</v>
      </c>
      <c r="E553" s="1" t="s">
        <v>74</v>
      </c>
      <c r="F553" s="1" t="s">
        <v>4792</v>
      </c>
      <c r="G553" s="1" t="s">
        <v>74</v>
      </c>
      <c r="H553" s="1" t="s">
        <v>74</v>
      </c>
      <c r="I553" s="1" t="s">
        <v>4793</v>
      </c>
      <c r="J553" s="1" t="s">
        <v>514</v>
      </c>
      <c r="K553" s="1" t="s">
        <v>74</v>
      </c>
      <c r="L553" s="1" t="s">
        <v>74</v>
      </c>
      <c r="M553" s="1" t="s">
        <v>74</v>
      </c>
      <c r="N553" s="1" t="s">
        <v>74</v>
      </c>
      <c r="O553" s="1" t="s">
        <v>74</v>
      </c>
      <c r="P553" s="1" t="s">
        <v>74</v>
      </c>
      <c r="Q553" s="1" t="s">
        <v>74</v>
      </c>
      <c r="R553" s="1" t="s">
        <v>74</v>
      </c>
      <c r="S553" s="1" t="s">
        <v>74</v>
      </c>
      <c r="T553" s="1" t="s">
        <v>74</v>
      </c>
      <c r="U553" s="1" t="s">
        <v>74</v>
      </c>
      <c r="V553" s="1" t="s">
        <v>4794</v>
      </c>
      <c r="W553" s="1" t="s">
        <v>74</v>
      </c>
      <c r="X553" s="1" t="s">
        <v>74</v>
      </c>
      <c r="Y553" s="1" t="s">
        <v>74</v>
      </c>
      <c r="Z553" s="1" t="s">
        <v>74</v>
      </c>
      <c r="AA553" s="1" t="s">
        <v>74</v>
      </c>
      <c r="AB553" s="1" t="s">
        <v>74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516</v>
      </c>
      <c r="AP553" s="1" t="s">
        <v>74</v>
      </c>
      <c r="AQ553" s="1" t="s">
        <v>74</v>
      </c>
      <c r="AR553" s="1" t="s">
        <v>74</v>
      </c>
      <c r="AS553" s="1" t="s">
        <v>74</v>
      </c>
      <c r="AT553" s="1" t="s">
        <v>74</v>
      </c>
      <c r="AU553" s="1">
        <v>1994.0</v>
      </c>
      <c r="AV553" s="1">
        <v>12.0</v>
      </c>
      <c r="AW553" s="1">
        <v>7.0</v>
      </c>
      <c r="AX553" s="1" t="s">
        <v>74</v>
      </c>
      <c r="AY553" s="1" t="s">
        <v>74</v>
      </c>
      <c r="AZ553" s="1" t="s">
        <v>74</v>
      </c>
      <c r="BA553" s="1" t="s">
        <v>74</v>
      </c>
      <c r="BB553" s="1">
        <v>1605.0</v>
      </c>
      <c r="BC553" s="1">
        <v>1627.0</v>
      </c>
      <c r="BD553" s="1" t="s">
        <v>74</v>
      </c>
      <c r="BE553" s="1" t="s">
        <v>4795</v>
      </c>
      <c r="BF553" s="2" t="str">
        <f>HYPERLINK("http://dx.doi.org/10.1080/07373939408962189","http://dx.doi.org/10.1080/07373939408962189")</f>
        <v>http://dx.doi.org/10.1080/07373939408962189</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4796</v>
      </c>
      <c r="BT553" s="1" t="str">
        <f>HYPERLINK("https%3A%2F%2Fwww.webofscience.com%2Fwos%2Fwoscc%2Ffull-record%2FWOS:A1994PG40000005","View Full Record in Web of Science")</f>
        <v>View Full Record in Web of Science</v>
      </c>
    </row>
    <row r="554" ht="12.75" customHeight="1">
      <c r="A554" s="1" t="s">
        <v>72</v>
      </c>
      <c r="B554" s="1" t="s">
        <v>3311</v>
      </c>
      <c r="C554" s="1" t="s">
        <v>74</v>
      </c>
      <c r="D554" s="1" t="s">
        <v>74</v>
      </c>
      <c r="E554" s="1" t="s">
        <v>74</v>
      </c>
      <c r="F554" s="1" t="s">
        <v>3311</v>
      </c>
      <c r="G554" s="1" t="s">
        <v>74</v>
      </c>
      <c r="H554" s="1" t="s">
        <v>74</v>
      </c>
      <c r="I554" s="1" t="s">
        <v>4797</v>
      </c>
      <c r="J554" s="1" t="s">
        <v>3010</v>
      </c>
      <c r="K554" s="1" t="s">
        <v>74</v>
      </c>
      <c r="L554" s="1" t="s">
        <v>74</v>
      </c>
      <c r="M554" s="1" t="s">
        <v>74</v>
      </c>
      <c r="N554" s="1" t="s">
        <v>74</v>
      </c>
      <c r="O554" s="1" t="s">
        <v>74</v>
      </c>
      <c r="P554" s="1" t="s">
        <v>74</v>
      </c>
      <c r="Q554" s="1" t="s">
        <v>74</v>
      </c>
      <c r="R554" s="1" t="s">
        <v>74</v>
      </c>
      <c r="S554" s="1" t="s">
        <v>74</v>
      </c>
      <c r="T554" s="1" t="s">
        <v>74</v>
      </c>
      <c r="U554" s="1" t="s">
        <v>74</v>
      </c>
      <c r="V554" s="1" t="s">
        <v>74</v>
      </c>
      <c r="W554" s="1" t="s">
        <v>74</v>
      </c>
      <c r="X554" s="1" t="s">
        <v>74</v>
      </c>
      <c r="Y554" s="1" t="s">
        <v>74</v>
      </c>
      <c r="Z554" s="1" t="s">
        <v>74</v>
      </c>
      <c r="AA554" s="1" t="s">
        <v>74</v>
      </c>
      <c r="AB554" s="1" t="s">
        <v>74</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3014</v>
      </c>
      <c r="AP554" s="1" t="s">
        <v>74</v>
      </c>
      <c r="AQ554" s="1" t="s">
        <v>74</v>
      </c>
      <c r="AR554" s="1" t="s">
        <v>74</v>
      </c>
      <c r="AS554" s="1" t="s">
        <v>74</v>
      </c>
      <c r="AT554" s="1" t="s">
        <v>91</v>
      </c>
      <c r="AU554" s="1">
        <v>1992.0</v>
      </c>
      <c r="AV554" s="1">
        <v>151.0</v>
      </c>
      <c r="AW554" s="1">
        <v>2.0</v>
      </c>
      <c r="AX554" s="1" t="s">
        <v>74</v>
      </c>
      <c r="AY554" s="1" t="s">
        <v>74</v>
      </c>
      <c r="AZ554" s="1" t="s">
        <v>74</v>
      </c>
      <c r="BA554" s="1" t="s">
        <v>74</v>
      </c>
      <c r="BB554" s="1">
        <v>594.0</v>
      </c>
      <c r="BC554" s="1">
        <v>597.0</v>
      </c>
      <c r="BD554" s="1" t="s">
        <v>74</v>
      </c>
      <c r="BE554" s="1" t="s">
        <v>4798</v>
      </c>
      <c r="BF554" s="2" t="str">
        <f>HYPERLINK("http://dx.doi.org/10.1016/0021-9797(92)90508-J","http://dx.doi.org/10.1016/0021-9797(92)90508-J")</f>
        <v>http://dx.doi.org/10.1016/0021-9797(92)90508-J</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4799</v>
      </c>
      <c r="BT554" s="1" t="str">
        <f>HYPERLINK("https%3A%2F%2Fwww.webofscience.com%2Fwos%2Fwoscc%2Ffull-record%2FWOS:A1992HZ18900029","View Full Record in Web of Science")</f>
        <v>View Full Record in Web of Science</v>
      </c>
    </row>
    <row r="555" ht="12.75" customHeight="1">
      <c r="A555" s="1" t="s">
        <v>72</v>
      </c>
      <c r="B555" s="1" t="s">
        <v>4800</v>
      </c>
      <c r="C555" s="1" t="s">
        <v>74</v>
      </c>
      <c r="D555" s="1" t="s">
        <v>74</v>
      </c>
      <c r="E555" s="1" t="s">
        <v>74</v>
      </c>
      <c r="F555" s="1" t="s">
        <v>4800</v>
      </c>
      <c r="G555" s="1" t="s">
        <v>74</v>
      </c>
      <c r="H555" s="1" t="s">
        <v>74</v>
      </c>
      <c r="I555" s="1" t="s">
        <v>4801</v>
      </c>
      <c r="J555" s="1" t="s">
        <v>880</v>
      </c>
      <c r="K555" s="1" t="s">
        <v>74</v>
      </c>
      <c r="L555" s="1" t="s">
        <v>74</v>
      </c>
      <c r="M555" s="1" t="s">
        <v>74</v>
      </c>
      <c r="N555" s="1" t="s">
        <v>74</v>
      </c>
      <c r="O555" s="1" t="s">
        <v>74</v>
      </c>
      <c r="P555" s="1" t="s">
        <v>74</v>
      </c>
      <c r="Q555" s="1" t="s">
        <v>74</v>
      </c>
      <c r="R555" s="1" t="s">
        <v>74</v>
      </c>
      <c r="S555" s="1" t="s">
        <v>74</v>
      </c>
      <c r="T555" s="1" t="s">
        <v>74</v>
      </c>
      <c r="U555" s="1" t="s">
        <v>74</v>
      </c>
      <c r="V555" s="1" t="s">
        <v>4802</v>
      </c>
      <c r="W555" s="1" t="s">
        <v>74</v>
      </c>
      <c r="X555" s="1" t="s">
        <v>74</v>
      </c>
      <c r="Y555" s="1" t="s">
        <v>74</v>
      </c>
      <c r="Z555" s="1" t="s">
        <v>74</v>
      </c>
      <c r="AA555" s="1" t="s">
        <v>74</v>
      </c>
      <c r="AB555" s="1" t="s">
        <v>701</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881</v>
      </c>
      <c r="AP555" s="1" t="s">
        <v>4803</v>
      </c>
      <c r="AQ555" s="1" t="s">
        <v>74</v>
      </c>
      <c r="AR555" s="1" t="s">
        <v>74</v>
      </c>
      <c r="AS555" s="1" t="s">
        <v>74</v>
      </c>
      <c r="AT555" s="1" t="s">
        <v>74</v>
      </c>
      <c r="AU555" s="1">
        <v>1984.0</v>
      </c>
      <c r="AV555" s="1">
        <v>12.0</v>
      </c>
      <c r="AW555" s="1">
        <v>2.0</v>
      </c>
      <c r="AX555" s="1" t="s">
        <v>74</v>
      </c>
      <c r="AY555" s="1" t="s">
        <v>74</v>
      </c>
      <c r="AZ555" s="1" t="s">
        <v>74</v>
      </c>
      <c r="BA555" s="1" t="s">
        <v>74</v>
      </c>
      <c r="BB555" s="1">
        <v>145.0</v>
      </c>
      <c r="BC555" s="1">
        <v>147.0</v>
      </c>
      <c r="BD555" s="1" t="s">
        <v>74</v>
      </c>
      <c r="BE555" s="1" t="s">
        <v>4804</v>
      </c>
      <c r="BF555" s="2" t="str">
        <f>HYPERLINK("http://dx.doi.org/10.1016/0305-1978(84)90026-7","http://dx.doi.org/10.1016/0305-1978(84)90026-7")</f>
        <v>http://dx.doi.org/10.1016/0305-1978(84)90026-7</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4805</v>
      </c>
      <c r="BT555" s="1" t="str">
        <f>HYPERLINK("https%3A%2F%2Fwww.webofscience.com%2Fwos%2Fwoscc%2Ffull-record%2FWOS:A1984TC31100002","View Full Record in Web of Science")</f>
        <v>View Full Record in Web of Science</v>
      </c>
    </row>
    <row r="556" ht="12.75" customHeight="1">
      <c r="A556" s="1" t="s">
        <v>72</v>
      </c>
      <c r="B556" s="1" t="s">
        <v>934</v>
      </c>
      <c r="C556" s="1" t="s">
        <v>74</v>
      </c>
      <c r="D556" s="1" t="s">
        <v>74</v>
      </c>
      <c r="E556" s="1" t="s">
        <v>74</v>
      </c>
      <c r="F556" s="1" t="s">
        <v>934</v>
      </c>
      <c r="G556" s="1" t="s">
        <v>74</v>
      </c>
      <c r="H556" s="1" t="s">
        <v>74</v>
      </c>
      <c r="I556" s="1" t="s">
        <v>4806</v>
      </c>
      <c r="J556" s="1" t="s">
        <v>3319</v>
      </c>
      <c r="K556" s="1" t="s">
        <v>74</v>
      </c>
      <c r="L556" s="1" t="s">
        <v>74</v>
      </c>
      <c r="M556" s="1" t="s">
        <v>74</v>
      </c>
      <c r="N556" s="1" t="s">
        <v>74</v>
      </c>
      <c r="O556" s="1" t="s">
        <v>74</v>
      </c>
      <c r="P556" s="1" t="s">
        <v>74</v>
      </c>
      <c r="Q556" s="1" t="s">
        <v>74</v>
      </c>
      <c r="R556" s="1" t="s">
        <v>74</v>
      </c>
      <c r="S556" s="1" t="s">
        <v>74</v>
      </c>
      <c r="T556" s="1" t="s">
        <v>74</v>
      </c>
      <c r="U556" s="1" t="s">
        <v>74</v>
      </c>
      <c r="V556" s="1" t="s">
        <v>74</v>
      </c>
      <c r="W556" s="1" t="s">
        <v>74</v>
      </c>
      <c r="X556" s="1" t="s">
        <v>74</v>
      </c>
      <c r="Y556" s="1" t="s">
        <v>74</v>
      </c>
      <c r="Z556" s="1" t="s">
        <v>74</v>
      </c>
      <c r="AA556" s="1" t="s">
        <v>450</v>
      </c>
      <c r="AB556" s="1" t="s">
        <v>74</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3320</v>
      </c>
      <c r="AP556" s="1" t="s">
        <v>74</v>
      </c>
      <c r="AQ556" s="1" t="s">
        <v>74</v>
      </c>
      <c r="AR556" s="1" t="s">
        <v>74</v>
      </c>
      <c r="AS556" s="1" t="s">
        <v>74</v>
      </c>
      <c r="AT556" s="1" t="s">
        <v>74</v>
      </c>
      <c r="AU556" s="1">
        <v>1982.0</v>
      </c>
      <c r="AV556" s="1">
        <v>91.0</v>
      </c>
      <c r="AW556" s="1">
        <v>1.0</v>
      </c>
      <c r="AX556" s="1" t="s">
        <v>74</v>
      </c>
      <c r="AY556" s="1" t="s">
        <v>74</v>
      </c>
      <c r="AZ556" s="1" t="s">
        <v>74</v>
      </c>
      <c r="BA556" s="1" t="s">
        <v>74</v>
      </c>
      <c r="BB556" s="1">
        <v>55.0</v>
      </c>
      <c r="BC556" s="1">
        <v>57.0</v>
      </c>
      <c r="BD556" s="1" t="s">
        <v>74</v>
      </c>
      <c r="BE556" s="1" t="s">
        <v>4807</v>
      </c>
      <c r="BF556" s="2" t="str">
        <f>HYPERLINK("http://dx.doi.org/10.1016/0009-2614(82)87031-0","http://dx.doi.org/10.1016/0009-2614(82)87031-0")</f>
        <v>http://dx.doi.org/10.1016/0009-2614(82)87031-0</v>
      </c>
      <c r="BG556" s="1" t="s">
        <v>74</v>
      </c>
      <c r="BH556" s="1" t="s">
        <v>74</v>
      </c>
      <c r="BI556" s="1" t="s">
        <v>74</v>
      </c>
      <c r="BJ556" s="1" t="s">
        <v>74</v>
      </c>
      <c r="BK556" s="1" t="s">
        <v>74</v>
      </c>
      <c r="BL556" s="1" t="s">
        <v>74</v>
      </c>
      <c r="BM556" s="1" t="s">
        <v>74</v>
      </c>
      <c r="BN556" s="1" t="s">
        <v>74</v>
      </c>
      <c r="BO556" s="1" t="s">
        <v>74</v>
      </c>
      <c r="BP556" s="1" t="s">
        <v>74</v>
      </c>
      <c r="BQ556" s="1" t="s">
        <v>74</v>
      </c>
      <c r="BR556" s="1" t="s">
        <v>74</v>
      </c>
      <c r="BS556" s="1" t="s">
        <v>4808</v>
      </c>
      <c r="BT556" s="1" t="str">
        <f>HYPERLINK("https%3A%2F%2Fwww.webofscience.com%2Fwos%2Fwoscc%2Ffull-record%2FWOS:A1982PG45000013","View Full Record in Web of Science")</f>
        <v>View Full Record in Web of Science</v>
      </c>
    </row>
    <row r="557" ht="12.75" customHeight="1">
      <c r="A557" s="1" t="s">
        <v>72</v>
      </c>
      <c r="B557" s="1" t="s">
        <v>4809</v>
      </c>
      <c r="C557" s="1" t="s">
        <v>74</v>
      </c>
      <c r="D557" s="1" t="s">
        <v>74</v>
      </c>
      <c r="E557" s="1" t="s">
        <v>74</v>
      </c>
      <c r="F557" s="1" t="s">
        <v>4809</v>
      </c>
      <c r="G557" s="1" t="s">
        <v>74</v>
      </c>
      <c r="H557" s="1" t="s">
        <v>74</v>
      </c>
      <c r="I557" s="1" t="s">
        <v>4810</v>
      </c>
      <c r="J557" s="1" t="s">
        <v>4811</v>
      </c>
      <c r="K557" s="1" t="s">
        <v>74</v>
      </c>
      <c r="L557" s="1" t="s">
        <v>74</v>
      </c>
      <c r="M557" s="1" t="s">
        <v>74</v>
      </c>
      <c r="N557" s="1" t="s">
        <v>74</v>
      </c>
      <c r="O557" s="1" t="s">
        <v>74</v>
      </c>
      <c r="P557" s="1" t="s">
        <v>74</v>
      </c>
      <c r="Q557" s="1" t="s">
        <v>74</v>
      </c>
      <c r="R557" s="1" t="s">
        <v>74</v>
      </c>
      <c r="S557" s="1" t="s">
        <v>74</v>
      </c>
      <c r="T557" s="1" t="s">
        <v>74</v>
      </c>
      <c r="U557" s="1" t="s">
        <v>74</v>
      </c>
      <c r="V557" s="1" t="s">
        <v>74</v>
      </c>
      <c r="W557" s="1" t="s">
        <v>74</v>
      </c>
      <c r="X557" s="1" t="s">
        <v>74</v>
      </c>
      <c r="Y557" s="1" t="s">
        <v>74</v>
      </c>
      <c r="Z557" s="1" t="s">
        <v>74</v>
      </c>
      <c r="AA557" s="1" t="s">
        <v>4812</v>
      </c>
      <c r="AB557" s="1" t="s">
        <v>74</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4813</v>
      </c>
      <c r="AP557" s="1" t="s">
        <v>74</v>
      </c>
      <c r="AQ557" s="1" t="s">
        <v>74</v>
      </c>
      <c r="AR557" s="1" t="s">
        <v>74</v>
      </c>
      <c r="AS557" s="1" t="s">
        <v>74</v>
      </c>
      <c r="AT557" s="1" t="s">
        <v>74</v>
      </c>
      <c r="AU557" s="1">
        <v>1979.0</v>
      </c>
      <c r="AV557" s="1">
        <v>12.0</v>
      </c>
      <c r="AW557" s="1">
        <v>12.0</v>
      </c>
      <c r="AX557" s="1" t="s">
        <v>74</v>
      </c>
      <c r="AY557" s="1" t="s">
        <v>74</v>
      </c>
      <c r="AZ557" s="1" t="s">
        <v>74</v>
      </c>
      <c r="BA557" s="1" t="s">
        <v>74</v>
      </c>
      <c r="BB557" s="1">
        <v>1559.0</v>
      </c>
      <c r="BC557" s="1">
        <v>1562.0</v>
      </c>
      <c r="BD557" s="1" t="s">
        <v>74</v>
      </c>
      <c r="BE557" s="1" t="s">
        <v>4814</v>
      </c>
      <c r="BF557" s="2" t="str">
        <f>HYPERLINK("http://dx.doi.org/10.3987/R-1979-12-1559","http://dx.doi.org/10.3987/R-1979-12-1559")</f>
        <v>http://dx.doi.org/10.3987/R-1979-12-1559</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4815</v>
      </c>
      <c r="BT557" s="1" t="str">
        <f>HYPERLINK("https%3A%2F%2Fwww.webofscience.com%2Fwos%2Fwoscc%2Ffull-record%2FWOS:A1979HY85700010","View Full Record in Web of Science")</f>
        <v>View Full Record in Web of Science</v>
      </c>
    </row>
    <row r="558" ht="12.75" customHeight="1">
      <c r="A558" s="1" t="s">
        <v>72</v>
      </c>
      <c r="B558" s="1" t="s">
        <v>4816</v>
      </c>
      <c r="C558" s="1" t="s">
        <v>74</v>
      </c>
      <c r="D558" s="1" t="s">
        <v>74</v>
      </c>
      <c r="E558" s="1" t="s">
        <v>74</v>
      </c>
      <c r="F558" s="1" t="s">
        <v>4816</v>
      </c>
      <c r="G558" s="1" t="s">
        <v>74</v>
      </c>
      <c r="H558" s="1" t="s">
        <v>74</v>
      </c>
      <c r="I558" s="1" t="s">
        <v>4817</v>
      </c>
      <c r="J558" s="1" t="s">
        <v>936</v>
      </c>
      <c r="K558" s="1" t="s">
        <v>74</v>
      </c>
      <c r="L558" s="1" t="s">
        <v>74</v>
      </c>
      <c r="M558" s="1" t="s">
        <v>74</v>
      </c>
      <c r="N558" s="1" t="s">
        <v>74</v>
      </c>
      <c r="O558" s="1" t="s">
        <v>74</v>
      </c>
      <c r="P558" s="1" t="s">
        <v>74</v>
      </c>
      <c r="Q558" s="1" t="s">
        <v>74</v>
      </c>
      <c r="R558" s="1" t="s">
        <v>74</v>
      </c>
      <c r="S558" s="1" t="s">
        <v>74</v>
      </c>
      <c r="T558" s="1" t="s">
        <v>74</v>
      </c>
      <c r="U558" s="1" t="s">
        <v>74</v>
      </c>
      <c r="V558" s="1" t="s">
        <v>74</v>
      </c>
      <c r="W558" s="1" t="s">
        <v>74</v>
      </c>
      <c r="X558" s="1" t="s">
        <v>74</v>
      </c>
      <c r="Y558" s="1" t="s">
        <v>74</v>
      </c>
      <c r="Z558" s="1" t="s">
        <v>74</v>
      </c>
      <c r="AA558" s="1" t="s">
        <v>74</v>
      </c>
      <c r="AB558" s="1" t="s">
        <v>74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937</v>
      </c>
      <c r="AP558" s="1" t="s">
        <v>74</v>
      </c>
      <c r="AQ558" s="1" t="s">
        <v>74</v>
      </c>
      <c r="AR558" s="1" t="s">
        <v>74</v>
      </c>
      <c r="AS558" s="1" t="s">
        <v>74</v>
      </c>
      <c r="AT558" s="1" t="s">
        <v>74</v>
      </c>
      <c r="AU558" s="1">
        <v>1978.0</v>
      </c>
      <c r="AV558" s="1">
        <v>8.0</v>
      </c>
      <c r="AW558" s="1">
        <v>2.0</v>
      </c>
      <c r="AX558" s="1" t="s">
        <v>74</v>
      </c>
      <c r="AY558" s="1" t="s">
        <v>74</v>
      </c>
      <c r="AZ558" s="1" t="s">
        <v>74</v>
      </c>
      <c r="BA558" s="1" t="s">
        <v>74</v>
      </c>
      <c r="BB558" s="1">
        <v>131.0</v>
      </c>
      <c r="BC558" s="1">
        <v>143.0</v>
      </c>
      <c r="BD558" s="1" t="s">
        <v>74</v>
      </c>
      <c r="BE558" s="1" t="s">
        <v>4818</v>
      </c>
      <c r="BF558" s="2" t="str">
        <f>HYPERLINK("http://dx.doi.org/10.1016/0047-2670(78)80015-X","http://dx.doi.org/10.1016/0047-2670(78)80015-X")</f>
        <v>http://dx.doi.org/10.1016/0047-2670(78)80015-X</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4819</v>
      </c>
      <c r="BT558" s="1" t="str">
        <f>HYPERLINK("https%3A%2F%2Fwww.webofscience.com%2Fwos%2Fwoscc%2Ffull-record%2FWOS:A1978EH64800007","View Full Record in Web of Science")</f>
        <v>View Full Record in Web of Science</v>
      </c>
    </row>
    <row r="559" ht="12.75" customHeight="1">
      <c r="A559" s="1" t="s">
        <v>72</v>
      </c>
      <c r="B559" s="1" t="s">
        <v>4820</v>
      </c>
      <c r="C559" s="1" t="s">
        <v>74</v>
      </c>
      <c r="D559" s="1" t="s">
        <v>74</v>
      </c>
      <c r="E559" s="1" t="s">
        <v>74</v>
      </c>
      <c r="F559" s="1" t="s">
        <v>4820</v>
      </c>
      <c r="G559" s="1" t="s">
        <v>74</v>
      </c>
      <c r="H559" s="1" t="s">
        <v>74</v>
      </c>
      <c r="I559" s="1" t="s">
        <v>4821</v>
      </c>
      <c r="J559" s="1" t="s">
        <v>4822</v>
      </c>
      <c r="K559" s="1" t="s">
        <v>74</v>
      </c>
      <c r="L559" s="1" t="s">
        <v>74</v>
      </c>
      <c r="M559" s="1" t="s">
        <v>74</v>
      </c>
      <c r="N559" s="1" t="s">
        <v>74</v>
      </c>
      <c r="O559" s="1" t="s">
        <v>74</v>
      </c>
      <c r="P559" s="1" t="s">
        <v>74</v>
      </c>
      <c r="Q559" s="1" t="s">
        <v>74</v>
      </c>
      <c r="R559" s="1" t="s">
        <v>74</v>
      </c>
      <c r="S559" s="1" t="s">
        <v>74</v>
      </c>
      <c r="T559" s="1" t="s">
        <v>74</v>
      </c>
      <c r="U559" s="1" t="s">
        <v>74</v>
      </c>
      <c r="V559" s="1" t="s">
        <v>4823</v>
      </c>
      <c r="W559" s="1" t="s">
        <v>74</v>
      </c>
      <c r="X559" s="1" t="s">
        <v>74</v>
      </c>
      <c r="Y559" s="1" t="s">
        <v>74</v>
      </c>
      <c r="Z559" s="1" t="s">
        <v>74</v>
      </c>
      <c r="AA559" s="1" t="s">
        <v>74</v>
      </c>
      <c r="AB559" s="1" t="s">
        <v>74</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4824</v>
      </c>
      <c r="AP559" s="1" t="s">
        <v>4825</v>
      </c>
      <c r="AQ559" s="1" t="s">
        <v>74</v>
      </c>
      <c r="AR559" s="1" t="s">
        <v>74</v>
      </c>
      <c r="AS559" s="1" t="s">
        <v>74</v>
      </c>
      <c r="AT559" s="1" t="s">
        <v>74</v>
      </c>
      <c r="AU559" s="1">
        <v>1977.0</v>
      </c>
      <c r="AV559" s="1">
        <v>20.0</v>
      </c>
      <c r="AW559" s="1">
        <v>6.0</v>
      </c>
      <c r="AX559" s="1" t="s">
        <v>74</v>
      </c>
      <c r="AY559" s="1" t="s">
        <v>74</v>
      </c>
      <c r="AZ559" s="1" t="s">
        <v>74</v>
      </c>
      <c r="BA559" s="1" t="s">
        <v>74</v>
      </c>
      <c r="BB559" s="1">
        <v>355.0</v>
      </c>
      <c r="BC559" s="1">
        <v>357.0</v>
      </c>
      <c r="BD559" s="1" t="s">
        <v>74</v>
      </c>
      <c r="BE559" s="1" t="s">
        <v>4826</v>
      </c>
      <c r="BF559" s="2" t="str">
        <f>HYPERLINK("http://dx.doi.org/10.1515/botm.1977.20.6.355","http://dx.doi.org/10.1515/botm.1977.20.6.355")</f>
        <v>http://dx.doi.org/10.1515/botm.1977.20.6.355</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4827</v>
      </c>
      <c r="BT559" s="1" t="str">
        <f>HYPERLINK("https%3A%2F%2Fwww.webofscience.com%2Fwos%2Fwoscc%2Ffull-record%2FWOS:A1977DW30200004","View Full Record in Web of Science")</f>
        <v>View Full Record in Web of Science</v>
      </c>
    </row>
    <row r="560" ht="12.75" customHeight="1">
      <c r="A560" s="1" t="s">
        <v>72</v>
      </c>
      <c r="B560" s="1" t="s">
        <v>4816</v>
      </c>
      <c r="C560" s="1" t="s">
        <v>74</v>
      </c>
      <c r="D560" s="1" t="s">
        <v>74</v>
      </c>
      <c r="E560" s="1" t="s">
        <v>74</v>
      </c>
      <c r="F560" s="1" t="s">
        <v>4816</v>
      </c>
      <c r="G560" s="1" t="s">
        <v>74</v>
      </c>
      <c r="H560" s="1" t="s">
        <v>74</v>
      </c>
      <c r="I560" s="1" t="s">
        <v>4828</v>
      </c>
      <c r="J560" s="1" t="s">
        <v>936</v>
      </c>
      <c r="K560" s="1" t="s">
        <v>74</v>
      </c>
      <c r="L560" s="1" t="s">
        <v>74</v>
      </c>
      <c r="M560" s="1" t="s">
        <v>74</v>
      </c>
      <c r="N560" s="1" t="s">
        <v>74</v>
      </c>
      <c r="O560" s="1" t="s">
        <v>74</v>
      </c>
      <c r="P560" s="1" t="s">
        <v>74</v>
      </c>
      <c r="Q560" s="1" t="s">
        <v>74</v>
      </c>
      <c r="R560" s="1" t="s">
        <v>74</v>
      </c>
      <c r="S560" s="1" t="s">
        <v>74</v>
      </c>
      <c r="T560" s="1" t="s">
        <v>74</v>
      </c>
      <c r="U560" s="1" t="s">
        <v>74</v>
      </c>
      <c r="V560" s="1" t="s">
        <v>74</v>
      </c>
      <c r="W560" s="1" t="s">
        <v>74</v>
      </c>
      <c r="X560" s="1" t="s">
        <v>74</v>
      </c>
      <c r="Y560" s="1" t="s">
        <v>74</v>
      </c>
      <c r="Z560" s="1" t="s">
        <v>74</v>
      </c>
      <c r="AA560" s="1" t="s">
        <v>74</v>
      </c>
      <c r="AB560" s="1" t="s">
        <v>74</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937</v>
      </c>
      <c r="AP560" s="1" t="s">
        <v>74</v>
      </c>
      <c r="AQ560" s="1" t="s">
        <v>74</v>
      </c>
      <c r="AR560" s="1" t="s">
        <v>74</v>
      </c>
      <c r="AS560" s="1" t="s">
        <v>74</v>
      </c>
      <c r="AT560" s="1" t="s">
        <v>74</v>
      </c>
      <c r="AU560" s="1">
        <v>1977.0</v>
      </c>
      <c r="AV560" s="1">
        <v>6.0</v>
      </c>
      <c r="AW560" s="1">
        <v>3.0</v>
      </c>
      <c r="AX560" s="1" t="s">
        <v>74</v>
      </c>
      <c r="AY560" s="1" t="s">
        <v>74</v>
      </c>
      <c r="AZ560" s="1" t="s">
        <v>74</v>
      </c>
      <c r="BA560" s="1" t="s">
        <v>74</v>
      </c>
      <c r="BB560" s="1">
        <v>173.0</v>
      </c>
      <c r="BC560" s="1">
        <v>181.0</v>
      </c>
      <c r="BD560" s="1" t="s">
        <v>74</v>
      </c>
      <c r="BE560" s="1" t="s">
        <v>4829</v>
      </c>
      <c r="BF560" s="2" t="str">
        <f>HYPERLINK("http://dx.doi.org/10.1016/0047-2670(76)85062-9","http://dx.doi.org/10.1016/0047-2670(76)85062-9")</f>
        <v>http://dx.doi.org/10.1016/0047-2670(76)85062-9</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4830</v>
      </c>
      <c r="BT560" s="1" t="str">
        <f>HYPERLINK("https%3A%2F%2Fwww.webofscience.com%2Fwos%2Fwoscc%2Ffull-record%2FWOS:A1977CN38400002","View Full Record in Web of Science")</f>
        <v>View Full Record in Web of Science</v>
      </c>
    </row>
    <row r="561" ht="12.75" customHeight="1">
      <c r="A561" s="1" t="s">
        <v>72</v>
      </c>
      <c r="B561" s="1" t="s">
        <v>4831</v>
      </c>
      <c r="C561" s="1" t="s">
        <v>74</v>
      </c>
      <c r="D561" s="1" t="s">
        <v>74</v>
      </c>
      <c r="E561" s="1" t="s">
        <v>74</v>
      </c>
      <c r="F561" s="1" t="s">
        <v>4832</v>
      </c>
      <c r="G561" s="1" t="s">
        <v>74</v>
      </c>
      <c r="H561" s="1" t="s">
        <v>74</v>
      </c>
      <c r="I561" s="1" t="s">
        <v>4833</v>
      </c>
      <c r="J561" s="1" t="s">
        <v>4834</v>
      </c>
      <c r="K561" s="1" t="s">
        <v>74</v>
      </c>
      <c r="L561" s="1" t="s">
        <v>74</v>
      </c>
      <c r="M561" s="1" t="s">
        <v>74</v>
      </c>
      <c r="N561" s="1" t="s">
        <v>74</v>
      </c>
      <c r="O561" s="1" t="s">
        <v>74</v>
      </c>
      <c r="P561" s="1" t="s">
        <v>74</v>
      </c>
      <c r="Q561" s="1" t="s">
        <v>74</v>
      </c>
      <c r="R561" s="1" t="s">
        <v>74</v>
      </c>
      <c r="S561" s="1" t="s">
        <v>74</v>
      </c>
      <c r="T561" s="1" t="s">
        <v>74</v>
      </c>
      <c r="U561" s="1" t="s">
        <v>74</v>
      </c>
      <c r="V561" s="1" t="s">
        <v>4835</v>
      </c>
      <c r="W561" s="1" t="s">
        <v>74</v>
      </c>
      <c r="X561" s="1" t="s">
        <v>74</v>
      </c>
      <c r="Y561" s="1" t="s">
        <v>74</v>
      </c>
      <c r="Z561" s="1" t="s">
        <v>74</v>
      </c>
      <c r="AA561" s="1" t="s">
        <v>4836</v>
      </c>
      <c r="AB561" s="1" t="s">
        <v>4837</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4838</v>
      </c>
      <c r="AP561" s="1" t="s">
        <v>4839</v>
      </c>
      <c r="AQ561" s="1" t="s">
        <v>74</v>
      </c>
      <c r="AR561" s="1" t="s">
        <v>74</v>
      </c>
      <c r="AS561" s="1" t="s">
        <v>74</v>
      </c>
      <c r="AT561" s="1" t="s">
        <v>4840</v>
      </c>
      <c r="AU561" s="1">
        <v>2024.0</v>
      </c>
      <c r="AV561" s="1">
        <v>591.0</v>
      </c>
      <c r="AW561" s="1" t="s">
        <v>74</v>
      </c>
      <c r="AX561" s="1" t="s">
        <v>74</v>
      </c>
      <c r="AY561" s="1" t="s">
        <v>74</v>
      </c>
      <c r="AZ561" s="1" t="s">
        <v>74</v>
      </c>
      <c r="BA561" s="1" t="s">
        <v>74</v>
      </c>
      <c r="BB561" s="1" t="s">
        <v>74</v>
      </c>
      <c r="BC561" s="1" t="s">
        <v>74</v>
      </c>
      <c r="BD561" s="1">
        <v>117989.0</v>
      </c>
      <c r="BE561" s="1" t="s">
        <v>4841</v>
      </c>
      <c r="BF561" s="2" t="str">
        <f>HYPERLINK("http://dx.doi.org/10.1016/j.desal.2024.117989","http://dx.doi.org/10.1016/j.desal.2024.117989")</f>
        <v>http://dx.doi.org/10.1016/j.desal.2024.117989</v>
      </c>
      <c r="BG561" s="1" t="s">
        <v>74</v>
      </c>
      <c r="BH561" s="1" t="s">
        <v>4842</v>
      </c>
      <c r="BI561" s="1" t="s">
        <v>74</v>
      </c>
      <c r="BJ561" s="1" t="s">
        <v>74</v>
      </c>
      <c r="BK561" s="1" t="s">
        <v>74</v>
      </c>
      <c r="BL561" s="1" t="s">
        <v>74</v>
      </c>
      <c r="BM561" s="1" t="s">
        <v>74</v>
      </c>
      <c r="BN561" s="1" t="s">
        <v>74</v>
      </c>
      <c r="BO561" s="1" t="s">
        <v>74</v>
      </c>
      <c r="BP561" s="1" t="s">
        <v>74</v>
      </c>
      <c r="BQ561" s="1" t="s">
        <v>74</v>
      </c>
      <c r="BR561" s="1" t="s">
        <v>74</v>
      </c>
      <c r="BS561" s="1" t="s">
        <v>4843</v>
      </c>
      <c r="BT561" s="1" t="str">
        <f>HYPERLINK("https%3A%2F%2Fwww.webofscience.com%2Fwos%2Fwoscc%2Ffull-record%2FWOS:001311852300001","View Full Record in Web of Science")</f>
        <v>View Full Record in Web of Science</v>
      </c>
    </row>
    <row r="562" ht="12.75" customHeight="1">
      <c r="A562" s="1" t="s">
        <v>72</v>
      </c>
      <c r="B562" s="1" t="s">
        <v>2927</v>
      </c>
      <c r="C562" s="1" t="s">
        <v>74</v>
      </c>
      <c r="D562" s="1" t="s">
        <v>74</v>
      </c>
      <c r="E562" s="1" t="s">
        <v>74</v>
      </c>
      <c r="F562" s="1" t="s">
        <v>2928</v>
      </c>
      <c r="G562" s="1" t="s">
        <v>74</v>
      </c>
      <c r="H562" s="1" t="s">
        <v>74</v>
      </c>
      <c r="I562" s="1" t="s">
        <v>4844</v>
      </c>
      <c r="J562" s="1" t="s">
        <v>4845</v>
      </c>
      <c r="K562" s="1" t="s">
        <v>74</v>
      </c>
      <c r="L562" s="1" t="s">
        <v>74</v>
      </c>
      <c r="M562" s="1" t="s">
        <v>74</v>
      </c>
      <c r="N562" s="1" t="s">
        <v>74</v>
      </c>
      <c r="O562" s="1" t="s">
        <v>74</v>
      </c>
      <c r="P562" s="1" t="s">
        <v>74</v>
      </c>
      <c r="Q562" s="1" t="s">
        <v>74</v>
      </c>
      <c r="R562" s="1" t="s">
        <v>74</v>
      </c>
      <c r="S562" s="1" t="s">
        <v>74</v>
      </c>
      <c r="T562" s="1" t="s">
        <v>74</v>
      </c>
      <c r="U562" s="1" t="s">
        <v>74</v>
      </c>
      <c r="V562" s="1" t="s">
        <v>4846</v>
      </c>
      <c r="W562" s="1" t="s">
        <v>74</v>
      </c>
      <c r="X562" s="1" t="s">
        <v>74</v>
      </c>
      <c r="Y562" s="1" t="s">
        <v>74</v>
      </c>
      <c r="Z562" s="1" t="s">
        <v>74</v>
      </c>
      <c r="AA562" s="1" t="s">
        <v>74</v>
      </c>
      <c r="AB562" s="1" t="s">
        <v>74</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4847</v>
      </c>
      <c r="AP562" s="1" t="s">
        <v>4848</v>
      </c>
      <c r="AQ562" s="1" t="s">
        <v>74</v>
      </c>
      <c r="AR562" s="1" t="s">
        <v>74</v>
      </c>
      <c r="AS562" s="1" t="s">
        <v>74</v>
      </c>
      <c r="AT562" s="1" t="s">
        <v>171</v>
      </c>
      <c r="AU562" s="1">
        <v>2024.0</v>
      </c>
      <c r="AV562" s="1">
        <v>25.0</v>
      </c>
      <c r="AW562" s="1">
        <v>41.0</v>
      </c>
      <c r="AX562" s="1" t="s">
        <v>74</v>
      </c>
      <c r="AY562" s="1" t="s">
        <v>74</v>
      </c>
      <c r="AZ562" s="1" t="s">
        <v>74</v>
      </c>
      <c r="BA562" s="1" t="s">
        <v>74</v>
      </c>
      <c r="BB562" s="1">
        <v>277.0</v>
      </c>
      <c r="BC562" s="1">
        <v>285.0</v>
      </c>
      <c r="BD562" s="1" t="s">
        <v>74</v>
      </c>
      <c r="BE562" s="1" t="s">
        <v>74</v>
      </c>
      <c r="BF562" s="1" t="s">
        <v>74</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4849</v>
      </c>
      <c r="BT562" s="1" t="str">
        <f>HYPERLINK("https%3A%2F%2Fwww.webofscience.com%2Fwos%2Fwoscc%2Ffull-record%2FWOS:001248161100016","View Full Record in Web of Science")</f>
        <v>View Full Record in Web of Science</v>
      </c>
    </row>
    <row r="563" ht="12.75" customHeight="1">
      <c r="A563" s="1" t="s">
        <v>72</v>
      </c>
      <c r="B563" s="1" t="s">
        <v>4850</v>
      </c>
      <c r="C563" s="1" t="s">
        <v>74</v>
      </c>
      <c r="D563" s="1" t="s">
        <v>74</v>
      </c>
      <c r="E563" s="1" t="s">
        <v>74</v>
      </c>
      <c r="F563" s="1" t="s">
        <v>4851</v>
      </c>
      <c r="G563" s="1" t="s">
        <v>74</v>
      </c>
      <c r="H563" s="1" t="s">
        <v>74</v>
      </c>
      <c r="I563" s="1" t="s">
        <v>4852</v>
      </c>
      <c r="J563" s="1" t="s">
        <v>4853</v>
      </c>
      <c r="K563" s="1" t="s">
        <v>74</v>
      </c>
      <c r="L563" s="1" t="s">
        <v>74</v>
      </c>
      <c r="M563" s="1" t="s">
        <v>74</v>
      </c>
      <c r="N563" s="1" t="s">
        <v>74</v>
      </c>
      <c r="O563" s="1" t="s">
        <v>74</v>
      </c>
      <c r="P563" s="1" t="s">
        <v>74</v>
      </c>
      <c r="Q563" s="1" t="s">
        <v>74</v>
      </c>
      <c r="R563" s="1" t="s">
        <v>74</v>
      </c>
      <c r="S563" s="1" t="s">
        <v>74</v>
      </c>
      <c r="T563" s="1" t="s">
        <v>74</v>
      </c>
      <c r="U563" s="1" t="s">
        <v>74</v>
      </c>
      <c r="V563" s="1" t="s">
        <v>4854</v>
      </c>
      <c r="W563" s="1" t="s">
        <v>74</v>
      </c>
      <c r="X563" s="1" t="s">
        <v>74</v>
      </c>
      <c r="Y563" s="1" t="s">
        <v>74</v>
      </c>
      <c r="Z563" s="1" t="s">
        <v>74</v>
      </c>
      <c r="AA563" s="1" t="s">
        <v>4855</v>
      </c>
      <c r="AB563" s="1" t="s">
        <v>4856</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4857</v>
      </c>
      <c r="AP563" s="1" t="s">
        <v>4858</v>
      </c>
      <c r="AQ563" s="1" t="s">
        <v>74</v>
      </c>
      <c r="AR563" s="1" t="s">
        <v>74</v>
      </c>
      <c r="AS563" s="1" t="s">
        <v>74</v>
      </c>
      <c r="AT563" s="1" t="s">
        <v>256</v>
      </c>
      <c r="AU563" s="1">
        <v>2024.0</v>
      </c>
      <c r="AV563" s="1">
        <v>155.0</v>
      </c>
      <c r="AW563" s="1">
        <v>3.0</v>
      </c>
      <c r="AX563" s="1" t="s">
        <v>74</v>
      </c>
      <c r="AY563" s="1" t="s">
        <v>74</v>
      </c>
      <c r="AZ563" s="1" t="s">
        <v>74</v>
      </c>
      <c r="BA563" s="1" t="s">
        <v>74</v>
      </c>
      <c r="BB563" s="1">
        <v>2233.0</v>
      </c>
      <c r="BC563" s="1">
        <v>2240.0</v>
      </c>
      <c r="BD563" s="1" t="s">
        <v>74</v>
      </c>
      <c r="BE563" s="1" t="s">
        <v>4859</v>
      </c>
      <c r="BF563" s="2" t="str">
        <f>HYPERLINK("http://dx.doi.org/10.1121/10.0025385","http://dx.doi.org/10.1121/10.0025385")</f>
        <v>http://dx.doi.org/10.1121/10.0025385</v>
      </c>
      <c r="BG563" s="1" t="s">
        <v>74</v>
      </c>
      <c r="BH563" s="1" t="s">
        <v>74</v>
      </c>
      <c r="BI563" s="1" t="s">
        <v>74</v>
      </c>
      <c r="BJ563" s="1" t="s">
        <v>74</v>
      </c>
      <c r="BK563" s="1" t="s">
        <v>74</v>
      </c>
      <c r="BL563" s="1" t="s">
        <v>74</v>
      </c>
      <c r="BM563" s="1" t="s">
        <v>74</v>
      </c>
      <c r="BN563" s="1">
        <v>3.8530013E7</v>
      </c>
      <c r="BO563" s="1" t="s">
        <v>74</v>
      </c>
      <c r="BP563" s="1" t="s">
        <v>74</v>
      </c>
      <c r="BQ563" s="1" t="s">
        <v>74</v>
      </c>
      <c r="BR563" s="1" t="s">
        <v>74</v>
      </c>
      <c r="BS563" s="1" t="s">
        <v>4860</v>
      </c>
      <c r="BT563" s="1" t="str">
        <f>HYPERLINK("https%3A%2F%2Fwww.webofscience.com%2Fwos%2Fwoscc%2Ffull-record%2FWOS:001190843700001","View Full Record in Web of Science")</f>
        <v>View Full Record in Web of Science</v>
      </c>
    </row>
    <row r="564" ht="12.75" customHeight="1">
      <c r="A564" s="1" t="s">
        <v>72</v>
      </c>
      <c r="B564" s="1" t="s">
        <v>4861</v>
      </c>
      <c r="C564" s="1" t="s">
        <v>74</v>
      </c>
      <c r="D564" s="1" t="s">
        <v>74</v>
      </c>
      <c r="E564" s="1" t="s">
        <v>74</v>
      </c>
      <c r="F564" s="1" t="s">
        <v>4862</v>
      </c>
      <c r="G564" s="1" t="s">
        <v>74</v>
      </c>
      <c r="H564" s="1" t="s">
        <v>74</v>
      </c>
      <c r="I564" s="1" t="s">
        <v>4863</v>
      </c>
      <c r="J564" s="1" t="s">
        <v>3596</v>
      </c>
      <c r="K564" s="1" t="s">
        <v>74</v>
      </c>
      <c r="L564" s="1" t="s">
        <v>74</v>
      </c>
      <c r="M564" s="1" t="s">
        <v>74</v>
      </c>
      <c r="N564" s="1" t="s">
        <v>74</v>
      </c>
      <c r="O564" s="1" t="s">
        <v>74</v>
      </c>
      <c r="P564" s="1" t="s">
        <v>74</v>
      </c>
      <c r="Q564" s="1" t="s">
        <v>74</v>
      </c>
      <c r="R564" s="1" t="s">
        <v>74</v>
      </c>
      <c r="S564" s="1" t="s">
        <v>74</v>
      </c>
      <c r="T564" s="1" t="s">
        <v>74</v>
      </c>
      <c r="U564" s="1" t="s">
        <v>74</v>
      </c>
      <c r="V564" s="1" t="s">
        <v>4864</v>
      </c>
      <c r="W564" s="1" t="s">
        <v>74</v>
      </c>
      <c r="X564" s="1" t="s">
        <v>74</v>
      </c>
      <c r="Y564" s="1" t="s">
        <v>74</v>
      </c>
      <c r="Z564" s="1" t="s">
        <v>74</v>
      </c>
      <c r="AA564" s="1" t="s">
        <v>74</v>
      </c>
      <c r="AB564" s="1" t="s">
        <v>74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3598</v>
      </c>
      <c r="AP564" s="1" t="s">
        <v>74</v>
      </c>
      <c r="AQ564" s="1" t="s">
        <v>74</v>
      </c>
      <c r="AR564" s="1" t="s">
        <v>74</v>
      </c>
      <c r="AS564" s="1" t="s">
        <v>74</v>
      </c>
      <c r="AT564" s="1" t="s">
        <v>74</v>
      </c>
      <c r="AU564" s="1">
        <v>2024.0</v>
      </c>
      <c r="AV564" s="1" t="s">
        <v>74</v>
      </c>
      <c r="AW564" s="1">
        <v>24.0</v>
      </c>
      <c r="AX564" s="1" t="s">
        <v>74</v>
      </c>
      <c r="AY564" s="1" t="s">
        <v>74</v>
      </c>
      <c r="AZ564" s="1" t="s">
        <v>74</v>
      </c>
      <c r="BA564" s="1" t="s">
        <v>74</v>
      </c>
      <c r="BB564" s="1" t="s">
        <v>74</v>
      </c>
      <c r="BC564" s="1" t="s">
        <v>74</v>
      </c>
      <c r="BD564" s="1" t="s">
        <v>74</v>
      </c>
      <c r="BE564" s="1" t="s">
        <v>4865</v>
      </c>
      <c r="BF564" s="2" t="str">
        <f>HYPERLINK("http://dx.doi.org/10.7203/KAM.24.27627","http://dx.doi.org/10.7203/KAM.24.27627")</f>
        <v>http://dx.doi.org/10.7203/KAM.24.27627</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4866</v>
      </c>
      <c r="BT564" s="1" t="str">
        <f>HYPERLINK("https%3A%2F%2Fwww.webofscience.com%2Fwos%2Fwoscc%2Ffull-record%2FWOS:001411162000018","View Full Record in Web of Science")</f>
        <v>View Full Record in Web of Science</v>
      </c>
    </row>
    <row r="565" ht="12.75" customHeight="1">
      <c r="A565" s="1" t="s">
        <v>72</v>
      </c>
      <c r="B565" s="1" t="s">
        <v>4867</v>
      </c>
      <c r="C565" s="1" t="s">
        <v>74</v>
      </c>
      <c r="D565" s="1" t="s">
        <v>74</v>
      </c>
      <c r="E565" s="1" t="s">
        <v>74</v>
      </c>
      <c r="F565" s="1" t="s">
        <v>4868</v>
      </c>
      <c r="G565" s="1" t="s">
        <v>74</v>
      </c>
      <c r="H565" s="1" t="s">
        <v>74</v>
      </c>
      <c r="I565" s="1" t="s">
        <v>4869</v>
      </c>
      <c r="J565" s="1" t="s">
        <v>4870</v>
      </c>
      <c r="K565" s="1" t="s">
        <v>74</v>
      </c>
      <c r="L565" s="1" t="s">
        <v>74</v>
      </c>
      <c r="M565" s="1" t="s">
        <v>74</v>
      </c>
      <c r="N565" s="1" t="s">
        <v>74</v>
      </c>
      <c r="O565" s="1" t="s">
        <v>74</v>
      </c>
      <c r="P565" s="1" t="s">
        <v>74</v>
      </c>
      <c r="Q565" s="1" t="s">
        <v>74</v>
      </c>
      <c r="R565" s="1" t="s">
        <v>74</v>
      </c>
      <c r="S565" s="1" t="s">
        <v>74</v>
      </c>
      <c r="T565" s="1" t="s">
        <v>74</v>
      </c>
      <c r="U565" s="1" t="s">
        <v>74</v>
      </c>
      <c r="V565" s="1" t="s">
        <v>4871</v>
      </c>
      <c r="W565" s="1" t="s">
        <v>74</v>
      </c>
      <c r="X565" s="1" t="s">
        <v>74</v>
      </c>
      <c r="Y565" s="1" t="s">
        <v>74</v>
      </c>
      <c r="Z565" s="1" t="s">
        <v>74</v>
      </c>
      <c r="AA565" s="1" t="s">
        <v>74</v>
      </c>
      <c r="AB565" s="1" t="s">
        <v>74</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4872</v>
      </c>
      <c r="AP565" s="1" t="s">
        <v>4873</v>
      </c>
      <c r="AQ565" s="1" t="s">
        <v>74</v>
      </c>
      <c r="AR565" s="1" t="s">
        <v>74</v>
      </c>
      <c r="AS565" s="1" t="s">
        <v>74</v>
      </c>
      <c r="AT565" s="1" t="s">
        <v>74</v>
      </c>
      <c r="AU565" s="1">
        <v>2024.0</v>
      </c>
      <c r="AV565" s="1">
        <v>33.0</v>
      </c>
      <c r="AW565" s="1">
        <v>4.0</v>
      </c>
      <c r="AX565" s="1" t="s">
        <v>74</v>
      </c>
      <c r="AY565" s="1" t="s">
        <v>74</v>
      </c>
      <c r="AZ565" s="1" t="s">
        <v>74</v>
      </c>
      <c r="BA565" s="1" t="s">
        <v>74</v>
      </c>
      <c r="BB565" s="1" t="s">
        <v>74</v>
      </c>
      <c r="BC565" s="1" t="s">
        <v>74</v>
      </c>
      <c r="BD565" s="1" t="s">
        <v>4874</v>
      </c>
      <c r="BE565" s="1" t="s">
        <v>4875</v>
      </c>
      <c r="BF565" s="2" t="str">
        <f>HYPERLINK("http://dx.doi.org/10.1590/S0104-12902024230580en","http://dx.doi.org/10.1590/S0104-12902024230580en")</f>
        <v>http://dx.doi.org/10.1590/S0104-12902024230580en</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4876</v>
      </c>
      <c r="BT565" s="1" t="str">
        <f>HYPERLINK("https%3A%2F%2Fwww.webofscience.com%2Fwos%2Fwoscc%2Ffull-record%2FWOS:001460619500001","View Full Record in Web of Science")</f>
        <v>View Full Record in Web of Science</v>
      </c>
    </row>
    <row r="566" ht="12.75" customHeight="1">
      <c r="A566" s="1" t="s">
        <v>72</v>
      </c>
      <c r="B566" s="1" t="s">
        <v>4877</v>
      </c>
      <c r="C566" s="1" t="s">
        <v>74</v>
      </c>
      <c r="D566" s="1" t="s">
        <v>74</v>
      </c>
      <c r="E566" s="1" t="s">
        <v>74</v>
      </c>
      <c r="F566" s="1" t="s">
        <v>4878</v>
      </c>
      <c r="G566" s="1" t="s">
        <v>74</v>
      </c>
      <c r="H566" s="1" t="s">
        <v>74</v>
      </c>
      <c r="I566" s="1" t="s">
        <v>4879</v>
      </c>
      <c r="J566" s="1" t="s">
        <v>4880</v>
      </c>
      <c r="K566" s="1" t="s">
        <v>74</v>
      </c>
      <c r="L566" s="1" t="s">
        <v>74</v>
      </c>
      <c r="M566" s="1" t="s">
        <v>74</v>
      </c>
      <c r="N566" s="1" t="s">
        <v>74</v>
      </c>
      <c r="O566" s="1" t="s">
        <v>74</v>
      </c>
      <c r="P566" s="1" t="s">
        <v>74</v>
      </c>
      <c r="Q566" s="1" t="s">
        <v>74</v>
      </c>
      <c r="R566" s="1" t="s">
        <v>74</v>
      </c>
      <c r="S566" s="1" t="s">
        <v>74</v>
      </c>
      <c r="T566" s="1" t="s">
        <v>74</v>
      </c>
      <c r="U566" s="1" t="s">
        <v>74</v>
      </c>
      <c r="V566" s="1" t="s">
        <v>74</v>
      </c>
      <c r="W566" s="1" t="s">
        <v>74</v>
      </c>
      <c r="X566" s="1" t="s">
        <v>74</v>
      </c>
      <c r="Y566" s="1" t="s">
        <v>74</v>
      </c>
      <c r="Z566" s="1" t="s">
        <v>74</v>
      </c>
      <c r="AA566" s="1" t="s">
        <v>74</v>
      </c>
      <c r="AB566" s="1" t="s">
        <v>74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4881</v>
      </c>
      <c r="AP566" s="1" t="s">
        <v>4882</v>
      </c>
      <c r="AQ566" s="1" t="s">
        <v>74</v>
      </c>
      <c r="AR566" s="1" t="s">
        <v>74</v>
      </c>
      <c r="AS566" s="1" t="s">
        <v>74</v>
      </c>
      <c r="AT566" s="1" t="s">
        <v>82</v>
      </c>
      <c r="AU566" s="1">
        <v>2023.0</v>
      </c>
      <c r="AV566" s="1">
        <v>58.0</v>
      </c>
      <c r="AW566" s="1" t="s">
        <v>74</v>
      </c>
      <c r="AX566" s="1" t="s">
        <v>74</v>
      </c>
      <c r="AY566" s="1">
        <v>1.0</v>
      </c>
      <c r="AZ566" s="1" t="s">
        <v>74</v>
      </c>
      <c r="BA566" s="1" t="s">
        <v>4883</v>
      </c>
      <c r="BB566" s="1">
        <v>491.0</v>
      </c>
      <c r="BC566" s="1">
        <v>491.0</v>
      </c>
      <c r="BD566" s="1" t="s">
        <v>74</v>
      </c>
      <c r="BE566" s="1" t="s">
        <v>74</v>
      </c>
      <c r="BF566" s="1" t="s">
        <v>74</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4884</v>
      </c>
      <c r="BT566" s="1" t="str">
        <f>HYPERLINK("https%3A%2F%2Fwww.webofscience.com%2Fwos%2Fwoscc%2Ffull-record%2FWOS:001144610003364","View Full Record in Web of Science")</f>
        <v>View Full Record in Web of Science</v>
      </c>
    </row>
    <row r="567" ht="12.75" customHeight="1">
      <c r="A567" s="1" t="s">
        <v>72</v>
      </c>
      <c r="B567" s="1" t="s">
        <v>4885</v>
      </c>
      <c r="C567" s="1" t="s">
        <v>74</v>
      </c>
      <c r="D567" s="1" t="s">
        <v>74</v>
      </c>
      <c r="E567" s="1" t="s">
        <v>74</v>
      </c>
      <c r="F567" s="1" t="s">
        <v>4886</v>
      </c>
      <c r="G567" s="1" t="s">
        <v>74</v>
      </c>
      <c r="H567" s="1" t="s">
        <v>74</v>
      </c>
      <c r="I567" s="1" t="s">
        <v>4887</v>
      </c>
      <c r="J567" s="1" t="s">
        <v>4257</v>
      </c>
      <c r="K567" s="1" t="s">
        <v>74</v>
      </c>
      <c r="L567" s="1" t="s">
        <v>74</v>
      </c>
      <c r="M567" s="1" t="s">
        <v>74</v>
      </c>
      <c r="N567" s="1" t="s">
        <v>74</v>
      </c>
      <c r="O567" s="1" t="s">
        <v>74</v>
      </c>
      <c r="P567" s="1" t="s">
        <v>74</v>
      </c>
      <c r="Q567" s="1" t="s">
        <v>74</v>
      </c>
      <c r="R567" s="1" t="s">
        <v>74</v>
      </c>
      <c r="S567" s="1" t="s">
        <v>74</v>
      </c>
      <c r="T567" s="1" t="s">
        <v>74</v>
      </c>
      <c r="U567" s="1" t="s">
        <v>74</v>
      </c>
      <c r="V567" s="1" t="s">
        <v>4888</v>
      </c>
      <c r="W567" s="1" t="s">
        <v>74</v>
      </c>
      <c r="X567" s="1" t="s">
        <v>74</v>
      </c>
      <c r="Y567" s="1" t="s">
        <v>74</v>
      </c>
      <c r="Z567" s="1" t="s">
        <v>74</v>
      </c>
      <c r="AA567" s="1" t="s">
        <v>4889</v>
      </c>
      <c r="AB567" s="1" t="s">
        <v>4890</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74</v>
      </c>
      <c r="AP567" s="1" t="s">
        <v>4260</v>
      </c>
      <c r="AQ567" s="1" t="s">
        <v>74</v>
      </c>
      <c r="AR567" s="1" t="s">
        <v>74</v>
      </c>
      <c r="AS567" s="1" t="s">
        <v>74</v>
      </c>
      <c r="AT567" s="1" t="s">
        <v>410</v>
      </c>
      <c r="AU567" s="1">
        <v>2023.0</v>
      </c>
      <c r="AV567" s="1">
        <v>13.0</v>
      </c>
      <c r="AW567" s="1">
        <v>22.0</v>
      </c>
      <c r="AX567" s="1" t="s">
        <v>74</v>
      </c>
      <c r="AY567" s="1" t="s">
        <v>74</v>
      </c>
      <c r="AZ567" s="1" t="s">
        <v>74</v>
      </c>
      <c r="BA567" s="1" t="s">
        <v>74</v>
      </c>
      <c r="BB567" s="1" t="s">
        <v>74</v>
      </c>
      <c r="BC567" s="1" t="s">
        <v>74</v>
      </c>
      <c r="BD567" s="1">
        <v>12159.0</v>
      </c>
      <c r="BE567" s="1" t="s">
        <v>4891</v>
      </c>
      <c r="BF567" s="2" t="str">
        <f>HYPERLINK("http://dx.doi.org/10.3390/app132212159","http://dx.doi.org/10.3390/app132212159")</f>
        <v>http://dx.doi.org/10.3390/app132212159</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4892</v>
      </c>
      <c r="BT567" s="1" t="str">
        <f>HYPERLINK("https%3A%2F%2Fwww.webofscience.com%2Fwos%2Fwoscc%2Ffull-record%2FWOS:001107864900001","View Full Record in Web of Science")</f>
        <v>View Full Record in Web of Science</v>
      </c>
    </row>
    <row r="568" ht="12.75" customHeight="1">
      <c r="A568" s="1" t="s">
        <v>72</v>
      </c>
      <c r="B568" s="1" t="s">
        <v>4893</v>
      </c>
      <c r="C568" s="1" t="s">
        <v>74</v>
      </c>
      <c r="D568" s="1" t="s">
        <v>74</v>
      </c>
      <c r="E568" s="1" t="s">
        <v>74</v>
      </c>
      <c r="F568" s="1" t="s">
        <v>4894</v>
      </c>
      <c r="G568" s="1" t="s">
        <v>74</v>
      </c>
      <c r="H568" s="1" t="s">
        <v>74</v>
      </c>
      <c r="I568" s="1" t="s">
        <v>4895</v>
      </c>
      <c r="J568" s="1" t="s">
        <v>4896</v>
      </c>
      <c r="K568" s="1" t="s">
        <v>74</v>
      </c>
      <c r="L568" s="1" t="s">
        <v>74</v>
      </c>
      <c r="M568" s="1" t="s">
        <v>74</v>
      </c>
      <c r="N568" s="1" t="s">
        <v>74</v>
      </c>
      <c r="O568" s="1" t="s">
        <v>74</v>
      </c>
      <c r="P568" s="1" t="s">
        <v>74</v>
      </c>
      <c r="Q568" s="1" t="s">
        <v>74</v>
      </c>
      <c r="R568" s="1" t="s">
        <v>74</v>
      </c>
      <c r="S568" s="1" t="s">
        <v>74</v>
      </c>
      <c r="T568" s="1" t="s">
        <v>74</v>
      </c>
      <c r="U568" s="1" t="s">
        <v>74</v>
      </c>
      <c r="V568" s="1" t="s">
        <v>4897</v>
      </c>
      <c r="W568" s="1" t="s">
        <v>74</v>
      </c>
      <c r="X568" s="1" t="s">
        <v>74</v>
      </c>
      <c r="Y568" s="1" t="s">
        <v>74</v>
      </c>
      <c r="Z568" s="1" t="s">
        <v>74</v>
      </c>
      <c r="AA568" s="1" t="s">
        <v>4898</v>
      </c>
      <c r="AB568" s="1" t="s">
        <v>4899</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74</v>
      </c>
      <c r="AP568" s="1" t="s">
        <v>4900</v>
      </c>
      <c r="AQ568" s="1" t="s">
        <v>74</v>
      </c>
      <c r="AR568" s="1" t="s">
        <v>74</v>
      </c>
      <c r="AS568" s="1" t="s">
        <v>74</v>
      </c>
      <c r="AT568" s="1" t="s">
        <v>276</v>
      </c>
      <c r="AU568" s="1">
        <v>2023.0</v>
      </c>
      <c r="AV568" s="1">
        <v>12.0</v>
      </c>
      <c r="AW568" s="1">
        <v>20.0</v>
      </c>
      <c r="AX568" s="1" t="s">
        <v>74</v>
      </c>
      <c r="AY568" s="1" t="s">
        <v>74</v>
      </c>
      <c r="AZ568" s="1" t="s">
        <v>74</v>
      </c>
      <c r="BA568" s="1" t="s">
        <v>74</v>
      </c>
      <c r="BB568" s="1" t="s">
        <v>74</v>
      </c>
      <c r="BC568" s="1" t="s">
        <v>74</v>
      </c>
      <c r="BD568" s="1">
        <v>3869.0</v>
      </c>
      <c r="BE568" s="1" t="s">
        <v>4901</v>
      </c>
      <c r="BF568" s="2" t="str">
        <f>HYPERLINK("http://dx.doi.org/10.3390/foods12203869","http://dx.doi.org/10.3390/foods12203869")</f>
        <v>http://dx.doi.org/10.3390/foods12203869</v>
      </c>
      <c r="BG568" s="1" t="s">
        <v>74</v>
      </c>
      <c r="BH568" s="1" t="s">
        <v>74</v>
      </c>
      <c r="BI568" s="1" t="s">
        <v>74</v>
      </c>
      <c r="BJ568" s="1" t="s">
        <v>74</v>
      </c>
      <c r="BK568" s="1" t="s">
        <v>74</v>
      </c>
      <c r="BL568" s="1" t="s">
        <v>74</v>
      </c>
      <c r="BM568" s="1" t="s">
        <v>74</v>
      </c>
      <c r="BN568" s="1">
        <v>3.7893763E7</v>
      </c>
      <c r="BO568" s="1" t="s">
        <v>74</v>
      </c>
      <c r="BP568" s="1" t="s">
        <v>74</v>
      </c>
      <c r="BQ568" s="1" t="s">
        <v>74</v>
      </c>
      <c r="BR568" s="1" t="s">
        <v>74</v>
      </c>
      <c r="BS568" s="1" t="s">
        <v>4902</v>
      </c>
      <c r="BT568" s="1" t="str">
        <f>HYPERLINK("https%3A%2F%2Fwww.webofscience.com%2Fwos%2Fwoscc%2Ffull-record%2FWOS:001089825700001","View Full Record in Web of Science")</f>
        <v>View Full Record in Web of Science</v>
      </c>
    </row>
    <row r="569" ht="12.75" customHeight="1">
      <c r="A569" s="1" t="s">
        <v>72</v>
      </c>
      <c r="B569" s="1" t="s">
        <v>4903</v>
      </c>
      <c r="C569" s="1" t="s">
        <v>74</v>
      </c>
      <c r="D569" s="1" t="s">
        <v>74</v>
      </c>
      <c r="E569" s="1" t="s">
        <v>74</v>
      </c>
      <c r="F569" s="1" t="s">
        <v>4904</v>
      </c>
      <c r="G569" s="1" t="s">
        <v>74</v>
      </c>
      <c r="H569" s="1" t="s">
        <v>74</v>
      </c>
      <c r="I569" s="1" t="s">
        <v>4905</v>
      </c>
      <c r="J569" s="1" t="s">
        <v>4906</v>
      </c>
      <c r="K569" s="1" t="s">
        <v>74</v>
      </c>
      <c r="L569" s="1" t="s">
        <v>74</v>
      </c>
      <c r="M569" s="1" t="s">
        <v>74</v>
      </c>
      <c r="N569" s="1" t="s">
        <v>74</v>
      </c>
      <c r="O569" s="1" t="s">
        <v>74</v>
      </c>
      <c r="P569" s="1" t="s">
        <v>74</v>
      </c>
      <c r="Q569" s="1" t="s">
        <v>74</v>
      </c>
      <c r="R569" s="1" t="s">
        <v>74</v>
      </c>
      <c r="S569" s="1" t="s">
        <v>74</v>
      </c>
      <c r="T569" s="1" t="s">
        <v>74</v>
      </c>
      <c r="U569" s="1" t="s">
        <v>74</v>
      </c>
      <c r="V569" s="1" t="s">
        <v>4907</v>
      </c>
      <c r="W569" s="1" t="s">
        <v>74</v>
      </c>
      <c r="X569" s="1" t="s">
        <v>74</v>
      </c>
      <c r="Y569" s="1" t="s">
        <v>74</v>
      </c>
      <c r="Z569" s="1" t="s">
        <v>74</v>
      </c>
      <c r="AA569" s="1" t="s">
        <v>74</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4908</v>
      </c>
      <c r="AP569" s="1" t="s">
        <v>74</v>
      </c>
      <c r="AQ569" s="1" t="s">
        <v>74</v>
      </c>
      <c r="AR569" s="1" t="s">
        <v>74</v>
      </c>
      <c r="AS569" s="1" t="s">
        <v>74</v>
      </c>
      <c r="AT569" s="1" t="s">
        <v>2819</v>
      </c>
      <c r="AU569" s="1">
        <v>2023.0</v>
      </c>
      <c r="AV569" s="1">
        <v>10.0</v>
      </c>
      <c r="AW569" s="1">
        <v>2.0</v>
      </c>
      <c r="AX569" s="1" t="s">
        <v>74</v>
      </c>
      <c r="AY569" s="1" t="s">
        <v>74</v>
      </c>
      <c r="AZ569" s="1" t="s">
        <v>74</v>
      </c>
      <c r="BA569" s="1" t="s">
        <v>74</v>
      </c>
      <c r="BB569" s="1">
        <v>140.0</v>
      </c>
      <c r="BC569" s="1">
        <v>168.0</v>
      </c>
      <c r="BD569" s="1" t="s">
        <v>74</v>
      </c>
      <c r="BE569" s="1" t="s">
        <v>4909</v>
      </c>
      <c r="BF569" s="2" t="str">
        <f>HYPERLINK("http://dx.doi.org/10.47456/simbitica.v10i2.39554","http://dx.doi.org/10.47456/simbitica.v10i2.39554")</f>
        <v>http://dx.doi.org/10.47456/simbitica.v10i2.39554</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4910</v>
      </c>
      <c r="BT569" s="1" t="str">
        <f>HYPERLINK("https%3A%2F%2Fwww.webofscience.com%2Fwos%2Fwoscc%2Ffull-record%2FWOS:001054111600008","View Full Record in Web of Science")</f>
        <v>View Full Record in Web of Science</v>
      </c>
    </row>
    <row r="570" ht="12.75" customHeight="1">
      <c r="A570" s="1" t="s">
        <v>72</v>
      </c>
      <c r="B570" s="1" t="s">
        <v>4911</v>
      </c>
      <c r="C570" s="1" t="s">
        <v>74</v>
      </c>
      <c r="D570" s="1" t="s">
        <v>74</v>
      </c>
      <c r="E570" s="1" t="s">
        <v>74</v>
      </c>
      <c r="F570" s="1" t="s">
        <v>4912</v>
      </c>
      <c r="G570" s="1" t="s">
        <v>74</v>
      </c>
      <c r="H570" s="1" t="s">
        <v>74</v>
      </c>
      <c r="I570" s="1" t="s">
        <v>4913</v>
      </c>
      <c r="J570" s="1" t="s">
        <v>1044</v>
      </c>
      <c r="K570" s="1" t="s">
        <v>74</v>
      </c>
      <c r="L570" s="1" t="s">
        <v>74</v>
      </c>
      <c r="M570" s="1" t="s">
        <v>74</v>
      </c>
      <c r="N570" s="1" t="s">
        <v>74</v>
      </c>
      <c r="O570" s="1" t="s">
        <v>74</v>
      </c>
      <c r="P570" s="1" t="s">
        <v>74</v>
      </c>
      <c r="Q570" s="1" t="s">
        <v>74</v>
      </c>
      <c r="R570" s="1" t="s">
        <v>74</v>
      </c>
      <c r="S570" s="1" t="s">
        <v>74</v>
      </c>
      <c r="T570" s="1" t="s">
        <v>74</v>
      </c>
      <c r="U570" s="1" t="s">
        <v>74</v>
      </c>
      <c r="V570" s="1" t="s">
        <v>4914</v>
      </c>
      <c r="W570" s="1" t="s">
        <v>74</v>
      </c>
      <c r="X570" s="1" t="s">
        <v>74</v>
      </c>
      <c r="Y570" s="1" t="s">
        <v>74</v>
      </c>
      <c r="Z570" s="1" t="s">
        <v>74</v>
      </c>
      <c r="AA570" s="1" t="s">
        <v>4915</v>
      </c>
      <c r="AB570" s="1" t="s">
        <v>4916</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74</v>
      </c>
      <c r="AP570" s="1" t="s">
        <v>1047</v>
      </c>
      <c r="AQ570" s="1" t="s">
        <v>74</v>
      </c>
      <c r="AR570" s="1" t="s">
        <v>74</v>
      </c>
      <c r="AS570" s="1" t="s">
        <v>74</v>
      </c>
      <c r="AT570" s="1" t="s">
        <v>256</v>
      </c>
      <c r="AU570" s="1">
        <v>2023.0</v>
      </c>
      <c r="AV570" s="1">
        <v>15.0</v>
      </c>
      <c r="AW570" s="1">
        <v>6.0</v>
      </c>
      <c r="AX570" s="1" t="s">
        <v>74</v>
      </c>
      <c r="AY570" s="1" t="s">
        <v>74</v>
      </c>
      <c r="AZ570" s="1" t="s">
        <v>74</v>
      </c>
      <c r="BA570" s="1" t="s">
        <v>74</v>
      </c>
      <c r="BB570" s="1" t="s">
        <v>74</v>
      </c>
      <c r="BC570" s="1" t="s">
        <v>74</v>
      </c>
      <c r="BD570" s="1">
        <v>1548.0</v>
      </c>
      <c r="BE570" s="1" t="s">
        <v>4917</v>
      </c>
      <c r="BF570" s="2" t="str">
        <f>HYPERLINK("http://dx.doi.org/10.3390/polym15061548","http://dx.doi.org/10.3390/polym15061548")</f>
        <v>http://dx.doi.org/10.3390/polym15061548</v>
      </c>
      <c r="BG570" s="1" t="s">
        <v>74</v>
      </c>
      <c r="BH570" s="1" t="s">
        <v>74</v>
      </c>
      <c r="BI570" s="1" t="s">
        <v>74</v>
      </c>
      <c r="BJ570" s="1" t="s">
        <v>74</v>
      </c>
      <c r="BK570" s="1" t="s">
        <v>74</v>
      </c>
      <c r="BL570" s="1" t="s">
        <v>74</v>
      </c>
      <c r="BM570" s="1" t="s">
        <v>74</v>
      </c>
      <c r="BN570" s="1">
        <v>3.6987328E7</v>
      </c>
      <c r="BO570" s="1" t="s">
        <v>74</v>
      </c>
      <c r="BP570" s="1" t="s">
        <v>74</v>
      </c>
      <c r="BQ570" s="1" t="s">
        <v>74</v>
      </c>
      <c r="BR570" s="1" t="s">
        <v>74</v>
      </c>
      <c r="BS570" s="1" t="s">
        <v>4918</v>
      </c>
      <c r="BT570" s="1" t="str">
        <f>HYPERLINK("https%3A%2F%2Fwww.webofscience.com%2Fwos%2Fwoscc%2Ffull-record%2FWOS:000960506300001","View Full Record in Web of Science")</f>
        <v>View Full Record in Web of Science</v>
      </c>
    </row>
    <row r="571" ht="12.75" customHeight="1">
      <c r="A571" s="1" t="s">
        <v>72</v>
      </c>
      <c r="B571" s="1" t="s">
        <v>4919</v>
      </c>
      <c r="C571" s="1" t="s">
        <v>74</v>
      </c>
      <c r="D571" s="1" t="s">
        <v>74</v>
      </c>
      <c r="E571" s="1" t="s">
        <v>74</v>
      </c>
      <c r="F571" s="1" t="s">
        <v>4920</v>
      </c>
      <c r="G571" s="1" t="s">
        <v>74</v>
      </c>
      <c r="H571" s="1" t="s">
        <v>74</v>
      </c>
      <c r="I571" s="1" t="s">
        <v>4921</v>
      </c>
      <c r="J571" s="1" t="s">
        <v>4922</v>
      </c>
      <c r="K571" s="1" t="s">
        <v>74</v>
      </c>
      <c r="L571" s="1" t="s">
        <v>74</v>
      </c>
      <c r="M571" s="1" t="s">
        <v>74</v>
      </c>
      <c r="N571" s="1" t="s">
        <v>74</v>
      </c>
      <c r="O571" s="1" t="s">
        <v>74</v>
      </c>
      <c r="P571" s="1" t="s">
        <v>74</v>
      </c>
      <c r="Q571" s="1" t="s">
        <v>74</v>
      </c>
      <c r="R571" s="1" t="s">
        <v>74</v>
      </c>
      <c r="S571" s="1" t="s">
        <v>74</v>
      </c>
      <c r="T571" s="1" t="s">
        <v>74</v>
      </c>
      <c r="U571" s="1" t="s">
        <v>74</v>
      </c>
      <c r="V571" s="1" t="s">
        <v>74</v>
      </c>
      <c r="W571" s="1" t="s">
        <v>74</v>
      </c>
      <c r="X571" s="1" t="s">
        <v>74</v>
      </c>
      <c r="Y571" s="1" t="s">
        <v>74</v>
      </c>
      <c r="Z571" s="1" t="s">
        <v>74</v>
      </c>
      <c r="AA571" s="1" t="s">
        <v>74</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4923</v>
      </c>
      <c r="AP571" s="1" t="s">
        <v>4924</v>
      </c>
      <c r="AQ571" s="1" t="s">
        <v>74</v>
      </c>
      <c r="AR571" s="1" t="s">
        <v>74</v>
      </c>
      <c r="AS571" s="1" t="s">
        <v>74</v>
      </c>
      <c r="AT571" s="1" t="s">
        <v>382</v>
      </c>
      <c r="AU571" s="1">
        <v>2023.0</v>
      </c>
      <c r="AV571" s="1">
        <v>22.0</v>
      </c>
      <c r="AW571" s="1">
        <v>1.0</v>
      </c>
      <c r="AX571" s="1" t="s">
        <v>74</v>
      </c>
      <c r="AY571" s="1" t="s">
        <v>74</v>
      </c>
      <c r="AZ571" s="1" t="s">
        <v>74</v>
      </c>
      <c r="BA571" s="1" t="s">
        <v>74</v>
      </c>
      <c r="BB571" s="1">
        <v>6.0</v>
      </c>
      <c r="BC571" s="1">
        <v>8.0</v>
      </c>
      <c r="BD571" s="1" t="s">
        <v>74</v>
      </c>
      <c r="BE571" s="1" t="s">
        <v>74</v>
      </c>
      <c r="BF571" s="1" t="s">
        <v>74</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4925</v>
      </c>
      <c r="BT571" s="1" t="str">
        <f>HYPERLINK("https%3A%2F%2Fwww.webofscience.com%2Fwos%2Fwoscc%2Ffull-record%2FWOS:001096164500001","View Full Record in Web of Science")</f>
        <v>View Full Record in Web of Science</v>
      </c>
    </row>
    <row r="572" ht="12.75" customHeight="1">
      <c r="A572" s="1" t="s">
        <v>72</v>
      </c>
      <c r="B572" s="1" t="s">
        <v>2650</v>
      </c>
      <c r="C572" s="1" t="s">
        <v>74</v>
      </c>
      <c r="D572" s="1" t="s">
        <v>74</v>
      </c>
      <c r="E572" s="1" t="s">
        <v>74</v>
      </c>
      <c r="F572" s="1" t="s">
        <v>2651</v>
      </c>
      <c r="G572" s="1" t="s">
        <v>74</v>
      </c>
      <c r="H572" s="1" t="s">
        <v>74</v>
      </c>
      <c r="I572" s="1" t="s">
        <v>4926</v>
      </c>
      <c r="J572" s="1" t="s">
        <v>4927</v>
      </c>
      <c r="K572" s="1" t="s">
        <v>74</v>
      </c>
      <c r="L572" s="1" t="s">
        <v>74</v>
      </c>
      <c r="M572" s="1" t="s">
        <v>74</v>
      </c>
      <c r="N572" s="1" t="s">
        <v>74</v>
      </c>
      <c r="O572" s="1" t="s">
        <v>74</v>
      </c>
      <c r="P572" s="1" t="s">
        <v>74</v>
      </c>
      <c r="Q572" s="1" t="s">
        <v>74</v>
      </c>
      <c r="R572" s="1" t="s">
        <v>74</v>
      </c>
      <c r="S572" s="1" t="s">
        <v>74</v>
      </c>
      <c r="T572" s="1" t="s">
        <v>74</v>
      </c>
      <c r="U572" s="1" t="s">
        <v>74</v>
      </c>
      <c r="V572" s="1" t="s">
        <v>4928</v>
      </c>
      <c r="W572" s="1" t="s">
        <v>74</v>
      </c>
      <c r="X572" s="1" t="s">
        <v>74</v>
      </c>
      <c r="Y572" s="1" t="s">
        <v>74</v>
      </c>
      <c r="Z572" s="1" t="s">
        <v>74</v>
      </c>
      <c r="AA572" s="1" t="s">
        <v>74</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4929</v>
      </c>
      <c r="AP572" s="1" t="s">
        <v>4930</v>
      </c>
      <c r="AQ572" s="1" t="s">
        <v>74</v>
      </c>
      <c r="AR572" s="1" t="s">
        <v>74</v>
      </c>
      <c r="AS572" s="1" t="s">
        <v>74</v>
      </c>
      <c r="AT572" s="1" t="s">
        <v>74</v>
      </c>
      <c r="AU572" s="1">
        <v>2023.0</v>
      </c>
      <c r="AV572" s="1">
        <v>79.0</v>
      </c>
      <c r="AW572" s="1">
        <v>303.0</v>
      </c>
      <c r="AX572" s="1" t="s">
        <v>74</v>
      </c>
      <c r="AY572" s="1" t="s">
        <v>74</v>
      </c>
      <c r="AZ572" s="1" t="s">
        <v>74</v>
      </c>
      <c r="BA572" s="1" t="s">
        <v>74</v>
      </c>
      <c r="BB572" s="1">
        <v>463.0</v>
      </c>
      <c r="BC572" s="1">
        <v>480.0</v>
      </c>
      <c r="BD572" s="1" t="s">
        <v>74</v>
      </c>
      <c r="BE572" s="1" t="s">
        <v>4931</v>
      </c>
      <c r="BF572" s="2" t="str">
        <f>HYPERLINK("http://dx.doi.org/10.14422/pen.v79.i303.y2023.009","http://dx.doi.org/10.14422/pen.v79.i303.y2023.009")</f>
        <v>http://dx.doi.org/10.14422/pen.v79.i303.y2023.009</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4932</v>
      </c>
      <c r="BT572" s="1" t="str">
        <f>HYPERLINK("https%3A%2F%2Fwww.webofscience.com%2Fwos%2Fwoscc%2Ffull-record%2FWOS:001111233000003","View Full Record in Web of Science")</f>
        <v>View Full Record in Web of Science</v>
      </c>
    </row>
    <row r="573" ht="12.75" customHeight="1">
      <c r="A573" s="1" t="s">
        <v>72</v>
      </c>
      <c r="B573" s="1" t="s">
        <v>4933</v>
      </c>
      <c r="C573" s="1" t="s">
        <v>74</v>
      </c>
      <c r="D573" s="1" t="s">
        <v>74</v>
      </c>
      <c r="E573" s="1" t="s">
        <v>74</v>
      </c>
      <c r="F573" s="1" t="s">
        <v>4934</v>
      </c>
      <c r="G573" s="1" t="s">
        <v>74</v>
      </c>
      <c r="H573" s="1" t="s">
        <v>74</v>
      </c>
      <c r="I573" s="1" t="s">
        <v>4935</v>
      </c>
      <c r="J573" s="1" t="s">
        <v>4936</v>
      </c>
      <c r="K573" s="1" t="s">
        <v>74</v>
      </c>
      <c r="L573" s="1" t="s">
        <v>74</v>
      </c>
      <c r="M573" s="1" t="s">
        <v>74</v>
      </c>
      <c r="N573" s="1" t="s">
        <v>74</v>
      </c>
      <c r="O573" s="1" t="s">
        <v>74</v>
      </c>
      <c r="P573" s="1" t="s">
        <v>74</v>
      </c>
      <c r="Q573" s="1" t="s">
        <v>74</v>
      </c>
      <c r="R573" s="1" t="s">
        <v>74</v>
      </c>
      <c r="S573" s="1" t="s">
        <v>74</v>
      </c>
      <c r="T573" s="1" t="s">
        <v>74</v>
      </c>
      <c r="U573" s="1" t="s">
        <v>74</v>
      </c>
      <c r="V573" s="1" t="s">
        <v>4937</v>
      </c>
      <c r="W573" s="1" t="s">
        <v>74</v>
      </c>
      <c r="X573" s="1" t="s">
        <v>74</v>
      </c>
      <c r="Y573" s="1" t="s">
        <v>74</v>
      </c>
      <c r="Z573" s="1" t="s">
        <v>74</v>
      </c>
      <c r="AA573" s="1" t="s">
        <v>2748</v>
      </c>
      <c r="AB573" s="1" t="s">
        <v>74</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4938</v>
      </c>
      <c r="AP573" s="1" t="s">
        <v>4939</v>
      </c>
      <c r="AQ573" s="1" t="s">
        <v>74</v>
      </c>
      <c r="AR573" s="1" t="s">
        <v>74</v>
      </c>
      <c r="AS573" s="1" t="s">
        <v>74</v>
      </c>
      <c r="AT573" s="1" t="s">
        <v>74</v>
      </c>
      <c r="AU573" s="1">
        <v>2023.0</v>
      </c>
      <c r="AV573" s="1">
        <v>47.0</v>
      </c>
      <c r="AW573" s="1" t="s">
        <v>74</v>
      </c>
      <c r="AX573" s="1" t="s">
        <v>74</v>
      </c>
      <c r="AY573" s="1" t="s">
        <v>74</v>
      </c>
      <c r="AZ573" s="1" t="s">
        <v>74</v>
      </c>
      <c r="BA573" s="1" t="s">
        <v>74</v>
      </c>
      <c r="BB573" s="1" t="s">
        <v>74</v>
      </c>
      <c r="BC573" s="1" t="s">
        <v>74</v>
      </c>
      <c r="BD573" s="1">
        <v>92.0</v>
      </c>
      <c r="BE573" s="1" t="s">
        <v>4940</v>
      </c>
      <c r="BF573" s="2" t="str">
        <f>HYPERLINK("http://dx.doi.org/10.26633/RPSP.2023.92","http://dx.doi.org/10.26633/RPSP.2023.92")</f>
        <v>http://dx.doi.org/10.26633/RPSP.2023.92</v>
      </c>
      <c r="BG573" s="1" t="s">
        <v>74</v>
      </c>
      <c r="BH573" s="1" t="s">
        <v>74</v>
      </c>
      <c r="BI573" s="1" t="s">
        <v>74</v>
      </c>
      <c r="BJ573" s="1" t="s">
        <v>74</v>
      </c>
      <c r="BK573" s="1" t="s">
        <v>74</v>
      </c>
      <c r="BL573" s="1" t="s">
        <v>74</v>
      </c>
      <c r="BM573" s="1" t="s">
        <v>74</v>
      </c>
      <c r="BN573" s="1">
        <v>3.7324197E7</v>
      </c>
      <c r="BO573" s="1" t="s">
        <v>74</v>
      </c>
      <c r="BP573" s="1" t="s">
        <v>74</v>
      </c>
      <c r="BQ573" s="1" t="s">
        <v>74</v>
      </c>
      <c r="BR573" s="1" t="s">
        <v>74</v>
      </c>
      <c r="BS573" s="1" t="s">
        <v>4941</v>
      </c>
      <c r="BT573" s="1" t="str">
        <f>HYPERLINK("https%3A%2F%2Fwww.webofscience.com%2Fwos%2Fwoscc%2Ffull-record%2FWOS:001012860700001","View Full Record in Web of Science")</f>
        <v>View Full Record in Web of Science</v>
      </c>
    </row>
    <row r="574" ht="12.75" customHeight="1">
      <c r="A574" s="1" t="s">
        <v>72</v>
      </c>
      <c r="B574" s="1" t="s">
        <v>4942</v>
      </c>
      <c r="C574" s="1" t="s">
        <v>74</v>
      </c>
      <c r="D574" s="1" t="s">
        <v>74</v>
      </c>
      <c r="E574" s="1" t="s">
        <v>74</v>
      </c>
      <c r="F574" s="1" t="s">
        <v>4943</v>
      </c>
      <c r="G574" s="1" t="s">
        <v>74</v>
      </c>
      <c r="H574" s="1" t="s">
        <v>74</v>
      </c>
      <c r="I574" s="1" t="s">
        <v>4944</v>
      </c>
      <c r="J574" s="1" t="s">
        <v>1989</v>
      </c>
      <c r="K574" s="1" t="s">
        <v>74</v>
      </c>
      <c r="L574" s="1" t="s">
        <v>74</v>
      </c>
      <c r="M574" s="1" t="s">
        <v>74</v>
      </c>
      <c r="N574" s="1" t="s">
        <v>74</v>
      </c>
      <c r="O574" s="1" t="s">
        <v>74</v>
      </c>
      <c r="P574" s="1" t="s">
        <v>74</v>
      </c>
      <c r="Q574" s="1" t="s">
        <v>74</v>
      </c>
      <c r="R574" s="1" t="s">
        <v>74</v>
      </c>
      <c r="S574" s="1" t="s">
        <v>74</v>
      </c>
      <c r="T574" s="1" t="s">
        <v>74</v>
      </c>
      <c r="U574" s="1" t="s">
        <v>74</v>
      </c>
      <c r="V574" s="1" t="s">
        <v>4945</v>
      </c>
      <c r="W574" s="1" t="s">
        <v>74</v>
      </c>
      <c r="X574" s="1" t="s">
        <v>74</v>
      </c>
      <c r="Y574" s="1" t="s">
        <v>74</v>
      </c>
      <c r="Z574" s="1" t="s">
        <v>74</v>
      </c>
      <c r="AA574" s="1" t="s">
        <v>1434</v>
      </c>
      <c r="AB574" s="1" t="s">
        <v>4946</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74</v>
      </c>
      <c r="AP574" s="1" t="s">
        <v>1992</v>
      </c>
      <c r="AQ574" s="1" t="s">
        <v>74</v>
      </c>
      <c r="AR574" s="1" t="s">
        <v>74</v>
      </c>
      <c r="AS574" s="1" t="s">
        <v>74</v>
      </c>
      <c r="AT574" s="1" t="s">
        <v>974</v>
      </c>
      <c r="AU574" s="1">
        <v>2022.0</v>
      </c>
      <c r="AV574" s="1">
        <v>15.0</v>
      </c>
      <c r="AW574" s="1">
        <v>15.0</v>
      </c>
      <c r="AX574" s="1" t="s">
        <v>74</v>
      </c>
      <c r="AY574" s="1" t="s">
        <v>74</v>
      </c>
      <c r="AZ574" s="1" t="s">
        <v>74</v>
      </c>
      <c r="BA574" s="1" t="s">
        <v>74</v>
      </c>
      <c r="BB574" s="1" t="s">
        <v>74</v>
      </c>
      <c r="BC574" s="1" t="s">
        <v>74</v>
      </c>
      <c r="BD574" s="1">
        <v>5597.0</v>
      </c>
      <c r="BE574" s="1" t="s">
        <v>4947</v>
      </c>
      <c r="BF574" s="2" t="str">
        <f>HYPERLINK("http://dx.doi.org/10.3390/en15155597","http://dx.doi.org/10.3390/en15155597")</f>
        <v>http://dx.doi.org/10.3390/en15155597</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4948</v>
      </c>
      <c r="BT574" s="1" t="str">
        <f>HYPERLINK("https%3A%2F%2Fwww.webofscience.com%2Fwos%2Fwoscc%2Ffull-record%2FWOS:000839738900001","View Full Record in Web of Science")</f>
        <v>View Full Record in Web of Science</v>
      </c>
    </row>
    <row r="575" ht="12.75" customHeight="1">
      <c r="A575" s="1" t="s">
        <v>72</v>
      </c>
      <c r="B575" s="1" t="s">
        <v>4949</v>
      </c>
      <c r="C575" s="1" t="s">
        <v>74</v>
      </c>
      <c r="D575" s="1" t="s">
        <v>74</v>
      </c>
      <c r="E575" s="1" t="s">
        <v>74</v>
      </c>
      <c r="F575" s="1" t="s">
        <v>4950</v>
      </c>
      <c r="G575" s="1" t="s">
        <v>74</v>
      </c>
      <c r="H575" s="1" t="s">
        <v>74</v>
      </c>
      <c r="I575" s="1" t="s">
        <v>4951</v>
      </c>
      <c r="J575" s="1" t="s">
        <v>4952</v>
      </c>
      <c r="K575" s="1" t="s">
        <v>74</v>
      </c>
      <c r="L575" s="1" t="s">
        <v>74</v>
      </c>
      <c r="M575" s="1" t="s">
        <v>74</v>
      </c>
      <c r="N575" s="1" t="s">
        <v>74</v>
      </c>
      <c r="O575" s="1" t="s">
        <v>74</v>
      </c>
      <c r="P575" s="1" t="s">
        <v>74</v>
      </c>
      <c r="Q575" s="1" t="s">
        <v>74</v>
      </c>
      <c r="R575" s="1" t="s">
        <v>74</v>
      </c>
      <c r="S575" s="1" t="s">
        <v>74</v>
      </c>
      <c r="T575" s="1" t="s">
        <v>74</v>
      </c>
      <c r="U575" s="1" t="s">
        <v>74</v>
      </c>
      <c r="V575" s="1" t="s">
        <v>4953</v>
      </c>
      <c r="W575" s="1" t="s">
        <v>74</v>
      </c>
      <c r="X575" s="1" t="s">
        <v>74</v>
      </c>
      <c r="Y575" s="1" t="s">
        <v>74</v>
      </c>
      <c r="Z575" s="1" t="s">
        <v>74</v>
      </c>
      <c r="AA575" s="1" t="s">
        <v>74</v>
      </c>
      <c r="AB575" s="1" t="s">
        <v>74</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4954</v>
      </c>
      <c r="AP575" s="1" t="s">
        <v>74</v>
      </c>
      <c r="AQ575" s="1" t="s">
        <v>74</v>
      </c>
      <c r="AR575" s="1" t="s">
        <v>74</v>
      </c>
      <c r="AS575" s="1" t="s">
        <v>74</v>
      </c>
      <c r="AT575" s="1" t="s">
        <v>171</v>
      </c>
      <c r="AU575" s="1">
        <v>2022.0</v>
      </c>
      <c r="AV575" s="1">
        <v>14.0</v>
      </c>
      <c r="AW575" s="1">
        <v>1.0</v>
      </c>
      <c r="AX575" s="1" t="s">
        <v>74</v>
      </c>
      <c r="AY575" s="1" t="s">
        <v>74</v>
      </c>
      <c r="AZ575" s="1" t="s">
        <v>74</v>
      </c>
      <c r="BA575" s="1" t="s">
        <v>74</v>
      </c>
      <c r="BB575" s="1">
        <v>123.0</v>
      </c>
      <c r="BC575" s="1">
        <v>143.0</v>
      </c>
      <c r="BD575" s="1" t="s">
        <v>74</v>
      </c>
      <c r="BE575" s="1" t="s">
        <v>4955</v>
      </c>
      <c r="BF575" s="2" t="str">
        <f>HYPERLINK("http://dx.doi.org/10.37536/LYM.14.1.2022.990","http://dx.doi.org/10.37536/LYM.14.1.2022.990")</f>
        <v>http://dx.doi.org/10.37536/LYM.14.1.2022.990</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4956</v>
      </c>
      <c r="BT575" s="1" t="str">
        <f>HYPERLINK("https%3A%2F%2Fwww.webofscience.com%2Fwos%2Fwoscc%2Ffull-record%2FWOS:000998174300006","View Full Record in Web of Science")</f>
        <v>View Full Record in Web of Science</v>
      </c>
    </row>
    <row r="576" ht="12.75" customHeight="1">
      <c r="A576" s="1" t="s">
        <v>72</v>
      </c>
      <c r="B576" s="1" t="s">
        <v>4957</v>
      </c>
      <c r="C576" s="1" t="s">
        <v>74</v>
      </c>
      <c r="D576" s="1" t="s">
        <v>74</v>
      </c>
      <c r="E576" s="1" t="s">
        <v>74</v>
      </c>
      <c r="F576" s="1" t="s">
        <v>4958</v>
      </c>
      <c r="G576" s="1" t="s">
        <v>74</v>
      </c>
      <c r="H576" s="1" t="s">
        <v>74</v>
      </c>
      <c r="I576" s="1" t="s">
        <v>4959</v>
      </c>
      <c r="J576" s="1" t="s">
        <v>4960</v>
      </c>
      <c r="K576" s="1" t="s">
        <v>74</v>
      </c>
      <c r="L576" s="1" t="s">
        <v>74</v>
      </c>
      <c r="M576" s="1" t="s">
        <v>74</v>
      </c>
      <c r="N576" s="1" t="s">
        <v>74</v>
      </c>
      <c r="O576" s="1" t="s">
        <v>74</v>
      </c>
      <c r="P576" s="1" t="s">
        <v>74</v>
      </c>
      <c r="Q576" s="1" t="s">
        <v>74</v>
      </c>
      <c r="R576" s="1" t="s">
        <v>74</v>
      </c>
      <c r="S576" s="1" t="s">
        <v>74</v>
      </c>
      <c r="T576" s="1" t="s">
        <v>74</v>
      </c>
      <c r="U576" s="1" t="s">
        <v>74</v>
      </c>
      <c r="V576" s="1" t="s">
        <v>4961</v>
      </c>
      <c r="W576" s="1" t="s">
        <v>74</v>
      </c>
      <c r="X576" s="1" t="s">
        <v>74</v>
      </c>
      <c r="Y576" s="1" t="s">
        <v>74</v>
      </c>
      <c r="Z576" s="1" t="s">
        <v>74</v>
      </c>
      <c r="AA576" s="1" t="s">
        <v>4962</v>
      </c>
      <c r="AB576" s="1" t="s">
        <v>4963</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4964</v>
      </c>
      <c r="AP576" s="1" t="s">
        <v>4965</v>
      </c>
      <c r="AQ576" s="1" t="s">
        <v>74</v>
      </c>
      <c r="AR576" s="1" t="s">
        <v>74</v>
      </c>
      <c r="AS576" s="1" t="s">
        <v>74</v>
      </c>
      <c r="AT576" s="1" t="s">
        <v>193</v>
      </c>
      <c r="AU576" s="1">
        <v>2022.0</v>
      </c>
      <c r="AV576" s="1">
        <v>144.0</v>
      </c>
      <c r="AW576" s="1" t="s">
        <v>74</v>
      </c>
      <c r="AX576" s="1" t="s">
        <v>74</v>
      </c>
      <c r="AY576" s="1" t="s">
        <v>74</v>
      </c>
      <c r="AZ576" s="1" t="s">
        <v>74</v>
      </c>
      <c r="BA576" s="1" t="s">
        <v>74</v>
      </c>
      <c r="BB576" s="1">
        <v>35.0</v>
      </c>
      <c r="BC576" s="1">
        <v>43.0</v>
      </c>
      <c r="BD576" s="1" t="s">
        <v>74</v>
      </c>
      <c r="BE576" s="1" t="s">
        <v>4966</v>
      </c>
      <c r="BF576" s="2" t="str">
        <f>HYPERLINK("http://dx.doi.org/10.1016/j.molimm.2022.02.009","http://dx.doi.org/10.1016/j.molimm.2022.02.009")</f>
        <v>http://dx.doi.org/10.1016/j.molimm.2022.02.009</v>
      </c>
      <c r="BG576" s="1" t="s">
        <v>74</v>
      </c>
      <c r="BH576" s="1" t="s">
        <v>4967</v>
      </c>
      <c r="BI576" s="1" t="s">
        <v>74</v>
      </c>
      <c r="BJ576" s="1" t="s">
        <v>74</v>
      </c>
      <c r="BK576" s="1" t="s">
        <v>74</v>
      </c>
      <c r="BL576" s="1" t="s">
        <v>74</v>
      </c>
      <c r="BM576" s="1" t="s">
        <v>74</v>
      </c>
      <c r="BN576" s="1">
        <v>3.5176559E7</v>
      </c>
      <c r="BO576" s="1" t="s">
        <v>74</v>
      </c>
      <c r="BP576" s="1" t="s">
        <v>74</v>
      </c>
      <c r="BQ576" s="1" t="s">
        <v>74</v>
      </c>
      <c r="BR576" s="1" t="s">
        <v>74</v>
      </c>
      <c r="BS576" s="1" t="s">
        <v>4968</v>
      </c>
      <c r="BT576" s="1" t="str">
        <f>HYPERLINK("https%3A%2F%2Fwww.webofscience.com%2Fwos%2Fwoscc%2Ffull-record%2FWOS:000789539700004","View Full Record in Web of Science")</f>
        <v>View Full Record in Web of Science</v>
      </c>
    </row>
    <row r="577" ht="12.75" customHeight="1">
      <c r="A577" s="1" t="s">
        <v>72</v>
      </c>
      <c r="B577" s="1" t="s">
        <v>4969</v>
      </c>
      <c r="C577" s="1" t="s">
        <v>74</v>
      </c>
      <c r="D577" s="1" t="s">
        <v>74</v>
      </c>
      <c r="E577" s="1" t="s">
        <v>74</v>
      </c>
      <c r="F577" s="1" t="s">
        <v>4970</v>
      </c>
      <c r="G577" s="1" t="s">
        <v>74</v>
      </c>
      <c r="H577" s="1" t="s">
        <v>74</v>
      </c>
      <c r="I577" s="1" t="s">
        <v>4971</v>
      </c>
      <c r="J577" s="1" t="s">
        <v>4972</v>
      </c>
      <c r="K577" s="1" t="s">
        <v>74</v>
      </c>
      <c r="L577" s="1" t="s">
        <v>74</v>
      </c>
      <c r="M577" s="1" t="s">
        <v>74</v>
      </c>
      <c r="N577" s="1" t="s">
        <v>74</v>
      </c>
      <c r="O577" s="1" t="s">
        <v>74</v>
      </c>
      <c r="P577" s="1" t="s">
        <v>74</v>
      </c>
      <c r="Q577" s="1" t="s">
        <v>74</v>
      </c>
      <c r="R577" s="1" t="s">
        <v>74</v>
      </c>
      <c r="S577" s="1" t="s">
        <v>74</v>
      </c>
      <c r="T577" s="1" t="s">
        <v>74</v>
      </c>
      <c r="U577" s="1" t="s">
        <v>74</v>
      </c>
      <c r="V577" s="1" t="s">
        <v>4973</v>
      </c>
      <c r="W577" s="1" t="s">
        <v>74</v>
      </c>
      <c r="X577" s="1" t="s">
        <v>74</v>
      </c>
      <c r="Y577" s="1" t="s">
        <v>74</v>
      </c>
      <c r="Z577" s="1" t="s">
        <v>74</v>
      </c>
      <c r="AA577" s="1" t="s">
        <v>74</v>
      </c>
      <c r="AB577" s="1" t="s">
        <v>74</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4974</v>
      </c>
      <c r="AP577" s="1" t="s">
        <v>4975</v>
      </c>
      <c r="AQ577" s="1" t="s">
        <v>74</v>
      </c>
      <c r="AR577" s="1" t="s">
        <v>74</v>
      </c>
      <c r="AS577" s="1" t="s">
        <v>74</v>
      </c>
      <c r="AT577" s="1" t="s">
        <v>818</v>
      </c>
      <c r="AU577" s="1">
        <v>2022.0</v>
      </c>
      <c r="AV577" s="1">
        <v>39.0</v>
      </c>
      <c r="AW577" s="1">
        <v>1.0</v>
      </c>
      <c r="AX577" s="1" t="s">
        <v>74</v>
      </c>
      <c r="AY577" s="1" t="s">
        <v>74</v>
      </c>
      <c r="AZ577" s="1" t="s">
        <v>74</v>
      </c>
      <c r="BA577" s="1" t="s">
        <v>74</v>
      </c>
      <c r="BB577" s="1">
        <v>73.0</v>
      </c>
      <c r="BC577" s="1">
        <v>77.0</v>
      </c>
      <c r="BD577" s="1" t="s">
        <v>74</v>
      </c>
      <c r="BE577" s="1" t="s">
        <v>74</v>
      </c>
      <c r="BF577" s="1" t="s">
        <v>74</v>
      </c>
      <c r="BG577" s="1" t="s">
        <v>74</v>
      </c>
      <c r="BH577" s="1" t="s">
        <v>74</v>
      </c>
      <c r="BI577" s="1" t="s">
        <v>74</v>
      </c>
      <c r="BJ577" s="1" t="s">
        <v>74</v>
      </c>
      <c r="BK577" s="1" t="s">
        <v>74</v>
      </c>
      <c r="BL577" s="1" t="s">
        <v>74</v>
      </c>
      <c r="BM577" s="1" t="s">
        <v>74</v>
      </c>
      <c r="BN577" s="1">
        <v>3.5735283E7</v>
      </c>
      <c r="BO577" s="1" t="s">
        <v>74</v>
      </c>
      <c r="BP577" s="1" t="s">
        <v>74</v>
      </c>
      <c r="BQ577" s="1" t="s">
        <v>74</v>
      </c>
      <c r="BR577" s="1" t="s">
        <v>74</v>
      </c>
      <c r="BS577" s="1" t="s">
        <v>4976</v>
      </c>
      <c r="BT577" s="1" t="str">
        <f>HYPERLINK("https%3A%2F%2Fwww.webofscience.com%2Fwos%2Fwoscc%2Ffull-record%2FWOS:000800448700010","View Full Record in Web of Science")</f>
        <v>View Full Record in Web of Science</v>
      </c>
    </row>
    <row r="578" ht="12.75" customHeight="1">
      <c r="A578" s="1" t="s">
        <v>72</v>
      </c>
      <c r="B578" s="1" t="s">
        <v>4977</v>
      </c>
      <c r="C578" s="1" t="s">
        <v>74</v>
      </c>
      <c r="D578" s="1" t="s">
        <v>74</v>
      </c>
      <c r="E578" s="1" t="s">
        <v>74</v>
      </c>
      <c r="F578" s="1" t="s">
        <v>4978</v>
      </c>
      <c r="G578" s="1" t="s">
        <v>74</v>
      </c>
      <c r="H578" s="1" t="s">
        <v>74</v>
      </c>
      <c r="I578" s="1" t="s">
        <v>4979</v>
      </c>
      <c r="J578" s="1" t="s">
        <v>4980</v>
      </c>
      <c r="K578" s="1" t="s">
        <v>74</v>
      </c>
      <c r="L578" s="1" t="s">
        <v>74</v>
      </c>
      <c r="M578" s="1" t="s">
        <v>74</v>
      </c>
      <c r="N578" s="1" t="s">
        <v>74</v>
      </c>
      <c r="O578" s="1" t="s">
        <v>74</v>
      </c>
      <c r="P578" s="1" t="s">
        <v>74</v>
      </c>
      <c r="Q578" s="1" t="s">
        <v>74</v>
      </c>
      <c r="R578" s="1" t="s">
        <v>74</v>
      </c>
      <c r="S578" s="1" t="s">
        <v>74</v>
      </c>
      <c r="T578" s="1" t="s">
        <v>74</v>
      </c>
      <c r="U578" s="1" t="s">
        <v>74</v>
      </c>
      <c r="V578" s="1" t="s">
        <v>4981</v>
      </c>
      <c r="W578" s="1" t="s">
        <v>74</v>
      </c>
      <c r="X578" s="1" t="s">
        <v>74</v>
      </c>
      <c r="Y578" s="1" t="s">
        <v>74</v>
      </c>
      <c r="Z578" s="1" t="s">
        <v>74</v>
      </c>
      <c r="AA578" s="1" t="s">
        <v>4982</v>
      </c>
      <c r="AB578" s="1" t="s">
        <v>4983</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4984</v>
      </c>
      <c r="AP578" s="1" t="s">
        <v>4985</v>
      </c>
      <c r="AQ578" s="1" t="s">
        <v>74</v>
      </c>
      <c r="AR578" s="1" t="s">
        <v>74</v>
      </c>
      <c r="AS578" s="1" t="s">
        <v>74</v>
      </c>
      <c r="AT578" s="1" t="s">
        <v>4986</v>
      </c>
      <c r="AU578" s="1">
        <v>2021.0</v>
      </c>
      <c r="AV578" s="1">
        <v>46.0</v>
      </c>
      <c r="AW578" s="1">
        <v>5.0</v>
      </c>
      <c r="AX578" s="1" t="s">
        <v>74</v>
      </c>
      <c r="AY578" s="1" t="s">
        <v>74</v>
      </c>
      <c r="AZ578" s="1" t="s">
        <v>74</v>
      </c>
      <c r="BA578" s="1" t="s">
        <v>74</v>
      </c>
      <c r="BB578" s="1">
        <v>765.0</v>
      </c>
      <c r="BC578" s="1">
        <v>778.0</v>
      </c>
      <c r="BD578" s="1" t="s">
        <v>74</v>
      </c>
      <c r="BE578" s="1" t="s">
        <v>4987</v>
      </c>
      <c r="BF578" s="2" t="str">
        <f>HYPERLINK("http://dx.doi.org/10.1080/03043797.2021.1903836","http://dx.doi.org/10.1080/03043797.2021.1903836")</f>
        <v>http://dx.doi.org/10.1080/03043797.2021.1903836</v>
      </c>
      <c r="BG578" s="1" t="s">
        <v>74</v>
      </c>
      <c r="BH578" s="1" t="s">
        <v>1966</v>
      </c>
      <c r="BI578" s="1" t="s">
        <v>74</v>
      </c>
      <c r="BJ578" s="1" t="s">
        <v>74</v>
      </c>
      <c r="BK578" s="1" t="s">
        <v>74</v>
      </c>
      <c r="BL578" s="1" t="s">
        <v>74</v>
      </c>
      <c r="BM578" s="1" t="s">
        <v>74</v>
      </c>
      <c r="BN578" s="1" t="s">
        <v>74</v>
      </c>
      <c r="BO578" s="1" t="s">
        <v>74</v>
      </c>
      <c r="BP578" s="1" t="s">
        <v>74</v>
      </c>
      <c r="BQ578" s="1" t="s">
        <v>74</v>
      </c>
      <c r="BR578" s="1" t="s">
        <v>74</v>
      </c>
      <c r="BS578" s="1" t="s">
        <v>4988</v>
      </c>
      <c r="BT578" s="1" t="str">
        <f>HYPERLINK("https%3A%2F%2Fwww.webofscience.com%2Fwos%2Fwoscc%2Ffull-record%2FWOS:000633236700001","View Full Record in Web of Science")</f>
        <v>View Full Record in Web of Science</v>
      </c>
    </row>
    <row r="579" ht="12.75" customHeight="1">
      <c r="A579" s="1" t="s">
        <v>72</v>
      </c>
      <c r="B579" s="1" t="s">
        <v>4989</v>
      </c>
      <c r="C579" s="1" t="s">
        <v>74</v>
      </c>
      <c r="D579" s="1" t="s">
        <v>74</v>
      </c>
      <c r="E579" s="1" t="s">
        <v>74</v>
      </c>
      <c r="F579" s="1" t="s">
        <v>4990</v>
      </c>
      <c r="G579" s="1" t="s">
        <v>74</v>
      </c>
      <c r="H579" s="1" t="s">
        <v>74</v>
      </c>
      <c r="I579" s="1" t="s">
        <v>4991</v>
      </c>
      <c r="J579" s="1" t="s">
        <v>4992</v>
      </c>
      <c r="K579" s="1" t="s">
        <v>74</v>
      </c>
      <c r="L579" s="1" t="s">
        <v>74</v>
      </c>
      <c r="M579" s="1" t="s">
        <v>74</v>
      </c>
      <c r="N579" s="1" t="s">
        <v>74</v>
      </c>
      <c r="O579" s="1" t="s">
        <v>74</v>
      </c>
      <c r="P579" s="1" t="s">
        <v>74</v>
      </c>
      <c r="Q579" s="1" t="s">
        <v>74</v>
      </c>
      <c r="R579" s="1" t="s">
        <v>74</v>
      </c>
      <c r="S579" s="1" t="s">
        <v>74</v>
      </c>
      <c r="T579" s="1" t="s">
        <v>74</v>
      </c>
      <c r="U579" s="1" t="s">
        <v>74</v>
      </c>
      <c r="V579" s="1" t="s">
        <v>4993</v>
      </c>
      <c r="W579" s="1" t="s">
        <v>74</v>
      </c>
      <c r="X579" s="1" t="s">
        <v>74</v>
      </c>
      <c r="Y579" s="1" t="s">
        <v>74</v>
      </c>
      <c r="Z579" s="1" t="s">
        <v>74</v>
      </c>
      <c r="AA579" s="1" t="s">
        <v>240</v>
      </c>
      <c r="AB579" s="1" t="s">
        <v>241</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4994</v>
      </c>
      <c r="AP579" s="1" t="s">
        <v>74</v>
      </c>
      <c r="AQ579" s="1" t="s">
        <v>74</v>
      </c>
      <c r="AR579" s="1" t="s">
        <v>74</v>
      </c>
      <c r="AS579" s="1" t="s">
        <v>74</v>
      </c>
      <c r="AT579" s="1" t="s">
        <v>818</v>
      </c>
      <c r="AU579" s="1">
        <v>2021.0</v>
      </c>
      <c r="AV579" s="1">
        <v>27.0</v>
      </c>
      <c r="AW579" s="1" t="s">
        <v>74</v>
      </c>
      <c r="AX579" s="1" t="s">
        <v>74</v>
      </c>
      <c r="AY579" s="1" t="s">
        <v>74</v>
      </c>
      <c r="AZ579" s="1" t="s">
        <v>74</v>
      </c>
      <c r="BA579" s="1" t="s">
        <v>74</v>
      </c>
      <c r="BB579" s="1" t="s">
        <v>74</v>
      </c>
      <c r="BC579" s="1" t="s">
        <v>74</v>
      </c>
      <c r="BD579" s="1">
        <v>100428.0</v>
      </c>
      <c r="BE579" s="1" t="s">
        <v>4995</v>
      </c>
      <c r="BF579" s="2" t="str">
        <f>HYPERLINK("http://dx.doi.org/10.1016/j.cogsc.2020.100428","http://dx.doi.org/10.1016/j.cogsc.2020.100428")</f>
        <v>http://dx.doi.org/10.1016/j.cogsc.2020.100428</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4996</v>
      </c>
      <c r="BT579" s="1" t="str">
        <f>HYPERLINK("https%3A%2F%2Fwww.webofscience.com%2Fwos%2Fwoscc%2Ffull-record%2FWOS:000641414700003","View Full Record in Web of Science")</f>
        <v>View Full Record in Web of Science</v>
      </c>
    </row>
    <row r="580" ht="12.75" customHeight="1">
      <c r="A580" s="1" t="s">
        <v>126</v>
      </c>
      <c r="B580" s="1" t="s">
        <v>4997</v>
      </c>
      <c r="C580" s="1" t="s">
        <v>74</v>
      </c>
      <c r="D580" s="1" t="s">
        <v>74</v>
      </c>
      <c r="E580" s="1" t="s">
        <v>128</v>
      </c>
      <c r="F580" s="1" t="s">
        <v>4998</v>
      </c>
      <c r="G580" s="1" t="s">
        <v>74</v>
      </c>
      <c r="H580" s="1" t="s">
        <v>74</v>
      </c>
      <c r="I580" s="1" t="s">
        <v>4999</v>
      </c>
      <c r="J580" s="1" t="s">
        <v>1070</v>
      </c>
      <c r="K580" s="1" t="s">
        <v>74</v>
      </c>
      <c r="L580" s="1" t="s">
        <v>74</v>
      </c>
      <c r="M580" s="1" t="s">
        <v>74</v>
      </c>
      <c r="N580" s="1" t="s">
        <v>74</v>
      </c>
      <c r="O580" s="1" t="s">
        <v>1071</v>
      </c>
      <c r="P580" s="1" t="s">
        <v>1072</v>
      </c>
      <c r="Q580" s="1" t="s">
        <v>1073</v>
      </c>
      <c r="R580" s="1" t="s">
        <v>1074</v>
      </c>
      <c r="S580" s="1" t="s">
        <v>74</v>
      </c>
      <c r="T580" s="1" t="s">
        <v>74</v>
      </c>
      <c r="U580" s="1" t="s">
        <v>74</v>
      </c>
      <c r="V580" s="1" t="s">
        <v>5000</v>
      </c>
      <c r="W580" s="1" t="s">
        <v>74</v>
      </c>
      <c r="X580" s="1" t="s">
        <v>74</v>
      </c>
      <c r="Y580" s="1" t="s">
        <v>74</v>
      </c>
      <c r="Z580" s="1" t="s">
        <v>74</v>
      </c>
      <c r="AA580" s="1" t="s">
        <v>74</v>
      </c>
      <c r="AB580" s="1" t="s">
        <v>5001</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74</v>
      </c>
      <c r="AP580" s="1" t="s">
        <v>74</v>
      </c>
      <c r="AQ580" s="1" t="s">
        <v>1078</v>
      </c>
      <c r="AR580" s="1" t="s">
        <v>74</v>
      </c>
      <c r="AS580" s="1" t="s">
        <v>74</v>
      </c>
      <c r="AT580" s="1" t="s">
        <v>74</v>
      </c>
      <c r="AU580" s="1">
        <v>2021.0</v>
      </c>
      <c r="AV580" s="1" t="s">
        <v>74</v>
      </c>
      <c r="AW580" s="1" t="s">
        <v>74</v>
      </c>
      <c r="AX580" s="1" t="s">
        <v>74</v>
      </c>
      <c r="AY580" s="1" t="s">
        <v>74</v>
      </c>
      <c r="AZ580" s="1" t="s">
        <v>74</v>
      </c>
      <c r="BA580" s="1" t="s">
        <v>74</v>
      </c>
      <c r="BB580" s="1" t="s">
        <v>74</v>
      </c>
      <c r="BC580" s="1" t="s">
        <v>74</v>
      </c>
      <c r="BD580" s="1" t="s">
        <v>74</v>
      </c>
      <c r="BE580" s="1" t="s">
        <v>5002</v>
      </c>
      <c r="BF580" s="2" t="str">
        <f>HYPERLINK("http://dx.doi.org/10.1109/ICAACCA51523.2021.9465281","http://dx.doi.org/10.1109/ICAACCA51523.2021.9465281")</f>
        <v>http://dx.doi.org/10.1109/ICAACCA51523.2021.9465281</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5003</v>
      </c>
      <c r="BT580" s="1" t="str">
        <f>HYPERLINK("https%3A%2F%2Fwww.webofscience.com%2Fwos%2Fwoscc%2Ffull-record%2FWOS:000855764500030","View Full Record in Web of Science")</f>
        <v>View Full Record in Web of Science</v>
      </c>
    </row>
    <row r="581" ht="12.75" customHeight="1">
      <c r="A581" s="1" t="s">
        <v>72</v>
      </c>
      <c r="B581" s="1" t="s">
        <v>5004</v>
      </c>
      <c r="C581" s="1" t="s">
        <v>74</v>
      </c>
      <c r="D581" s="1" t="s">
        <v>74</v>
      </c>
      <c r="E581" s="1" t="s">
        <v>74</v>
      </c>
      <c r="F581" s="1" t="s">
        <v>5005</v>
      </c>
      <c r="G581" s="1" t="s">
        <v>74</v>
      </c>
      <c r="H581" s="1" t="s">
        <v>74</v>
      </c>
      <c r="I581" s="1" t="s">
        <v>5006</v>
      </c>
      <c r="J581" s="1" t="s">
        <v>5007</v>
      </c>
      <c r="K581" s="1" t="s">
        <v>74</v>
      </c>
      <c r="L581" s="1" t="s">
        <v>74</v>
      </c>
      <c r="M581" s="1" t="s">
        <v>74</v>
      </c>
      <c r="N581" s="1" t="s">
        <v>74</v>
      </c>
      <c r="O581" s="1" t="s">
        <v>74</v>
      </c>
      <c r="P581" s="1" t="s">
        <v>74</v>
      </c>
      <c r="Q581" s="1" t="s">
        <v>74</v>
      </c>
      <c r="R581" s="1" t="s">
        <v>74</v>
      </c>
      <c r="S581" s="1" t="s">
        <v>74</v>
      </c>
      <c r="T581" s="1" t="s">
        <v>74</v>
      </c>
      <c r="U581" s="1" t="s">
        <v>74</v>
      </c>
      <c r="V581" s="1" t="s">
        <v>5008</v>
      </c>
      <c r="W581" s="1" t="s">
        <v>74</v>
      </c>
      <c r="X581" s="1" t="s">
        <v>74</v>
      </c>
      <c r="Y581" s="1" t="s">
        <v>74</v>
      </c>
      <c r="Z581" s="1" t="s">
        <v>74</v>
      </c>
      <c r="AA581" s="1" t="s">
        <v>5009</v>
      </c>
      <c r="AB581" s="1" t="s">
        <v>74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5010</v>
      </c>
      <c r="AP581" s="1" t="s">
        <v>74</v>
      </c>
      <c r="AQ581" s="1" t="s">
        <v>74</v>
      </c>
      <c r="AR581" s="1" t="s">
        <v>74</v>
      </c>
      <c r="AS581" s="1" t="s">
        <v>74</v>
      </c>
      <c r="AT581" s="1" t="s">
        <v>74</v>
      </c>
      <c r="AU581" s="1">
        <v>2021.0</v>
      </c>
      <c r="AV581" s="1" t="s">
        <v>74</v>
      </c>
      <c r="AW581" s="1" t="s">
        <v>74</v>
      </c>
      <c r="AX581" s="1" t="s">
        <v>74</v>
      </c>
      <c r="AY581" s="1" t="s">
        <v>74</v>
      </c>
      <c r="AZ581" s="1" t="s">
        <v>159</v>
      </c>
      <c r="BA581" s="1" t="s">
        <v>74</v>
      </c>
      <c r="BB581" s="1">
        <v>224.0</v>
      </c>
      <c r="BC581" s="1">
        <v>244.0</v>
      </c>
      <c r="BD581" s="1" t="s">
        <v>74</v>
      </c>
      <c r="BE581" s="1" t="s">
        <v>74</v>
      </c>
      <c r="BF581" s="1" t="s">
        <v>74</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5011</v>
      </c>
      <c r="BT581" s="1" t="str">
        <f>HYPERLINK("https%3A%2F%2Fwww.webofscience.com%2Fwos%2Fwoscc%2Ffull-record%2FWOS:000634965300016","View Full Record in Web of Science")</f>
        <v>View Full Record in Web of Science</v>
      </c>
    </row>
    <row r="582" ht="12.75" customHeight="1">
      <c r="A582" s="1" t="s">
        <v>72</v>
      </c>
      <c r="B582" s="1" t="s">
        <v>5012</v>
      </c>
      <c r="C582" s="1" t="s">
        <v>74</v>
      </c>
      <c r="D582" s="1" t="s">
        <v>74</v>
      </c>
      <c r="E582" s="1" t="s">
        <v>74</v>
      </c>
      <c r="F582" s="1" t="s">
        <v>5013</v>
      </c>
      <c r="G582" s="1" t="s">
        <v>74</v>
      </c>
      <c r="H582" s="1" t="s">
        <v>74</v>
      </c>
      <c r="I582" s="1" t="s">
        <v>5014</v>
      </c>
      <c r="J582" s="1" t="s">
        <v>5015</v>
      </c>
      <c r="K582" s="1" t="s">
        <v>74</v>
      </c>
      <c r="L582" s="1" t="s">
        <v>74</v>
      </c>
      <c r="M582" s="1" t="s">
        <v>74</v>
      </c>
      <c r="N582" s="1" t="s">
        <v>74</v>
      </c>
      <c r="O582" s="1" t="s">
        <v>74</v>
      </c>
      <c r="P582" s="1" t="s">
        <v>74</v>
      </c>
      <c r="Q582" s="1" t="s">
        <v>74</v>
      </c>
      <c r="R582" s="1" t="s">
        <v>74</v>
      </c>
      <c r="S582" s="1" t="s">
        <v>74</v>
      </c>
      <c r="T582" s="1" t="s">
        <v>74</v>
      </c>
      <c r="U582" s="1" t="s">
        <v>74</v>
      </c>
      <c r="V582" s="1" t="s">
        <v>5016</v>
      </c>
      <c r="W582" s="1" t="s">
        <v>74</v>
      </c>
      <c r="X582" s="1" t="s">
        <v>74</v>
      </c>
      <c r="Y582" s="1" t="s">
        <v>74</v>
      </c>
      <c r="Z582" s="1" t="s">
        <v>74</v>
      </c>
      <c r="AA582" s="1" t="s">
        <v>74</v>
      </c>
      <c r="AB582" s="1" t="s">
        <v>5017</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5018</v>
      </c>
      <c r="AP582" s="1" t="s">
        <v>5019</v>
      </c>
      <c r="AQ582" s="1" t="s">
        <v>74</v>
      </c>
      <c r="AR582" s="1" t="s">
        <v>74</v>
      </c>
      <c r="AS582" s="1" t="s">
        <v>74</v>
      </c>
      <c r="AT582" s="1" t="s">
        <v>82</v>
      </c>
      <c r="AU582" s="1">
        <v>2020.0</v>
      </c>
      <c r="AV582" s="1">
        <v>21.0</v>
      </c>
      <c r="AW582" s="1">
        <v>4.0</v>
      </c>
      <c r="AX582" s="1" t="s">
        <v>74</v>
      </c>
      <c r="AY582" s="1" t="s">
        <v>74</v>
      </c>
      <c r="AZ582" s="1" t="s">
        <v>74</v>
      </c>
      <c r="BA582" s="1" t="s">
        <v>74</v>
      </c>
      <c r="BB582" s="1">
        <v>1115.0</v>
      </c>
      <c r="BC582" s="1">
        <v>1130.0</v>
      </c>
      <c r="BD582" s="1" t="s">
        <v>74</v>
      </c>
      <c r="BE582" s="1" t="s">
        <v>5020</v>
      </c>
      <c r="BF582" s="2" t="str">
        <f>HYPERLINK("http://dx.doi.org/10.1007/s12134-019-00696-7","http://dx.doi.org/10.1007/s12134-019-00696-7")</f>
        <v>http://dx.doi.org/10.1007/s12134-019-00696-7</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5021</v>
      </c>
      <c r="BT582" s="1" t="str">
        <f>HYPERLINK("https%3A%2F%2Fwww.webofscience.com%2Fwos%2Fwoscc%2Ffull-record%2FWOS:000580753100007","View Full Record in Web of Science")</f>
        <v>View Full Record in Web of Science</v>
      </c>
    </row>
    <row r="583" ht="12.75" customHeight="1">
      <c r="A583" s="1" t="s">
        <v>72</v>
      </c>
      <c r="B583" s="1" t="s">
        <v>5022</v>
      </c>
      <c r="C583" s="1" t="s">
        <v>74</v>
      </c>
      <c r="D583" s="1" t="s">
        <v>74</v>
      </c>
      <c r="E583" s="1" t="s">
        <v>74</v>
      </c>
      <c r="F583" s="1" t="s">
        <v>5023</v>
      </c>
      <c r="G583" s="1" t="s">
        <v>74</v>
      </c>
      <c r="H583" s="1" t="s">
        <v>74</v>
      </c>
      <c r="I583" s="1" t="s">
        <v>5024</v>
      </c>
      <c r="J583" s="1" t="s">
        <v>981</v>
      </c>
      <c r="K583" s="1" t="s">
        <v>74</v>
      </c>
      <c r="L583" s="1" t="s">
        <v>74</v>
      </c>
      <c r="M583" s="1" t="s">
        <v>74</v>
      </c>
      <c r="N583" s="1" t="s">
        <v>74</v>
      </c>
      <c r="O583" s="1" t="s">
        <v>74</v>
      </c>
      <c r="P583" s="1" t="s">
        <v>74</v>
      </c>
      <c r="Q583" s="1" t="s">
        <v>74</v>
      </c>
      <c r="R583" s="1" t="s">
        <v>74</v>
      </c>
      <c r="S583" s="1" t="s">
        <v>74</v>
      </c>
      <c r="T583" s="1" t="s">
        <v>74</v>
      </c>
      <c r="U583" s="1" t="s">
        <v>74</v>
      </c>
      <c r="V583" s="1" t="s">
        <v>5025</v>
      </c>
      <c r="W583" s="1" t="s">
        <v>74</v>
      </c>
      <c r="X583" s="1" t="s">
        <v>74</v>
      </c>
      <c r="Y583" s="1" t="s">
        <v>74</v>
      </c>
      <c r="Z583" s="1" t="s">
        <v>74</v>
      </c>
      <c r="AA583" s="1" t="s">
        <v>5026</v>
      </c>
      <c r="AB583" s="1" t="s">
        <v>5027</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985</v>
      </c>
      <c r="AQ583" s="1" t="s">
        <v>74</v>
      </c>
      <c r="AR583" s="1" t="s">
        <v>74</v>
      </c>
      <c r="AS583" s="1" t="s">
        <v>74</v>
      </c>
      <c r="AT583" s="1" t="s">
        <v>276</v>
      </c>
      <c r="AU583" s="1">
        <v>2020.0</v>
      </c>
      <c r="AV583" s="1">
        <v>12.0</v>
      </c>
      <c r="AW583" s="1">
        <v>20.0</v>
      </c>
      <c r="AX583" s="1" t="s">
        <v>74</v>
      </c>
      <c r="AY583" s="1" t="s">
        <v>74</v>
      </c>
      <c r="AZ583" s="1" t="s">
        <v>74</v>
      </c>
      <c r="BA583" s="1" t="s">
        <v>74</v>
      </c>
      <c r="BB583" s="1" t="s">
        <v>74</v>
      </c>
      <c r="BC583" s="1" t="s">
        <v>74</v>
      </c>
      <c r="BD583" s="1">
        <v>8398.0</v>
      </c>
      <c r="BE583" s="1" t="s">
        <v>5028</v>
      </c>
      <c r="BF583" s="2" t="str">
        <f>HYPERLINK("http://dx.doi.org/10.3390/su12208398","http://dx.doi.org/10.3390/su12208398")</f>
        <v>http://dx.doi.org/10.3390/su12208398</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5029</v>
      </c>
      <c r="BT583" s="1" t="str">
        <f>HYPERLINK("https%3A%2F%2Fwww.webofscience.com%2Fwos%2Fwoscc%2Ffull-record%2FWOS:000583123400001","View Full Record in Web of Science")</f>
        <v>View Full Record in Web of Science</v>
      </c>
    </row>
    <row r="584" ht="12.75" customHeight="1">
      <c r="A584" s="1" t="s">
        <v>72</v>
      </c>
      <c r="B584" s="1" t="s">
        <v>5030</v>
      </c>
      <c r="C584" s="1" t="s">
        <v>74</v>
      </c>
      <c r="D584" s="1" t="s">
        <v>74</v>
      </c>
      <c r="E584" s="1" t="s">
        <v>74</v>
      </c>
      <c r="F584" s="1" t="s">
        <v>5031</v>
      </c>
      <c r="G584" s="1" t="s">
        <v>74</v>
      </c>
      <c r="H584" s="1" t="s">
        <v>74</v>
      </c>
      <c r="I584" s="1" t="s">
        <v>5032</v>
      </c>
      <c r="J584" s="1" t="s">
        <v>5033</v>
      </c>
      <c r="K584" s="1" t="s">
        <v>74</v>
      </c>
      <c r="L584" s="1" t="s">
        <v>74</v>
      </c>
      <c r="M584" s="1" t="s">
        <v>74</v>
      </c>
      <c r="N584" s="1" t="s">
        <v>74</v>
      </c>
      <c r="O584" s="1" t="s">
        <v>74</v>
      </c>
      <c r="P584" s="1" t="s">
        <v>74</v>
      </c>
      <c r="Q584" s="1" t="s">
        <v>74</v>
      </c>
      <c r="R584" s="1" t="s">
        <v>74</v>
      </c>
      <c r="S584" s="1" t="s">
        <v>74</v>
      </c>
      <c r="T584" s="1" t="s">
        <v>74</v>
      </c>
      <c r="U584" s="1" t="s">
        <v>74</v>
      </c>
      <c r="V584" s="1" t="s">
        <v>5034</v>
      </c>
      <c r="W584" s="1" t="s">
        <v>74</v>
      </c>
      <c r="X584" s="1" t="s">
        <v>74</v>
      </c>
      <c r="Y584" s="1" t="s">
        <v>74</v>
      </c>
      <c r="Z584" s="1" t="s">
        <v>74</v>
      </c>
      <c r="AA584" s="1" t="s">
        <v>5035</v>
      </c>
      <c r="AB584" s="1" t="s">
        <v>5036</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5037</v>
      </c>
      <c r="AP584" s="1" t="s">
        <v>74</v>
      </c>
      <c r="AQ584" s="1" t="s">
        <v>74</v>
      </c>
      <c r="AR584" s="1" t="s">
        <v>74</v>
      </c>
      <c r="AS584" s="1" t="s">
        <v>74</v>
      </c>
      <c r="AT584" s="1" t="s">
        <v>158</v>
      </c>
      <c r="AU584" s="1">
        <v>2020.0</v>
      </c>
      <c r="AV584" s="1">
        <v>157.0</v>
      </c>
      <c r="AW584" s="1" t="s">
        <v>74</v>
      </c>
      <c r="AX584" s="1" t="s">
        <v>74</v>
      </c>
      <c r="AY584" s="1" t="s">
        <v>74</v>
      </c>
      <c r="AZ584" s="1" t="s">
        <v>74</v>
      </c>
      <c r="BA584" s="1" t="s">
        <v>74</v>
      </c>
      <c r="BB584" s="1">
        <v>182.0</v>
      </c>
      <c r="BC584" s="1">
        <v>189.0</v>
      </c>
      <c r="BD584" s="1" t="s">
        <v>74</v>
      </c>
      <c r="BE584" s="1" t="s">
        <v>5038</v>
      </c>
      <c r="BF584" s="2" t="str">
        <f>HYPERLINK("http://dx.doi.org/10.1016/j.renene.2020.05.025","http://dx.doi.org/10.1016/j.renene.2020.05.025")</f>
        <v>http://dx.doi.org/10.1016/j.renene.2020.05.025</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5039</v>
      </c>
      <c r="BT584" s="1" t="str">
        <f>HYPERLINK("https%3A%2F%2Fwww.webofscience.com%2Fwos%2Fwoscc%2Ffull-record%2FWOS:000541747100016","View Full Record in Web of Science")</f>
        <v>View Full Record in Web of Science</v>
      </c>
    </row>
    <row r="585" ht="12.75" customHeight="1">
      <c r="A585" s="1" t="s">
        <v>72</v>
      </c>
      <c r="B585" s="1" t="s">
        <v>5040</v>
      </c>
      <c r="C585" s="1" t="s">
        <v>74</v>
      </c>
      <c r="D585" s="1" t="s">
        <v>74</v>
      </c>
      <c r="E585" s="1" t="s">
        <v>74</v>
      </c>
      <c r="F585" s="1" t="s">
        <v>5041</v>
      </c>
      <c r="G585" s="1" t="s">
        <v>74</v>
      </c>
      <c r="H585" s="1" t="s">
        <v>74</v>
      </c>
      <c r="I585" s="1" t="s">
        <v>5042</v>
      </c>
      <c r="J585" s="1" t="s">
        <v>2825</v>
      </c>
      <c r="K585" s="1" t="s">
        <v>74</v>
      </c>
      <c r="L585" s="1" t="s">
        <v>74</v>
      </c>
      <c r="M585" s="1" t="s">
        <v>74</v>
      </c>
      <c r="N585" s="1" t="s">
        <v>74</v>
      </c>
      <c r="O585" s="1" t="s">
        <v>74</v>
      </c>
      <c r="P585" s="1" t="s">
        <v>74</v>
      </c>
      <c r="Q585" s="1" t="s">
        <v>74</v>
      </c>
      <c r="R585" s="1" t="s">
        <v>74</v>
      </c>
      <c r="S585" s="1" t="s">
        <v>74</v>
      </c>
      <c r="T585" s="1" t="s">
        <v>74</v>
      </c>
      <c r="U585" s="1" t="s">
        <v>74</v>
      </c>
      <c r="V585" s="1" t="s">
        <v>5043</v>
      </c>
      <c r="W585" s="1" t="s">
        <v>74</v>
      </c>
      <c r="X585" s="1" t="s">
        <v>74</v>
      </c>
      <c r="Y585" s="1" t="s">
        <v>74</v>
      </c>
      <c r="Z585" s="1" t="s">
        <v>74</v>
      </c>
      <c r="AA585" s="1" t="s">
        <v>74</v>
      </c>
      <c r="AB585" s="1" t="s">
        <v>74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2829</v>
      </c>
      <c r="AP585" s="1" t="s">
        <v>2830</v>
      </c>
      <c r="AQ585" s="1" t="s">
        <v>74</v>
      </c>
      <c r="AR585" s="1" t="s">
        <v>74</v>
      </c>
      <c r="AS585" s="1" t="s">
        <v>74</v>
      </c>
      <c r="AT585" s="1" t="s">
        <v>91</v>
      </c>
      <c r="AU585" s="1">
        <v>2021.0</v>
      </c>
      <c r="AV585" s="1">
        <v>35.0</v>
      </c>
      <c r="AW585" s="1">
        <v>3.0</v>
      </c>
      <c r="AX585" s="1" t="s">
        <v>74</v>
      </c>
      <c r="AY585" s="1" t="s">
        <v>74</v>
      </c>
      <c r="AZ585" s="1" t="s">
        <v>74</v>
      </c>
      <c r="BA585" s="1" t="s">
        <v>74</v>
      </c>
      <c r="BB585" s="1">
        <v>833.0</v>
      </c>
      <c r="BC585" s="1">
        <v>869.0</v>
      </c>
      <c r="BD585" s="1" t="s">
        <v>74</v>
      </c>
      <c r="BE585" s="1" t="s">
        <v>5044</v>
      </c>
      <c r="BF585" s="2" t="str">
        <f>HYPERLINK("http://dx.doi.org/10.1111/joes.12383","http://dx.doi.org/10.1111/joes.12383")</f>
        <v>http://dx.doi.org/10.1111/joes.12383</v>
      </c>
      <c r="BG585" s="1" t="s">
        <v>74</v>
      </c>
      <c r="BH585" s="1" t="s">
        <v>2761</v>
      </c>
      <c r="BI585" s="1" t="s">
        <v>74</v>
      </c>
      <c r="BJ585" s="1" t="s">
        <v>74</v>
      </c>
      <c r="BK585" s="1" t="s">
        <v>74</v>
      </c>
      <c r="BL585" s="1" t="s">
        <v>74</v>
      </c>
      <c r="BM585" s="1" t="s">
        <v>74</v>
      </c>
      <c r="BN585" s="1" t="s">
        <v>74</v>
      </c>
      <c r="BO585" s="1" t="s">
        <v>74</v>
      </c>
      <c r="BP585" s="1" t="s">
        <v>74</v>
      </c>
      <c r="BQ585" s="1" t="s">
        <v>74</v>
      </c>
      <c r="BR585" s="1" t="s">
        <v>74</v>
      </c>
      <c r="BS585" s="1" t="s">
        <v>5045</v>
      </c>
      <c r="BT585" s="1" t="str">
        <f>HYPERLINK("https%3A%2F%2Fwww.webofscience.com%2Fwos%2Fwoscc%2Ffull-record%2FWOS:000546430100001","View Full Record in Web of Science")</f>
        <v>View Full Record in Web of Science</v>
      </c>
    </row>
    <row r="586" ht="12.75" customHeight="1">
      <c r="A586" s="1" t="s">
        <v>72</v>
      </c>
      <c r="B586" s="1" t="s">
        <v>5046</v>
      </c>
      <c r="C586" s="1" t="s">
        <v>74</v>
      </c>
      <c r="D586" s="1" t="s">
        <v>74</v>
      </c>
      <c r="E586" s="1" t="s">
        <v>74</v>
      </c>
      <c r="F586" s="1" t="s">
        <v>5047</v>
      </c>
      <c r="G586" s="1" t="s">
        <v>74</v>
      </c>
      <c r="H586" s="1" t="s">
        <v>74</v>
      </c>
      <c r="I586" s="1" t="s">
        <v>5048</v>
      </c>
      <c r="J586" s="1" t="s">
        <v>5049</v>
      </c>
      <c r="K586" s="1" t="s">
        <v>74</v>
      </c>
      <c r="L586" s="1" t="s">
        <v>74</v>
      </c>
      <c r="M586" s="1" t="s">
        <v>74</v>
      </c>
      <c r="N586" s="1" t="s">
        <v>74</v>
      </c>
      <c r="O586" s="1" t="s">
        <v>74</v>
      </c>
      <c r="P586" s="1" t="s">
        <v>74</v>
      </c>
      <c r="Q586" s="1" t="s">
        <v>74</v>
      </c>
      <c r="R586" s="1" t="s">
        <v>74</v>
      </c>
      <c r="S586" s="1" t="s">
        <v>74</v>
      </c>
      <c r="T586" s="1" t="s">
        <v>74</v>
      </c>
      <c r="U586" s="1" t="s">
        <v>74</v>
      </c>
      <c r="V586" s="1" t="s">
        <v>5050</v>
      </c>
      <c r="W586" s="1" t="s">
        <v>74</v>
      </c>
      <c r="X586" s="1" t="s">
        <v>74</v>
      </c>
      <c r="Y586" s="1" t="s">
        <v>74</v>
      </c>
      <c r="Z586" s="1" t="s">
        <v>74</v>
      </c>
      <c r="AA586" s="1" t="s">
        <v>4371</v>
      </c>
      <c r="AB586" s="1" t="s">
        <v>74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5051</v>
      </c>
      <c r="AP586" s="1" t="s">
        <v>5052</v>
      </c>
      <c r="AQ586" s="1" t="s">
        <v>74</v>
      </c>
      <c r="AR586" s="1" t="s">
        <v>74</v>
      </c>
      <c r="AS586" s="1" t="s">
        <v>74</v>
      </c>
      <c r="AT586" s="1" t="s">
        <v>5053</v>
      </c>
      <c r="AU586" s="1">
        <v>2020.0</v>
      </c>
      <c r="AV586" s="1" t="s">
        <v>74</v>
      </c>
      <c r="AW586" s="1">
        <v>106.0</v>
      </c>
      <c r="AX586" s="1" t="s">
        <v>74</v>
      </c>
      <c r="AY586" s="1" t="s">
        <v>74</v>
      </c>
      <c r="AZ586" s="1" t="s">
        <v>74</v>
      </c>
      <c r="BA586" s="1" t="s">
        <v>74</v>
      </c>
      <c r="BB586" s="1">
        <v>71.0</v>
      </c>
      <c r="BC586" s="1">
        <v>80.0</v>
      </c>
      <c r="BD586" s="1" t="s">
        <v>74</v>
      </c>
      <c r="BE586" s="1" t="s">
        <v>74</v>
      </c>
      <c r="BF586" s="1" t="s">
        <v>74</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5054</v>
      </c>
      <c r="BT586" s="1" t="str">
        <f>HYPERLINK("https%3A%2F%2Fwww.webofscience.com%2Fwos%2Fwoscc%2Ffull-record%2FWOS:000543384000008","View Full Record in Web of Science")</f>
        <v>View Full Record in Web of Science</v>
      </c>
    </row>
    <row r="587" ht="12.75" customHeight="1">
      <c r="A587" s="1" t="s">
        <v>72</v>
      </c>
      <c r="B587" s="1" t="s">
        <v>5055</v>
      </c>
      <c r="C587" s="1" t="s">
        <v>74</v>
      </c>
      <c r="D587" s="1" t="s">
        <v>74</v>
      </c>
      <c r="E587" s="1" t="s">
        <v>74</v>
      </c>
      <c r="F587" s="1" t="s">
        <v>5056</v>
      </c>
      <c r="G587" s="1" t="s">
        <v>74</v>
      </c>
      <c r="H587" s="1" t="s">
        <v>74</v>
      </c>
      <c r="I587" s="1" t="s">
        <v>5057</v>
      </c>
      <c r="J587" s="1" t="s">
        <v>5058</v>
      </c>
      <c r="K587" s="1" t="s">
        <v>74</v>
      </c>
      <c r="L587" s="1" t="s">
        <v>74</v>
      </c>
      <c r="M587" s="1" t="s">
        <v>74</v>
      </c>
      <c r="N587" s="1" t="s">
        <v>74</v>
      </c>
      <c r="O587" s="1" t="s">
        <v>74</v>
      </c>
      <c r="P587" s="1" t="s">
        <v>74</v>
      </c>
      <c r="Q587" s="1" t="s">
        <v>74</v>
      </c>
      <c r="R587" s="1" t="s">
        <v>74</v>
      </c>
      <c r="S587" s="1" t="s">
        <v>74</v>
      </c>
      <c r="T587" s="1" t="s">
        <v>74</v>
      </c>
      <c r="U587" s="1" t="s">
        <v>74</v>
      </c>
      <c r="V587" s="1" t="s">
        <v>5059</v>
      </c>
      <c r="W587" s="1" t="s">
        <v>74</v>
      </c>
      <c r="X587" s="1" t="s">
        <v>74</v>
      </c>
      <c r="Y587" s="1" t="s">
        <v>74</v>
      </c>
      <c r="Z587" s="1" t="s">
        <v>74</v>
      </c>
      <c r="AA587" s="1" t="s">
        <v>74</v>
      </c>
      <c r="AB587" s="1" t="s">
        <v>5060</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5061</v>
      </c>
      <c r="AP587" s="1" t="s">
        <v>5062</v>
      </c>
      <c r="AQ587" s="1" t="s">
        <v>74</v>
      </c>
      <c r="AR587" s="1" t="s">
        <v>74</v>
      </c>
      <c r="AS587" s="1" t="s">
        <v>74</v>
      </c>
      <c r="AT587" s="1" t="s">
        <v>818</v>
      </c>
      <c r="AU587" s="1">
        <v>2020.0</v>
      </c>
      <c r="AV587" s="1">
        <v>62.0</v>
      </c>
      <c r="AW587" s="1">
        <v>1.0</v>
      </c>
      <c r="AX587" s="1" t="s">
        <v>74</v>
      </c>
      <c r="AY587" s="1" t="s">
        <v>74</v>
      </c>
      <c r="AZ587" s="1" t="s">
        <v>74</v>
      </c>
      <c r="BA587" s="1" t="s">
        <v>74</v>
      </c>
      <c r="BB587" s="1">
        <v>121.0</v>
      </c>
      <c r="BC587" s="1">
        <v>141.0</v>
      </c>
      <c r="BD587" s="1" t="s">
        <v>5063</v>
      </c>
      <c r="BE587" s="1" t="s">
        <v>5064</v>
      </c>
      <c r="BF587" s="2" t="str">
        <f>HYPERLINK("http://dx.doi.org/10.1017/lap.2019.48","http://dx.doi.org/10.1017/lap.2019.48")</f>
        <v>http://dx.doi.org/10.1017/lap.2019.48</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5065</v>
      </c>
      <c r="BT587" s="1" t="str">
        <f>HYPERLINK("https%3A%2F%2Fwww.webofscience.com%2Fwos%2Fwoscc%2Ffull-record%2FWOS:000506196300006","View Full Record in Web of Science")</f>
        <v>View Full Record in Web of Science</v>
      </c>
    </row>
    <row r="588" ht="12.75" customHeight="1">
      <c r="A588" s="1" t="s">
        <v>105</v>
      </c>
      <c r="B588" s="1" t="s">
        <v>1904</v>
      </c>
      <c r="C588" s="1" t="s">
        <v>74</v>
      </c>
      <c r="D588" s="1" t="s">
        <v>74</v>
      </c>
      <c r="E588" s="1" t="s">
        <v>228</v>
      </c>
      <c r="F588" s="1" t="s">
        <v>1906</v>
      </c>
      <c r="G588" s="1" t="s">
        <v>74</v>
      </c>
      <c r="H588" s="1" t="s">
        <v>74</v>
      </c>
      <c r="I588" s="1" t="s">
        <v>5066</v>
      </c>
      <c r="J588" s="1" t="s">
        <v>1996</v>
      </c>
      <c r="K588" s="1" t="s">
        <v>74</v>
      </c>
      <c r="L588" s="1" t="s">
        <v>74</v>
      </c>
      <c r="M588" s="1" t="s">
        <v>74</v>
      </c>
      <c r="N588" s="1" t="s">
        <v>74</v>
      </c>
      <c r="O588" s="1" t="s">
        <v>74</v>
      </c>
      <c r="P588" s="1" t="s">
        <v>74</v>
      </c>
      <c r="Q588" s="1" t="s">
        <v>74</v>
      </c>
      <c r="R588" s="1" t="s">
        <v>74</v>
      </c>
      <c r="S588" s="1" t="s">
        <v>74</v>
      </c>
      <c r="T588" s="1" t="s">
        <v>74</v>
      </c>
      <c r="U588" s="1" t="s">
        <v>74</v>
      </c>
      <c r="V588" s="1" t="s">
        <v>74</v>
      </c>
      <c r="W588" s="1" t="s">
        <v>74</v>
      </c>
      <c r="X588" s="1" t="s">
        <v>74</v>
      </c>
      <c r="Y588" s="1" t="s">
        <v>74</v>
      </c>
      <c r="Z588" s="1" t="s">
        <v>74</v>
      </c>
      <c r="AA588" s="1" t="s">
        <v>74</v>
      </c>
      <c r="AB588" s="1" t="s">
        <v>74</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74</v>
      </c>
      <c r="AP588" s="1" t="s">
        <v>74</v>
      </c>
      <c r="AQ588" s="1" t="s">
        <v>1998</v>
      </c>
      <c r="AR588" s="1" t="s">
        <v>74</v>
      </c>
      <c r="AS588" s="1" t="s">
        <v>74</v>
      </c>
      <c r="AT588" s="1" t="s">
        <v>74</v>
      </c>
      <c r="AU588" s="1">
        <v>2020.0</v>
      </c>
      <c r="AV588" s="1" t="s">
        <v>74</v>
      </c>
      <c r="AW588" s="1" t="s">
        <v>74</v>
      </c>
      <c r="AX588" s="1" t="s">
        <v>74</v>
      </c>
      <c r="AY588" s="1" t="s">
        <v>74</v>
      </c>
      <c r="AZ588" s="1" t="s">
        <v>74</v>
      </c>
      <c r="BA588" s="1" t="s">
        <v>74</v>
      </c>
      <c r="BB588" s="1">
        <v>7.0</v>
      </c>
      <c r="BC588" s="1">
        <v>11.0</v>
      </c>
      <c r="BD588" s="1" t="s">
        <v>74</v>
      </c>
      <c r="BE588" s="1" t="s">
        <v>74</v>
      </c>
      <c r="BF588" s="1" t="s">
        <v>74</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5067</v>
      </c>
      <c r="BT588" s="1" t="str">
        <f>HYPERLINK("https%3A%2F%2Fwww.webofscience.com%2Fwos%2Fwoscc%2Ffull-record%2FWOS:000608874800001","View Full Record in Web of Science")</f>
        <v>View Full Record in Web of Science</v>
      </c>
    </row>
    <row r="589" ht="12.75" customHeight="1">
      <c r="A589" s="1" t="s">
        <v>72</v>
      </c>
      <c r="B589" s="1" t="s">
        <v>5068</v>
      </c>
      <c r="C589" s="1" t="s">
        <v>74</v>
      </c>
      <c r="D589" s="1" t="s">
        <v>74</v>
      </c>
      <c r="E589" s="1" t="s">
        <v>74</v>
      </c>
      <c r="F589" s="1" t="s">
        <v>5069</v>
      </c>
      <c r="G589" s="1" t="s">
        <v>74</v>
      </c>
      <c r="H589" s="1" t="s">
        <v>74</v>
      </c>
      <c r="I589" s="1" t="s">
        <v>5070</v>
      </c>
      <c r="J589" s="1" t="s">
        <v>5071</v>
      </c>
      <c r="K589" s="1" t="s">
        <v>74</v>
      </c>
      <c r="L589" s="1" t="s">
        <v>74</v>
      </c>
      <c r="M589" s="1" t="s">
        <v>74</v>
      </c>
      <c r="N589" s="1" t="s">
        <v>74</v>
      </c>
      <c r="O589" s="1" t="s">
        <v>74</v>
      </c>
      <c r="P589" s="1" t="s">
        <v>74</v>
      </c>
      <c r="Q589" s="1" t="s">
        <v>74</v>
      </c>
      <c r="R589" s="1" t="s">
        <v>74</v>
      </c>
      <c r="S589" s="1" t="s">
        <v>74</v>
      </c>
      <c r="T589" s="1" t="s">
        <v>74</v>
      </c>
      <c r="U589" s="1" t="s">
        <v>74</v>
      </c>
      <c r="V589" s="1" t="s">
        <v>5072</v>
      </c>
      <c r="W589" s="1" t="s">
        <v>74</v>
      </c>
      <c r="X589" s="1" t="s">
        <v>74</v>
      </c>
      <c r="Y589" s="1" t="s">
        <v>74</v>
      </c>
      <c r="Z589" s="1" t="s">
        <v>74</v>
      </c>
      <c r="AA589" s="1" t="s">
        <v>5073</v>
      </c>
      <c r="AB589" s="1" t="s">
        <v>5074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5075</v>
      </c>
      <c r="AP589" s="1" t="s">
        <v>5076</v>
      </c>
      <c r="AQ589" s="1" t="s">
        <v>74</v>
      </c>
      <c r="AR589" s="1" t="s">
        <v>74</v>
      </c>
      <c r="AS589" s="1" t="s">
        <v>74</v>
      </c>
      <c r="AT589" s="1" t="s">
        <v>974</v>
      </c>
      <c r="AU589" s="1">
        <v>2019.0</v>
      </c>
      <c r="AV589" s="1">
        <v>49.0</v>
      </c>
      <c r="AW589" s="1">
        <v>4.0</v>
      </c>
      <c r="AX589" s="1" t="s">
        <v>74</v>
      </c>
      <c r="AY589" s="1" t="s">
        <v>74</v>
      </c>
      <c r="AZ589" s="1" t="s">
        <v>159</v>
      </c>
      <c r="BA589" s="1" t="s">
        <v>74</v>
      </c>
      <c r="BB589" s="1">
        <v>1125.0</v>
      </c>
      <c r="BC589" s="1">
        <v>1139.0</v>
      </c>
      <c r="BD589" s="1" t="s">
        <v>74</v>
      </c>
      <c r="BE589" s="1" t="s">
        <v>5077</v>
      </c>
      <c r="BF589" s="2" t="str">
        <f>HYPERLINK("http://dx.doi.org/10.1007/s11165-019-9857-5","http://dx.doi.org/10.1007/s11165-019-9857-5")</f>
        <v>http://dx.doi.org/10.1007/s11165-019-9857-5</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5078</v>
      </c>
      <c r="BT589" s="1" t="str">
        <f>HYPERLINK("https%3A%2F%2Fwww.webofscience.com%2Fwos%2Fwoscc%2Ffull-record%2FWOS:000477042900013","View Full Record in Web of Science")</f>
        <v>View Full Record in Web of Science</v>
      </c>
    </row>
    <row r="590" ht="12.75" customHeight="1">
      <c r="A590" s="1" t="s">
        <v>72</v>
      </c>
      <c r="B590" s="1" t="s">
        <v>185</v>
      </c>
      <c r="C590" s="1" t="s">
        <v>74</v>
      </c>
      <c r="D590" s="1" t="s">
        <v>74</v>
      </c>
      <c r="E590" s="1" t="s">
        <v>74</v>
      </c>
      <c r="F590" s="1" t="s">
        <v>186</v>
      </c>
      <c r="G590" s="1" t="s">
        <v>74</v>
      </c>
      <c r="H590" s="1" t="s">
        <v>74</v>
      </c>
      <c r="I590" s="1" t="s">
        <v>5079</v>
      </c>
      <c r="J590" s="1" t="s">
        <v>2815</v>
      </c>
      <c r="K590" s="1" t="s">
        <v>74</v>
      </c>
      <c r="L590" s="1" t="s">
        <v>74</v>
      </c>
      <c r="M590" s="1" t="s">
        <v>74</v>
      </c>
      <c r="N590" s="1" t="s">
        <v>74</v>
      </c>
      <c r="O590" s="1" t="s">
        <v>74</v>
      </c>
      <c r="P590" s="1" t="s">
        <v>74</v>
      </c>
      <c r="Q590" s="1" t="s">
        <v>74</v>
      </c>
      <c r="R590" s="1" t="s">
        <v>74</v>
      </c>
      <c r="S590" s="1" t="s">
        <v>74</v>
      </c>
      <c r="T590" s="1" t="s">
        <v>74</v>
      </c>
      <c r="U590" s="1" t="s">
        <v>74</v>
      </c>
      <c r="V590" s="1" t="s">
        <v>5080</v>
      </c>
      <c r="W590" s="1" t="s">
        <v>74</v>
      </c>
      <c r="X590" s="1" t="s">
        <v>74</v>
      </c>
      <c r="Y590" s="1" t="s">
        <v>74</v>
      </c>
      <c r="Z590" s="1" t="s">
        <v>74</v>
      </c>
      <c r="AA590" s="1" t="s">
        <v>74</v>
      </c>
      <c r="AB590" s="1" t="s">
        <v>190</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2817</v>
      </c>
      <c r="AP590" s="1" t="s">
        <v>2818</v>
      </c>
      <c r="AQ590" s="1" t="s">
        <v>74</v>
      </c>
      <c r="AR590" s="1" t="s">
        <v>74</v>
      </c>
      <c r="AS590" s="1" t="s">
        <v>74</v>
      </c>
      <c r="AT590" s="1" t="s">
        <v>2819</v>
      </c>
      <c r="AU590" s="1">
        <v>2019.0</v>
      </c>
      <c r="AV590" s="1">
        <v>23.0</v>
      </c>
      <c r="AW590" s="1">
        <v>2.0</v>
      </c>
      <c r="AX590" s="1" t="s">
        <v>74</v>
      </c>
      <c r="AY590" s="1" t="s">
        <v>74</v>
      </c>
      <c r="AZ590" s="1" t="s">
        <v>74</v>
      </c>
      <c r="BA590" s="1" t="s">
        <v>74</v>
      </c>
      <c r="BB590" s="1">
        <v>231.0</v>
      </c>
      <c r="BC590" s="1">
        <v>241.0</v>
      </c>
      <c r="BD590" s="1" t="s">
        <v>74</v>
      </c>
      <c r="BE590" s="1" t="s">
        <v>5081</v>
      </c>
      <c r="BF590" s="2" t="str">
        <f>HYPERLINK("http://dx.doi.org/10.4013/hist.2019.232.08","http://dx.doi.org/10.4013/hist.2019.232.08")</f>
        <v>http://dx.doi.org/10.4013/hist.2019.232.08</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5082</v>
      </c>
      <c r="BT590" s="1" t="str">
        <f>HYPERLINK("https%3A%2F%2Fwww.webofscience.com%2Fwos%2Fwoscc%2Ffull-record%2FWOS:000474689800009","View Full Record in Web of Science")</f>
        <v>View Full Record in Web of Science</v>
      </c>
    </row>
    <row r="591" ht="12.75" customHeight="1">
      <c r="A591" s="1" t="s">
        <v>72</v>
      </c>
      <c r="B591" s="1" t="s">
        <v>5083</v>
      </c>
      <c r="C591" s="1" t="s">
        <v>74</v>
      </c>
      <c r="D591" s="1" t="s">
        <v>74</v>
      </c>
      <c r="E591" s="1" t="s">
        <v>74</v>
      </c>
      <c r="F591" s="1" t="s">
        <v>5084</v>
      </c>
      <c r="G591" s="1" t="s">
        <v>74</v>
      </c>
      <c r="H591" s="1" t="s">
        <v>74</v>
      </c>
      <c r="I591" s="1" t="s">
        <v>5085</v>
      </c>
      <c r="J591" s="1" t="s">
        <v>5086</v>
      </c>
      <c r="K591" s="1" t="s">
        <v>74</v>
      </c>
      <c r="L591" s="1" t="s">
        <v>74</v>
      </c>
      <c r="M591" s="1" t="s">
        <v>74</v>
      </c>
      <c r="N591" s="1" t="s">
        <v>74</v>
      </c>
      <c r="O591" s="1" t="s">
        <v>74</v>
      </c>
      <c r="P591" s="1" t="s">
        <v>74</v>
      </c>
      <c r="Q591" s="1" t="s">
        <v>74</v>
      </c>
      <c r="R591" s="1" t="s">
        <v>74</v>
      </c>
      <c r="S591" s="1" t="s">
        <v>74</v>
      </c>
      <c r="T591" s="1" t="s">
        <v>74</v>
      </c>
      <c r="U591" s="1" t="s">
        <v>74</v>
      </c>
      <c r="V591" s="1" t="s">
        <v>5087</v>
      </c>
      <c r="W591" s="1" t="s">
        <v>74</v>
      </c>
      <c r="X591" s="1" t="s">
        <v>74</v>
      </c>
      <c r="Y591" s="1" t="s">
        <v>74</v>
      </c>
      <c r="Z591" s="1" t="s">
        <v>74</v>
      </c>
      <c r="AA591" s="1" t="s">
        <v>5088</v>
      </c>
      <c r="AB591" s="1" t="s">
        <v>74</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5089</v>
      </c>
      <c r="AP591" s="1" t="s">
        <v>5090</v>
      </c>
      <c r="AQ591" s="1" t="s">
        <v>74</v>
      </c>
      <c r="AR591" s="1" t="s">
        <v>74</v>
      </c>
      <c r="AS591" s="1" t="s">
        <v>74</v>
      </c>
      <c r="AT591" s="1" t="s">
        <v>74</v>
      </c>
      <c r="AU591" s="1">
        <v>2019.0</v>
      </c>
      <c r="AV591" s="1">
        <v>55.0</v>
      </c>
      <c r="AW591" s="1">
        <v>3.0</v>
      </c>
      <c r="AX591" s="1" t="s">
        <v>74</v>
      </c>
      <c r="AY591" s="1" t="s">
        <v>74</v>
      </c>
      <c r="AZ591" s="1" t="s">
        <v>74</v>
      </c>
      <c r="BA591" s="1" t="s">
        <v>74</v>
      </c>
      <c r="BB591" s="1">
        <v>617.0</v>
      </c>
      <c r="BC591" s="1">
        <v>630.0</v>
      </c>
      <c r="BD591" s="1" t="s">
        <v>74</v>
      </c>
      <c r="BE591" s="1" t="s">
        <v>5091</v>
      </c>
      <c r="BF591" s="2" t="str">
        <f>HYPERLINK("http://dx.doi.org/10.5277/ppmp18174","http://dx.doi.org/10.5277/ppmp18174")</f>
        <v>http://dx.doi.org/10.5277/ppmp18174</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5092</v>
      </c>
      <c r="BT591" s="1" t="str">
        <f>HYPERLINK("https%3A%2F%2Fwww.webofscience.com%2Fwos%2Fwoscc%2Ffull-record%2FWOS:000468352000003","View Full Record in Web of Science")</f>
        <v>View Full Record in Web of Science</v>
      </c>
    </row>
    <row r="592" ht="12.75" customHeight="1">
      <c r="A592" s="1" t="s">
        <v>72</v>
      </c>
      <c r="B592" s="1" t="s">
        <v>5093</v>
      </c>
      <c r="C592" s="1" t="s">
        <v>74</v>
      </c>
      <c r="D592" s="1" t="s">
        <v>74</v>
      </c>
      <c r="E592" s="1" t="s">
        <v>74</v>
      </c>
      <c r="F592" s="1" t="s">
        <v>5094</v>
      </c>
      <c r="G592" s="1" t="s">
        <v>74</v>
      </c>
      <c r="H592" s="1" t="s">
        <v>74</v>
      </c>
      <c r="I592" s="1" t="s">
        <v>5095</v>
      </c>
      <c r="J592" s="1" t="s">
        <v>5096</v>
      </c>
      <c r="K592" s="1" t="s">
        <v>74</v>
      </c>
      <c r="L592" s="1" t="s">
        <v>74</v>
      </c>
      <c r="M592" s="1" t="s">
        <v>74</v>
      </c>
      <c r="N592" s="1" t="s">
        <v>74</v>
      </c>
      <c r="O592" s="1" t="s">
        <v>74</v>
      </c>
      <c r="P592" s="1" t="s">
        <v>74</v>
      </c>
      <c r="Q592" s="1" t="s">
        <v>74</v>
      </c>
      <c r="R592" s="1" t="s">
        <v>74</v>
      </c>
      <c r="S592" s="1" t="s">
        <v>74</v>
      </c>
      <c r="T592" s="1" t="s">
        <v>74</v>
      </c>
      <c r="U592" s="1" t="s">
        <v>74</v>
      </c>
      <c r="V592" s="1" t="s">
        <v>5097</v>
      </c>
      <c r="W592" s="1" t="s">
        <v>74</v>
      </c>
      <c r="X592" s="1" t="s">
        <v>74</v>
      </c>
      <c r="Y592" s="1" t="s">
        <v>74</v>
      </c>
      <c r="Z592" s="1" t="s">
        <v>74</v>
      </c>
      <c r="AA592" s="1" t="s">
        <v>5098</v>
      </c>
      <c r="AB592" s="1" t="s">
        <v>5099</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5100</v>
      </c>
      <c r="AP592" s="1" t="s">
        <v>5101</v>
      </c>
      <c r="AQ592" s="1" t="s">
        <v>74</v>
      </c>
      <c r="AR592" s="1" t="s">
        <v>74</v>
      </c>
      <c r="AS592" s="1" t="s">
        <v>74</v>
      </c>
      <c r="AT592" s="1" t="s">
        <v>91</v>
      </c>
      <c r="AU592" s="1">
        <v>2018.0</v>
      </c>
      <c r="AV592" s="1">
        <v>18.0</v>
      </c>
      <c r="AW592" s="1">
        <v>3.0</v>
      </c>
      <c r="AX592" s="1" t="s">
        <v>74</v>
      </c>
      <c r="AY592" s="1" t="s">
        <v>74</v>
      </c>
      <c r="AZ592" s="1" t="s">
        <v>74</v>
      </c>
      <c r="BA592" s="1" t="s">
        <v>74</v>
      </c>
      <c r="BB592" s="1">
        <v>606.0</v>
      </c>
      <c r="BC592" s="1">
        <v>631.0</v>
      </c>
      <c r="BD592" s="1" t="s">
        <v>74</v>
      </c>
      <c r="BE592" s="1" t="s">
        <v>5102</v>
      </c>
      <c r="BF592" s="2" t="str">
        <f>HYPERLINK("http://dx.doi.org/10.1111/joac.12241","http://dx.doi.org/10.1111/joac.12241")</f>
        <v>http://dx.doi.org/10.1111/joac.12241</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5103</v>
      </c>
      <c r="BT592" s="1" t="str">
        <f>HYPERLINK("https%3A%2F%2Fwww.webofscience.com%2Fwos%2Fwoscc%2Ffull-record%2FWOS:000435939700007","View Full Record in Web of Science")</f>
        <v>View Full Record in Web of Science</v>
      </c>
    </row>
    <row r="593" ht="12.75" customHeight="1">
      <c r="A593" s="1" t="s">
        <v>72</v>
      </c>
      <c r="B593" s="1" t="s">
        <v>5104</v>
      </c>
      <c r="C593" s="1" t="s">
        <v>74</v>
      </c>
      <c r="D593" s="1" t="s">
        <v>74</v>
      </c>
      <c r="E593" s="1" t="s">
        <v>74</v>
      </c>
      <c r="F593" s="1" t="s">
        <v>5105</v>
      </c>
      <c r="G593" s="1" t="s">
        <v>74</v>
      </c>
      <c r="H593" s="1" t="s">
        <v>74</v>
      </c>
      <c r="I593" s="1" t="s">
        <v>5106</v>
      </c>
      <c r="J593" s="1" t="s">
        <v>5107</v>
      </c>
      <c r="K593" s="1" t="s">
        <v>74</v>
      </c>
      <c r="L593" s="1" t="s">
        <v>74</v>
      </c>
      <c r="M593" s="1" t="s">
        <v>74</v>
      </c>
      <c r="N593" s="1" t="s">
        <v>74</v>
      </c>
      <c r="O593" s="1" t="s">
        <v>74</v>
      </c>
      <c r="P593" s="1" t="s">
        <v>74</v>
      </c>
      <c r="Q593" s="1" t="s">
        <v>74</v>
      </c>
      <c r="R593" s="1" t="s">
        <v>74</v>
      </c>
      <c r="S593" s="1" t="s">
        <v>74</v>
      </c>
      <c r="T593" s="1" t="s">
        <v>74</v>
      </c>
      <c r="U593" s="1" t="s">
        <v>74</v>
      </c>
      <c r="V593" s="1" t="s">
        <v>5108</v>
      </c>
      <c r="W593" s="1" t="s">
        <v>74</v>
      </c>
      <c r="X593" s="1" t="s">
        <v>74</v>
      </c>
      <c r="Y593" s="1" t="s">
        <v>74</v>
      </c>
      <c r="Z593" s="1" t="s">
        <v>74</v>
      </c>
      <c r="AA593" s="1" t="s">
        <v>74</v>
      </c>
      <c r="AB593" s="1" t="s">
        <v>5109</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5110</v>
      </c>
      <c r="AP593" s="1" t="s">
        <v>5111</v>
      </c>
      <c r="AQ593" s="1" t="s">
        <v>74</v>
      </c>
      <c r="AR593" s="1" t="s">
        <v>74</v>
      </c>
      <c r="AS593" s="1" t="s">
        <v>74</v>
      </c>
      <c r="AT593" s="1" t="s">
        <v>158</v>
      </c>
      <c r="AU593" s="1">
        <v>2017.0</v>
      </c>
      <c r="AV593" s="1">
        <v>7.0</v>
      </c>
      <c r="AW593" s="1">
        <v>3.0</v>
      </c>
      <c r="AX593" s="1" t="s">
        <v>74</v>
      </c>
      <c r="AY593" s="1" t="s">
        <v>74</v>
      </c>
      <c r="AZ593" s="1" t="s">
        <v>74</v>
      </c>
      <c r="BA593" s="1" t="s">
        <v>74</v>
      </c>
      <c r="BB593" s="1">
        <v>515.0</v>
      </c>
      <c r="BC593" s="1">
        <v>522.0</v>
      </c>
      <c r="BD593" s="1" t="s">
        <v>74</v>
      </c>
      <c r="BE593" s="1" t="s">
        <v>5112</v>
      </c>
      <c r="BF593" s="2" t="str">
        <f>HYPERLINK("http://dx.doi.org/10.1557/mrc.2017.71","http://dx.doi.org/10.1557/mrc.2017.71")</f>
        <v>http://dx.doi.org/10.1557/mrc.2017.71</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5113</v>
      </c>
      <c r="BT593" s="1" t="str">
        <f>HYPERLINK("https%3A%2F%2Fwww.webofscience.com%2Fwos%2Fwoscc%2Ffull-record%2FWOS:000412602400022","View Full Record in Web of Science")</f>
        <v>View Full Record in Web of Science</v>
      </c>
    </row>
    <row r="594" ht="12.75" customHeight="1">
      <c r="A594" s="1" t="s">
        <v>72</v>
      </c>
      <c r="B594" s="1" t="s">
        <v>5114</v>
      </c>
      <c r="C594" s="1" t="s">
        <v>74</v>
      </c>
      <c r="D594" s="1" t="s">
        <v>74</v>
      </c>
      <c r="E594" s="1" t="s">
        <v>74</v>
      </c>
      <c r="F594" s="1" t="s">
        <v>5115</v>
      </c>
      <c r="G594" s="1" t="s">
        <v>74</v>
      </c>
      <c r="H594" s="1" t="s">
        <v>74</v>
      </c>
      <c r="I594" s="1" t="s">
        <v>5116</v>
      </c>
      <c r="J594" s="1" t="s">
        <v>4291</v>
      </c>
      <c r="K594" s="1" t="s">
        <v>74</v>
      </c>
      <c r="L594" s="1" t="s">
        <v>74</v>
      </c>
      <c r="M594" s="1" t="s">
        <v>74</v>
      </c>
      <c r="N594" s="1" t="s">
        <v>74</v>
      </c>
      <c r="O594" s="1" t="s">
        <v>74</v>
      </c>
      <c r="P594" s="1" t="s">
        <v>74</v>
      </c>
      <c r="Q594" s="1" t="s">
        <v>74</v>
      </c>
      <c r="R594" s="1" t="s">
        <v>74</v>
      </c>
      <c r="S594" s="1" t="s">
        <v>74</v>
      </c>
      <c r="T594" s="1" t="s">
        <v>74</v>
      </c>
      <c r="U594" s="1" t="s">
        <v>74</v>
      </c>
      <c r="V594" s="1" t="s">
        <v>5117</v>
      </c>
      <c r="W594" s="1" t="s">
        <v>74</v>
      </c>
      <c r="X594" s="1" t="s">
        <v>74</v>
      </c>
      <c r="Y594" s="1" t="s">
        <v>74</v>
      </c>
      <c r="Z594" s="1" t="s">
        <v>74</v>
      </c>
      <c r="AA594" s="1" t="s">
        <v>4529</v>
      </c>
      <c r="AB594" s="1" t="s">
        <v>4530</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4294</v>
      </c>
      <c r="AP594" s="1" t="s">
        <v>4295</v>
      </c>
      <c r="AQ594" s="1" t="s">
        <v>74</v>
      </c>
      <c r="AR594" s="1" t="s">
        <v>74</v>
      </c>
      <c r="AS594" s="1" t="s">
        <v>74</v>
      </c>
      <c r="AT594" s="1" t="s">
        <v>818</v>
      </c>
      <c r="AU594" s="1">
        <v>2017.0</v>
      </c>
      <c r="AV594" s="1">
        <v>12.0</v>
      </c>
      <c r="AW594" s="1">
        <v>1.0</v>
      </c>
      <c r="AX594" s="1" t="s">
        <v>74</v>
      </c>
      <c r="AY594" s="1" t="s">
        <v>74</v>
      </c>
      <c r="AZ594" s="1" t="s">
        <v>74</v>
      </c>
      <c r="BA594" s="1" t="s">
        <v>74</v>
      </c>
      <c r="BB594" s="1">
        <v>41.0</v>
      </c>
      <c r="BC594" s="1">
        <v>52.0</v>
      </c>
      <c r="BD594" s="1" t="s">
        <v>74</v>
      </c>
      <c r="BE594" s="1" t="s">
        <v>74</v>
      </c>
      <c r="BF594" s="1" t="s">
        <v>74</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5118</v>
      </c>
      <c r="BT594" s="1" t="str">
        <f>HYPERLINK("https%3A%2F%2Fwww.webofscience.com%2Fwos%2Fwoscc%2Ffull-record%2FWOS:000390587600003","View Full Record in Web of Science")</f>
        <v>View Full Record in Web of Science</v>
      </c>
    </row>
    <row r="595" ht="12.75" customHeight="1">
      <c r="A595" s="1" t="s">
        <v>72</v>
      </c>
      <c r="B595" s="1" t="s">
        <v>5119</v>
      </c>
      <c r="C595" s="1" t="s">
        <v>74</v>
      </c>
      <c r="D595" s="1" t="s">
        <v>74</v>
      </c>
      <c r="E595" s="1" t="s">
        <v>74</v>
      </c>
      <c r="F595" s="1" t="s">
        <v>5120</v>
      </c>
      <c r="G595" s="1" t="s">
        <v>74</v>
      </c>
      <c r="H595" s="1" t="s">
        <v>74</v>
      </c>
      <c r="I595" s="1" t="s">
        <v>5121</v>
      </c>
      <c r="J595" s="1" t="s">
        <v>5122</v>
      </c>
      <c r="K595" s="1" t="s">
        <v>74</v>
      </c>
      <c r="L595" s="1" t="s">
        <v>74</v>
      </c>
      <c r="M595" s="1" t="s">
        <v>74</v>
      </c>
      <c r="N595" s="1" t="s">
        <v>74</v>
      </c>
      <c r="O595" s="1" t="s">
        <v>74</v>
      </c>
      <c r="P595" s="1" t="s">
        <v>74</v>
      </c>
      <c r="Q595" s="1" t="s">
        <v>74</v>
      </c>
      <c r="R595" s="1" t="s">
        <v>74</v>
      </c>
      <c r="S595" s="1" t="s">
        <v>74</v>
      </c>
      <c r="T595" s="1" t="s">
        <v>74</v>
      </c>
      <c r="U595" s="1" t="s">
        <v>74</v>
      </c>
      <c r="V595" s="1" t="s">
        <v>5123</v>
      </c>
      <c r="W595" s="1" t="s">
        <v>74</v>
      </c>
      <c r="X595" s="1" t="s">
        <v>74</v>
      </c>
      <c r="Y595" s="1" t="s">
        <v>74</v>
      </c>
      <c r="Z595" s="1" t="s">
        <v>74</v>
      </c>
      <c r="AA595" s="1" t="s">
        <v>1181</v>
      </c>
      <c r="AB595" s="1" t="s">
        <v>74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5124</v>
      </c>
      <c r="AP595" s="1" t="s">
        <v>5125</v>
      </c>
      <c r="AQ595" s="1" t="s">
        <v>74</v>
      </c>
      <c r="AR595" s="1" t="s">
        <v>74</v>
      </c>
      <c r="AS595" s="1" t="s">
        <v>74</v>
      </c>
      <c r="AT595" s="1" t="s">
        <v>74</v>
      </c>
      <c r="AU595" s="1">
        <v>2017.0</v>
      </c>
      <c r="AV595" s="1" t="s">
        <v>74</v>
      </c>
      <c r="AW595" s="1" t="s">
        <v>74</v>
      </c>
      <c r="AX595" s="1" t="s">
        <v>74</v>
      </c>
      <c r="AY595" s="1" t="s">
        <v>74</v>
      </c>
      <c r="AZ595" s="1" t="s">
        <v>74</v>
      </c>
      <c r="BA595" s="1" t="s">
        <v>74</v>
      </c>
      <c r="BB595" s="1" t="s">
        <v>74</v>
      </c>
      <c r="BC595" s="1" t="s">
        <v>74</v>
      </c>
      <c r="BD595" s="1">
        <v>3742183.0</v>
      </c>
      <c r="BE595" s="1" t="s">
        <v>5126</v>
      </c>
      <c r="BF595" s="2" t="str">
        <f>HYPERLINK("http://dx.doi.org/10.1155/2017/3742183","http://dx.doi.org/10.1155/2017/3742183")</f>
        <v>http://dx.doi.org/10.1155/2017/3742183</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5127</v>
      </c>
      <c r="BT595" s="1" t="str">
        <f>HYPERLINK("https%3A%2F%2Fwww.webofscience.com%2Fwos%2Fwoscc%2Ffull-record%2FWOS:000413008500001","View Full Record in Web of Science")</f>
        <v>View Full Record in Web of Science</v>
      </c>
    </row>
    <row r="596" ht="12.75" customHeight="1">
      <c r="A596" s="1" t="s">
        <v>126</v>
      </c>
      <c r="B596" s="1" t="s">
        <v>5128</v>
      </c>
      <c r="C596" s="1" t="s">
        <v>74</v>
      </c>
      <c r="D596" s="1" t="s">
        <v>74</v>
      </c>
      <c r="E596" s="1" t="s">
        <v>128</v>
      </c>
      <c r="F596" s="1" t="s">
        <v>5129</v>
      </c>
      <c r="G596" s="1" t="s">
        <v>74</v>
      </c>
      <c r="H596" s="1" t="s">
        <v>74</v>
      </c>
      <c r="I596" s="1" t="s">
        <v>5130</v>
      </c>
      <c r="J596" s="1" t="s">
        <v>3781</v>
      </c>
      <c r="K596" s="1" t="s">
        <v>74</v>
      </c>
      <c r="L596" s="1" t="s">
        <v>74</v>
      </c>
      <c r="M596" s="1" t="s">
        <v>74</v>
      </c>
      <c r="N596" s="1" t="s">
        <v>74</v>
      </c>
      <c r="O596" s="1" t="s">
        <v>3782</v>
      </c>
      <c r="P596" s="1" t="s">
        <v>1256</v>
      </c>
      <c r="Q596" s="1" t="s">
        <v>502</v>
      </c>
      <c r="R596" s="1" t="s">
        <v>3783</v>
      </c>
      <c r="S596" s="1" t="s">
        <v>74</v>
      </c>
      <c r="T596" s="1" t="s">
        <v>74</v>
      </c>
      <c r="U596" s="1" t="s">
        <v>74</v>
      </c>
      <c r="V596" s="1" t="s">
        <v>5131</v>
      </c>
      <c r="W596" s="1" t="s">
        <v>74</v>
      </c>
      <c r="X596" s="1" t="s">
        <v>74</v>
      </c>
      <c r="Y596" s="1" t="s">
        <v>74</v>
      </c>
      <c r="Z596" s="1" t="s">
        <v>74</v>
      </c>
      <c r="AA596" s="1" t="s">
        <v>137</v>
      </c>
      <c r="AB596" s="1" t="s">
        <v>5132</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74</v>
      </c>
      <c r="AP596" s="1" t="s">
        <v>74</v>
      </c>
      <c r="AQ596" s="1" t="s">
        <v>3785</v>
      </c>
      <c r="AR596" s="1" t="s">
        <v>74</v>
      </c>
      <c r="AS596" s="1" t="s">
        <v>74</v>
      </c>
      <c r="AT596" s="1" t="s">
        <v>74</v>
      </c>
      <c r="AU596" s="1">
        <v>2017.0</v>
      </c>
      <c r="AV596" s="1" t="s">
        <v>74</v>
      </c>
      <c r="AW596" s="1" t="s">
        <v>74</v>
      </c>
      <c r="AX596" s="1" t="s">
        <v>74</v>
      </c>
      <c r="AY596" s="1" t="s">
        <v>74</v>
      </c>
      <c r="AZ596" s="1" t="s">
        <v>74</v>
      </c>
      <c r="BA596" s="1" t="s">
        <v>74</v>
      </c>
      <c r="BB596" s="1" t="s">
        <v>74</v>
      </c>
      <c r="BC596" s="1" t="s">
        <v>74</v>
      </c>
      <c r="BD596" s="1" t="s">
        <v>74</v>
      </c>
      <c r="BE596" s="1" t="s">
        <v>74</v>
      </c>
      <c r="BF596" s="1" t="s">
        <v>74</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5133</v>
      </c>
      <c r="BT596" s="1" t="str">
        <f>HYPERLINK("https%3A%2F%2Fwww.webofscience.com%2Fwos%2Fwoscc%2Ffull-record%2FWOS:000425925000150","View Full Record in Web of Science")</f>
        <v>View Full Record in Web of Science</v>
      </c>
    </row>
    <row r="597" ht="12.75" customHeight="1">
      <c r="A597" s="1" t="s">
        <v>72</v>
      </c>
      <c r="B597" s="1" t="s">
        <v>394</v>
      </c>
      <c r="C597" s="1" t="s">
        <v>74</v>
      </c>
      <c r="D597" s="1" t="s">
        <v>74</v>
      </c>
      <c r="E597" s="1" t="s">
        <v>74</v>
      </c>
      <c r="F597" s="1" t="s">
        <v>5134</v>
      </c>
      <c r="G597" s="1" t="s">
        <v>74</v>
      </c>
      <c r="H597" s="1" t="s">
        <v>74</v>
      </c>
      <c r="I597" s="1" t="s">
        <v>5135</v>
      </c>
      <c r="J597" s="1" t="s">
        <v>4352</v>
      </c>
      <c r="K597" s="1" t="s">
        <v>74</v>
      </c>
      <c r="L597" s="1" t="s">
        <v>74</v>
      </c>
      <c r="M597" s="1" t="s">
        <v>74</v>
      </c>
      <c r="N597" s="1" t="s">
        <v>74</v>
      </c>
      <c r="O597" s="1" t="s">
        <v>74</v>
      </c>
      <c r="P597" s="1" t="s">
        <v>74</v>
      </c>
      <c r="Q597" s="1" t="s">
        <v>74</v>
      </c>
      <c r="R597" s="1" t="s">
        <v>74</v>
      </c>
      <c r="S597" s="1" t="s">
        <v>74</v>
      </c>
      <c r="T597" s="1" t="s">
        <v>74</v>
      </c>
      <c r="U597" s="1" t="s">
        <v>74</v>
      </c>
      <c r="V597" s="1" t="s">
        <v>5136</v>
      </c>
      <c r="W597" s="1" t="s">
        <v>74</v>
      </c>
      <c r="X597" s="1" t="s">
        <v>74</v>
      </c>
      <c r="Y597" s="1" t="s">
        <v>74</v>
      </c>
      <c r="Z597" s="1" t="s">
        <v>74</v>
      </c>
      <c r="AA597" s="1" t="s">
        <v>284</v>
      </c>
      <c r="AB597" s="1" t="s">
        <v>398</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4355</v>
      </c>
      <c r="AP597" s="1" t="s">
        <v>4356</v>
      </c>
      <c r="AQ597" s="1" t="s">
        <v>74</v>
      </c>
      <c r="AR597" s="1" t="s">
        <v>74</v>
      </c>
      <c r="AS597" s="1" t="s">
        <v>74</v>
      </c>
      <c r="AT597" s="1" t="s">
        <v>410</v>
      </c>
      <c r="AU597" s="1">
        <v>2016.0</v>
      </c>
      <c r="AV597" s="1">
        <v>56.0</v>
      </c>
      <c r="AW597" s="1" t="s">
        <v>74</v>
      </c>
      <c r="AX597" s="1" t="s">
        <v>74</v>
      </c>
      <c r="AY597" s="1" t="s">
        <v>74</v>
      </c>
      <c r="AZ597" s="1" t="s">
        <v>74</v>
      </c>
      <c r="BA597" s="1" t="s">
        <v>74</v>
      </c>
      <c r="BB597" s="1">
        <v>648.0</v>
      </c>
      <c r="BC597" s="1">
        <v>658.0</v>
      </c>
      <c r="BD597" s="1" t="s">
        <v>74</v>
      </c>
      <c r="BE597" s="1" t="s">
        <v>5137</v>
      </c>
      <c r="BF597" s="2" t="str">
        <f>HYPERLINK("http://dx.doi.org/10.1016/j.compeleceng.2016.01.020","http://dx.doi.org/10.1016/j.compeleceng.2016.01.020")</f>
        <v>http://dx.doi.org/10.1016/j.compeleceng.2016.01.020</v>
      </c>
      <c r="BG597" s="1" t="s">
        <v>74</v>
      </c>
      <c r="BH597" s="1" t="s">
        <v>74</v>
      </c>
      <c r="BI597" s="1" t="s">
        <v>74</v>
      </c>
      <c r="BJ597" s="1" t="s">
        <v>74</v>
      </c>
      <c r="BK597" s="1" t="s">
        <v>74</v>
      </c>
      <c r="BL597" s="1" t="s">
        <v>74</v>
      </c>
      <c r="BM597" s="1" t="s">
        <v>74</v>
      </c>
      <c r="BN597" s="1" t="s">
        <v>74</v>
      </c>
      <c r="BO597" s="1" t="s">
        <v>74</v>
      </c>
      <c r="BP597" s="1" t="s">
        <v>74</v>
      </c>
      <c r="BQ597" s="1" t="s">
        <v>74</v>
      </c>
      <c r="BR597" s="1" t="s">
        <v>74</v>
      </c>
      <c r="BS597" s="1" t="s">
        <v>5138</v>
      </c>
      <c r="BT597" s="1" t="str">
        <f>HYPERLINK("https%3A%2F%2Fwww.webofscience.com%2Fwos%2Fwoscc%2Ffull-record%2FWOS:000390640700046","View Full Record in Web of Science")</f>
        <v>View Full Record in Web of Science</v>
      </c>
    </row>
    <row r="598" ht="12.75" customHeight="1">
      <c r="A598" s="1" t="s">
        <v>72</v>
      </c>
      <c r="B598" s="1" t="s">
        <v>5139</v>
      </c>
      <c r="C598" s="1" t="s">
        <v>74</v>
      </c>
      <c r="D598" s="1" t="s">
        <v>74</v>
      </c>
      <c r="E598" s="1" t="s">
        <v>74</v>
      </c>
      <c r="F598" s="1" t="s">
        <v>5140</v>
      </c>
      <c r="G598" s="1" t="s">
        <v>74</v>
      </c>
      <c r="H598" s="1" t="s">
        <v>74</v>
      </c>
      <c r="I598" s="1" t="s">
        <v>5141</v>
      </c>
      <c r="J598" s="1" t="s">
        <v>5142</v>
      </c>
      <c r="K598" s="1" t="s">
        <v>74</v>
      </c>
      <c r="L598" s="1" t="s">
        <v>74</v>
      </c>
      <c r="M598" s="1" t="s">
        <v>74</v>
      </c>
      <c r="N598" s="1" t="s">
        <v>74</v>
      </c>
      <c r="O598" s="1" t="s">
        <v>74</v>
      </c>
      <c r="P598" s="1" t="s">
        <v>74</v>
      </c>
      <c r="Q598" s="1" t="s">
        <v>74</v>
      </c>
      <c r="R598" s="1" t="s">
        <v>74</v>
      </c>
      <c r="S598" s="1" t="s">
        <v>74</v>
      </c>
      <c r="T598" s="1" t="s">
        <v>74</v>
      </c>
      <c r="U598" s="1" t="s">
        <v>74</v>
      </c>
      <c r="V598" s="1" t="s">
        <v>5143</v>
      </c>
      <c r="W598" s="1" t="s">
        <v>74</v>
      </c>
      <c r="X598" s="1" t="s">
        <v>74</v>
      </c>
      <c r="Y598" s="1" t="s">
        <v>74</v>
      </c>
      <c r="Z598" s="1" t="s">
        <v>74</v>
      </c>
      <c r="AA598" s="1" t="s">
        <v>5144</v>
      </c>
      <c r="AB598" s="1" t="s">
        <v>5145</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5146</v>
      </c>
      <c r="AP598" s="1" t="s">
        <v>74</v>
      </c>
      <c r="AQ598" s="1" t="s">
        <v>74</v>
      </c>
      <c r="AR598" s="1" t="s">
        <v>74</v>
      </c>
      <c r="AS598" s="1" t="s">
        <v>74</v>
      </c>
      <c r="AT598" s="1" t="s">
        <v>823</v>
      </c>
      <c r="AU598" s="1">
        <v>2016.0</v>
      </c>
      <c r="AV598" s="1">
        <v>11.0</v>
      </c>
      <c r="AW598" s="1">
        <v>8.0</v>
      </c>
      <c r="AX598" s="1" t="s">
        <v>74</v>
      </c>
      <c r="AY598" s="1" t="s">
        <v>74</v>
      </c>
      <c r="AZ598" s="1" t="s">
        <v>74</v>
      </c>
      <c r="BA598" s="1" t="s">
        <v>74</v>
      </c>
      <c r="BB598" s="1" t="s">
        <v>74</v>
      </c>
      <c r="BC598" s="1" t="s">
        <v>74</v>
      </c>
      <c r="BD598" s="1" t="s">
        <v>5147</v>
      </c>
      <c r="BE598" s="1" t="s">
        <v>5148</v>
      </c>
      <c r="BF598" s="2" t="str">
        <f>HYPERLINK("http://dx.doi.org/10.1371/journal.pone.0160399","http://dx.doi.org/10.1371/journal.pone.0160399")</f>
        <v>http://dx.doi.org/10.1371/journal.pone.0160399</v>
      </c>
      <c r="BG598" s="1" t="s">
        <v>74</v>
      </c>
      <c r="BH598" s="1" t="s">
        <v>74</v>
      </c>
      <c r="BI598" s="1" t="s">
        <v>74</v>
      </c>
      <c r="BJ598" s="1" t="s">
        <v>74</v>
      </c>
      <c r="BK598" s="1" t="s">
        <v>74</v>
      </c>
      <c r="BL598" s="1" t="s">
        <v>74</v>
      </c>
      <c r="BM598" s="1" t="s">
        <v>74</v>
      </c>
      <c r="BN598" s="1">
        <v>2.7548562E7</v>
      </c>
      <c r="BO598" s="1" t="s">
        <v>74</v>
      </c>
      <c r="BP598" s="1" t="s">
        <v>74</v>
      </c>
      <c r="BQ598" s="1" t="s">
        <v>74</v>
      </c>
      <c r="BR598" s="1" t="s">
        <v>74</v>
      </c>
      <c r="BS598" s="1" t="s">
        <v>5149</v>
      </c>
      <c r="BT598" s="1" t="str">
        <f>HYPERLINK("https%3A%2F%2Fwww.webofscience.com%2Fwos%2Fwoscc%2Ffull-record%2FWOS:000381768400014","View Full Record in Web of Science")</f>
        <v>View Full Record in Web of Science</v>
      </c>
    </row>
    <row r="599" ht="12.75" customHeight="1">
      <c r="A599" s="1" t="s">
        <v>105</v>
      </c>
      <c r="B599" s="1" t="s">
        <v>374</v>
      </c>
      <c r="C599" s="1" t="s">
        <v>3842</v>
      </c>
      <c r="D599" s="1" t="s">
        <v>74</v>
      </c>
      <c r="E599" s="1" t="s">
        <v>74</v>
      </c>
      <c r="F599" s="1" t="s">
        <v>375</v>
      </c>
      <c r="G599" s="1" t="s">
        <v>3842</v>
      </c>
      <c r="H599" s="1" t="s">
        <v>74</v>
      </c>
      <c r="I599" s="1" t="s">
        <v>5150</v>
      </c>
      <c r="J599" s="1" t="s">
        <v>3844</v>
      </c>
      <c r="K599" s="1" t="s">
        <v>3845</v>
      </c>
      <c r="L599" s="1" t="s">
        <v>74</v>
      </c>
      <c r="M599" s="1" t="s">
        <v>74</v>
      </c>
      <c r="N599" s="1" t="s">
        <v>74</v>
      </c>
      <c r="O599" s="1" t="s">
        <v>74</v>
      </c>
      <c r="P599" s="1" t="s">
        <v>74</v>
      </c>
      <c r="Q599" s="1" t="s">
        <v>74</v>
      </c>
      <c r="R599" s="1" t="s">
        <v>74</v>
      </c>
      <c r="S599" s="1" t="s">
        <v>74</v>
      </c>
      <c r="T599" s="1" t="s">
        <v>74</v>
      </c>
      <c r="U599" s="1" t="s">
        <v>74</v>
      </c>
      <c r="V599" s="1" t="s">
        <v>74</v>
      </c>
      <c r="W599" s="1" t="s">
        <v>74</v>
      </c>
      <c r="X599" s="1" t="s">
        <v>74</v>
      </c>
      <c r="Y599" s="1" t="s">
        <v>74</v>
      </c>
      <c r="Z599" s="1" t="s">
        <v>74</v>
      </c>
      <c r="AA599" s="1" t="s">
        <v>379</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74</v>
      </c>
      <c r="AP599" s="1" t="s">
        <v>74</v>
      </c>
      <c r="AQ599" s="1" t="s">
        <v>3846</v>
      </c>
      <c r="AR599" s="1" t="s">
        <v>74</v>
      </c>
      <c r="AS599" s="1" t="s">
        <v>74</v>
      </c>
      <c r="AT599" s="1" t="s">
        <v>74</v>
      </c>
      <c r="AU599" s="1">
        <v>2016.0</v>
      </c>
      <c r="AV599" s="1" t="s">
        <v>74</v>
      </c>
      <c r="AW599" s="1" t="s">
        <v>74</v>
      </c>
      <c r="AX599" s="1" t="s">
        <v>74</v>
      </c>
      <c r="AY599" s="1" t="s">
        <v>74</v>
      </c>
      <c r="AZ599" s="1" t="s">
        <v>74</v>
      </c>
      <c r="BA599" s="1" t="s">
        <v>74</v>
      </c>
      <c r="BB599" s="1">
        <v>29.0</v>
      </c>
      <c r="BC599" s="1">
        <v>54.0</v>
      </c>
      <c r="BD599" s="1" t="s">
        <v>74</v>
      </c>
      <c r="BE599" s="1" t="s">
        <v>74</v>
      </c>
      <c r="BF599" s="1" t="s">
        <v>74</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5151</v>
      </c>
      <c r="BT599" s="1" t="str">
        <f>HYPERLINK("https%3A%2F%2Fwww.webofscience.com%2Fwos%2Fwoscc%2Ffull-record%2FWOS:000458913900003","View Full Record in Web of Science")</f>
        <v>View Full Record in Web of Science</v>
      </c>
    </row>
    <row r="600" ht="12.75" customHeight="1">
      <c r="A600" s="1" t="s">
        <v>126</v>
      </c>
      <c r="B600" s="1" t="s">
        <v>5152</v>
      </c>
      <c r="C600" s="1" t="s">
        <v>74</v>
      </c>
      <c r="D600" s="1" t="s">
        <v>350</v>
      </c>
      <c r="E600" s="1" t="s">
        <v>74</v>
      </c>
      <c r="F600" s="1" t="s">
        <v>5153</v>
      </c>
      <c r="G600" s="1" t="s">
        <v>74</v>
      </c>
      <c r="H600" s="1" t="s">
        <v>74</v>
      </c>
      <c r="I600" s="1" t="s">
        <v>5154</v>
      </c>
      <c r="J600" s="1" t="s">
        <v>5155</v>
      </c>
      <c r="K600" s="1" t="s">
        <v>1362</v>
      </c>
      <c r="L600" s="1" t="s">
        <v>74</v>
      </c>
      <c r="M600" s="1" t="s">
        <v>74</v>
      </c>
      <c r="N600" s="1" t="s">
        <v>74</v>
      </c>
      <c r="O600" s="1" t="s">
        <v>5156</v>
      </c>
      <c r="P600" s="1" t="s">
        <v>5157</v>
      </c>
      <c r="Q600" s="1" t="s">
        <v>3042</v>
      </c>
      <c r="R600" s="1" t="s">
        <v>74</v>
      </c>
      <c r="S600" s="1" t="s">
        <v>74</v>
      </c>
      <c r="T600" s="1" t="s">
        <v>74</v>
      </c>
      <c r="U600" s="1" t="s">
        <v>74</v>
      </c>
      <c r="V600" s="1" t="s">
        <v>5158</v>
      </c>
      <c r="W600" s="1" t="s">
        <v>74</v>
      </c>
      <c r="X600" s="1" t="s">
        <v>74</v>
      </c>
      <c r="Y600" s="1" t="s">
        <v>74</v>
      </c>
      <c r="Z600" s="1" t="s">
        <v>74</v>
      </c>
      <c r="AA600" s="1" t="s">
        <v>1367</v>
      </c>
      <c r="AB600" s="1" t="s">
        <v>74</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1368</v>
      </c>
      <c r="AP600" s="1" t="s">
        <v>74</v>
      </c>
      <c r="AQ600" s="1" t="s">
        <v>5159</v>
      </c>
      <c r="AR600" s="1" t="s">
        <v>74</v>
      </c>
      <c r="AS600" s="1" t="s">
        <v>74</v>
      </c>
      <c r="AT600" s="1" t="s">
        <v>74</v>
      </c>
      <c r="AU600" s="1">
        <v>2016.0</v>
      </c>
      <c r="AV600" s="1" t="s">
        <v>74</v>
      </c>
      <c r="AW600" s="1" t="s">
        <v>74</v>
      </c>
      <c r="AX600" s="1" t="s">
        <v>74</v>
      </c>
      <c r="AY600" s="1" t="s">
        <v>74</v>
      </c>
      <c r="AZ600" s="1" t="s">
        <v>74</v>
      </c>
      <c r="BA600" s="1" t="s">
        <v>74</v>
      </c>
      <c r="BB600" s="1">
        <v>2860.0</v>
      </c>
      <c r="BC600" s="1">
        <v>2867.0</v>
      </c>
      <c r="BD600" s="1" t="s">
        <v>74</v>
      </c>
      <c r="BE600" s="1" t="s">
        <v>74</v>
      </c>
      <c r="BF600" s="1" t="s">
        <v>74</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5160</v>
      </c>
      <c r="BT600" s="1" t="str">
        <f>HYPERLINK("https%3A%2F%2Fwww.webofscience.com%2Fwos%2Fwoscc%2Ffull-record%2FWOS:000402738402130","View Full Record in Web of Science")</f>
        <v>View Full Record in Web of Science</v>
      </c>
    </row>
    <row r="601" ht="12.75" customHeight="1">
      <c r="A601" s="1" t="s">
        <v>72</v>
      </c>
      <c r="B601" s="1" t="s">
        <v>5161</v>
      </c>
      <c r="C601" s="1" t="s">
        <v>74</v>
      </c>
      <c r="D601" s="1" t="s">
        <v>74</v>
      </c>
      <c r="E601" s="1" t="s">
        <v>74</v>
      </c>
      <c r="F601" s="1" t="s">
        <v>5162</v>
      </c>
      <c r="G601" s="1" t="s">
        <v>74</v>
      </c>
      <c r="H601" s="1" t="s">
        <v>74</v>
      </c>
      <c r="I601" s="1" t="s">
        <v>5163</v>
      </c>
      <c r="J601" s="1" t="s">
        <v>5164</v>
      </c>
      <c r="K601" s="1" t="s">
        <v>74</v>
      </c>
      <c r="L601" s="1" t="s">
        <v>74</v>
      </c>
      <c r="M601" s="1" t="s">
        <v>74</v>
      </c>
      <c r="N601" s="1" t="s">
        <v>74</v>
      </c>
      <c r="O601" s="1" t="s">
        <v>5165</v>
      </c>
      <c r="P601" s="1" t="s">
        <v>5166</v>
      </c>
      <c r="Q601" s="1" t="s">
        <v>5167</v>
      </c>
      <c r="R601" s="1" t="s">
        <v>5168</v>
      </c>
      <c r="S601" s="1" t="s">
        <v>5169</v>
      </c>
      <c r="T601" s="1" t="s">
        <v>74</v>
      </c>
      <c r="U601" s="1" t="s">
        <v>74</v>
      </c>
      <c r="V601" s="1" t="s">
        <v>74</v>
      </c>
      <c r="W601" s="1" t="s">
        <v>74</v>
      </c>
      <c r="X601" s="1" t="s">
        <v>74</v>
      </c>
      <c r="Y601" s="1" t="s">
        <v>74</v>
      </c>
      <c r="Z601" s="1" t="s">
        <v>74</v>
      </c>
      <c r="AA601" s="1" t="s">
        <v>5170</v>
      </c>
      <c r="AB601" s="1" t="s">
        <v>74</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5171</v>
      </c>
      <c r="AP601" s="1" t="s">
        <v>5172</v>
      </c>
      <c r="AQ601" s="1" t="s">
        <v>74</v>
      </c>
      <c r="AR601" s="1" t="s">
        <v>74</v>
      </c>
      <c r="AS601" s="1" t="s">
        <v>74</v>
      </c>
      <c r="AT601" s="1" t="s">
        <v>158</v>
      </c>
      <c r="AU601" s="1">
        <v>2015.0</v>
      </c>
      <c r="AV601" s="1">
        <v>32.0</v>
      </c>
      <c r="AW601" s="1" t="s">
        <v>74</v>
      </c>
      <c r="AX601" s="1" t="s">
        <v>74</v>
      </c>
      <c r="AY601" s="1">
        <v>1.0</v>
      </c>
      <c r="AZ601" s="1" t="s">
        <v>74</v>
      </c>
      <c r="BA601" s="1" t="s">
        <v>5173</v>
      </c>
      <c r="BB601" s="1" t="s">
        <v>5174</v>
      </c>
      <c r="BC601" s="1" t="s">
        <v>5174</v>
      </c>
      <c r="BD601" s="1" t="s">
        <v>74</v>
      </c>
      <c r="BE601" s="1" t="s">
        <v>74</v>
      </c>
      <c r="BF601" s="1" t="s">
        <v>74</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5175</v>
      </c>
      <c r="BT601" s="1" t="str">
        <f>HYPERLINK("https%3A%2F%2Fwww.webofscience.com%2Fwos%2Fwoscc%2Ffull-record%2FWOS:000361466200293","View Full Record in Web of Science")</f>
        <v>View Full Record in Web of Science</v>
      </c>
    </row>
    <row r="602" ht="12.75" customHeight="1">
      <c r="A602" s="1" t="s">
        <v>72</v>
      </c>
      <c r="B602" s="1" t="s">
        <v>5176</v>
      </c>
      <c r="C602" s="1" t="s">
        <v>74</v>
      </c>
      <c r="D602" s="1" t="s">
        <v>74</v>
      </c>
      <c r="E602" s="1" t="s">
        <v>74</v>
      </c>
      <c r="F602" s="1" t="s">
        <v>5177</v>
      </c>
      <c r="G602" s="1" t="s">
        <v>74</v>
      </c>
      <c r="H602" s="1" t="s">
        <v>74</v>
      </c>
      <c r="I602" s="1" t="s">
        <v>5178</v>
      </c>
      <c r="J602" s="1" t="s">
        <v>698</v>
      </c>
      <c r="K602" s="1" t="s">
        <v>74</v>
      </c>
      <c r="L602" s="1" t="s">
        <v>74</v>
      </c>
      <c r="M602" s="1" t="s">
        <v>74</v>
      </c>
      <c r="N602" s="1" t="s">
        <v>74</v>
      </c>
      <c r="O602" s="1" t="s">
        <v>74</v>
      </c>
      <c r="P602" s="1" t="s">
        <v>74</v>
      </c>
      <c r="Q602" s="1" t="s">
        <v>74</v>
      </c>
      <c r="R602" s="1" t="s">
        <v>74</v>
      </c>
      <c r="S602" s="1" t="s">
        <v>74</v>
      </c>
      <c r="T602" s="1" t="s">
        <v>74</v>
      </c>
      <c r="U602" s="1" t="s">
        <v>74</v>
      </c>
      <c r="V602" s="1" t="s">
        <v>5179</v>
      </c>
      <c r="W602" s="1" t="s">
        <v>74</v>
      </c>
      <c r="X602" s="1" t="s">
        <v>74</v>
      </c>
      <c r="Y602" s="1" t="s">
        <v>74</v>
      </c>
      <c r="Z602" s="1" t="s">
        <v>74</v>
      </c>
      <c r="AA602" s="1" t="s">
        <v>74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702</v>
      </c>
      <c r="AP602" s="1" t="s">
        <v>74</v>
      </c>
      <c r="AQ602" s="1" t="s">
        <v>74</v>
      </c>
      <c r="AR602" s="1" t="s">
        <v>74</v>
      </c>
      <c r="AS602" s="1" t="s">
        <v>74</v>
      </c>
      <c r="AT602" s="1" t="s">
        <v>158</v>
      </c>
      <c r="AU602" s="1">
        <v>2015.0</v>
      </c>
      <c r="AV602" s="1">
        <v>60.0</v>
      </c>
      <c r="AW602" s="1">
        <v>3.0</v>
      </c>
      <c r="AX602" s="1" t="s">
        <v>74</v>
      </c>
      <c r="AY602" s="1" t="s">
        <v>74</v>
      </c>
      <c r="AZ602" s="1" t="s">
        <v>74</v>
      </c>
      <c r="BA602" s="1" t="s">
        <v>74</v>
      </c>
      <c r="BB602" s="1">
        <v>3024.0</v>
      </c>
      <c r="BC602" s="1">
        <v>3028.0</v>
      </c>
      <c r="BD602" s="1" t="s">
        <v>74</v>
      </c>
      <c r="BE602" s="1" t="s">
        <v>5180</v>
      </c>
      <c r="BF602" s="2" t="str">
        <f>HYPERLINK("http://dx.doi.org/10.4067/S0717-97072015000300010","http://dx.doi.org/10.4067/S0717-97072015000300010")</f>
        <v>http://dx.doi.org/10.4067/S0717-97072015000300010</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5181</v>
      </c>
      <c r="BT602" s="1" t="str">
        <f>HYPERLINK("https%3A%2F%2Fwww.webofscience.com%2Fwos%2Fwoscc%2Ffull-record%2FWOS:000365352800010","View Full Record in Web of Science")</f>
        <v>View Full Record in Web of Science</v>
      </c>
    </row>
    <row r="603" ht="12.75" customHeight="1">
      <c r="A603" s="1" t="s">
        <v>126</v>
      </c>
      <c r="B603" s="1" t="s">
        <v>5182</v>
      </c>
      <c r="C603" s="1" t="s">
        <v>74</v>
      </c>
      <c r="D603" s="1" t="s">
        <v>4543</v>
      </c>
      <c r="E603" s="1" t="s">
        <v>74</v>
      </c>
      <c r="F603" s="1" t="s">
        <v>5183</v>
      </c>
      <c r="G603" s="1" t="s">
        <v>74</v>
      </c>
      <c r="H603" s="1" t="s">
        <v>74</v>
      </c>
      <c r="I603" s="1" t="s">
        <v>5184</v>
      </c>
      <c r="J603" s="1" t="s">
        <v>5185</v>
      </c>
      <c r="K603" s="1" t="s">
        <v>74</v>
      </c>
      <c r="L603" s="1" t="s">
        <v>74</v>
      </c>
      <c r="M603" s="1" t="s">
        <v>74</v>
      </c>
      <c r="N603" s="1" t="s">
        <v>74</v>
      </c>
      <c r="O603" s="1" t="s">
        <v>3782</v>
      </c>
      <c r="P603" s="1" t="s">
        <v>4547</v>
      </c>
      <c r="Q603" s="1" t="s">
        <v>4548</v>
      </c>
      <c r="R603" s="1" t="s">
        <v>4549</v>
      </c>
      <c r="S603" s="1" t="s">
        <v>74</v>
      </c>
      <c r="T603" s="1" t="s">
        <v>74</v>
      </c>
      <c r="U603" s="1" t="s">
        <v>74</v>
      </c>
      <c r="V603" s="1" t="s">
        <v>5186</v>
      </c>
      <c r="W603" s="1" t="s">
        <v>74</v>
      </c>
      <c r="X603" s="1" t="s">
        <v>74</v>
      </c>
      <c r="Y603" s="1" t="s">
        <v>74</v>
      </c>
      <c r="Z603" s="1" t="s">
        <v>74</v>
      </c>
      <c r="AA603" s="1" t="s">
        <v>137</v>
      </c>
      <c r="AB603" s="1" t="s">
        <v>5187</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74</v>
      </c>
      <c r="AP603" s="1" t="s">
        <v>74</v>
      </c>
      <c r="AQ603" s="1" t="s">
        <v>4552</v>
      </c>
      <c r="AR603" s="1" t="s">
        <v>74</v>
      </c>
      <c r="AS603" s="1" t="s">
        <v>74</v>
      </c>
      <c r="AT603" s="1" t="s">
        <v>74</v>
      </c>
      <c r="AU603" s="1">
        <v>2015.0</v>
      </c>
      <c r="AV603" s="1" t="s">
        <v>74</v>
      </c>
      <c r="AW603" s="1" t="s">
        <v>74</v>
      </c>
      <c r="AX603" s="1" t="s">
        <v>74</v>
      </c>
      <c r="AY603" s="1" t="s">
        <v>74</v>
      </c>
      <c r="AZ603" s="1" t="s">
        <v>74</v>
      </c>
      <c r="BA603" s="1" t="s">
        <v>74</v>
      </c>
      <c r="BB603" s="1">
        <v>79.0</v>
      </c>
      <c r="BC603" s="1">
        <v>82.0</v>
      </c>
      <c r="BD603" s="1" t="s">
        <v>74</v>
      </c>
      <c r="BE603" s="1" t="s">
        <v>74</v>
      </c>
      <c r="BF603" s="1" t="s">
        <v>74</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5188</v>
      </c>
      <c r="BT603" s="1" t="str">
        <f>HYPERLINK("https%3A%2F%2Fwww.webofscience.com%2Fwos%2Fwoscc%2Ffull-record%2FWOS:000380551100014","View Full Record in Web of Science")</f>
        <v>View Full Record in Web of Science</v>
      </c>
    </row>
    <row r="604" ht="12.75" customHeight="1">
      <c r="A604" s="1" t="s">
        <v>72</v>
      </c>
      <c r="B604" s="1" t="s">
        <v>5189</v>
      </c>
      <c r="C604" s="1" t="s">
        <v>74</v>
      </c>
      <c r="D604" s="1" t="s">
        <v>74</v>
      </c>
      <c r="E604" s="1" t="s">
        <v>74</v>
      </c>
      <c r="F604" s="1" t="s">
        <v>5190</v>
      </c>
      <c r="G604" s="1" t="s">
        <v>74</v>
      </c>
      <c r="H604" s="1" t="s">
        <v>74</v>
      </c>
      <c r="I604" s="1" t="s">
        <v>5191</v>
      </c>
      <c r="J604" s="1" t="s">
        <v>864</v>
      </c>
      <c r="K604" s="1" t="s">
        <v>74</v>
      </c>
      <c r="L604" s="1" t="s">
        <v>74</v>
      </c>
      <c r="M604" s="1" t="s">
        <v>74</v>
      </c>
      <c r="N604" s="1" t="s">
        <v>74</v>
      </c>
      <c r="O604" s="1" t="s">
        <v>74</v>
      </c>
      <c r="P604" s="1" t="s">
        <v>74</v>
      </c>
      <c r="Q604" s="1" t="s">
        <v>74</v>
      </c>
      <c r="R604" s="1" t="s">
        <v>74</v>
      </c>
      <c r="S604" s="1" t="s">
        <v>74</v>
      </c>
      <c r="T604" s="1" t="s">
        <v>74</v>
      </c>
      <c r="U604" s="1" t="s">
        <v>74</v>
      </c>
      <c r="V604" s="1" t="s">
        <v>5192</v>
      </c>
      <c r="W604" s="1" t="s">
        <v>74</v>
      </c>
      <c r="X604" s="1" t="s">
        <v>74</v>
      </c>
      <c r="Y604" s="1" t="s">
        <v>74</v>
      </c>
      <c r="Z604" s="1" t="s">
        <v>74</v>
      </c>
      <c r="AA604" s="1" t="s">
        <v>5193</v>
      </c>
      <c r="AB604" s="1" t="s">
        <v>5194</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1586</v>
      </c>
      <c r="AP604" s="1" t="s">
        <v>1587</v>
      </c>
      <c r="AQ604" s="1" t="s">
        <v>74</v>
      </c>
      <c r="AR604" s="1" t="s">
        <v>74</v>
      </c>
      <c r="AS604" s="1" t="s">
        <v>74</v>
      </c>
      <c r="AT604" s="1" t="s">
        <v>1712</v>
      </c>
      <c r="AU604" s="1">
        <v>2014.0</v>
      </c>
      <c r="AV604" s="1">
        <v>90.0</v>
      </c>
      <c r="AW604" s="1">
        <v>5.0</v>
      </c>
      <c r="AX604" s="1" t="s">
        <v>74</v>
      </c>
      <c r="AY604" s="1" t="s">
        <v>74</v>
      </c>
      <c r="AZ604" s="1" t="s">
        <v>74</v>
      </c>
      <c r="BA604" s="1" t="s">
        <v>74</v>
      </c>
      <c r="BB604" s="1" t="s">
        <v>74</v>
      </c>
      <c r="BC604" s="1" t="s">
        <v>74</v>
      </c>
      <c r="BD604" s="1">
        <v>52202.0</v>
      </c>
      <c r="BE604" s="1" t="s">
        <v>5195</v>
      </c>
      <c r="BF604" s="2" t="str">
        <f>HYPERLINK("http://dx.doi.org/10.1103/PhysRevE.90.052202","http://dx.doi.org/10.1103/PhysRevE.90.052202")</f>
        <v>http://dx.doi.org/10.1103/PhysRevE.90.052202</v>
      </c>
      <c r="BG604" s="1" t="s">
        <v>74</v>
      </c>
      <c r="BH604" s="1" t="s">
        <v>74</v>
      </c>
      <c r="BI604" s="1" t="s">
        <v>74</v>
      </c>
      <c r="BJ604" s="1" t="s">
        <v>74</v>
      </c>
      <c r="BK604" s="1" t="s">
        <v>74</v>
      </c>
      <c r="BL604" s="1" t="s">
        <v>74</v>
      </c>
      <c r="BM604" s="1" t="s">
        <v>74</v>
      </c>
      <c r="BN604" s="1">
        <v>2.5493786E7</v>
      </c>
      <c r="BO604" s="1" t="s">
        <v>74</v>
      </c>
      <c r="BP604" s="1" t="s">
        <v>74</v>
      </c>
      <c r="BQ604" s="1" t="s">
        <v>74</v>
      </c>
      <c r="BR604" s="1" t="s">
        <v>74</v>
      </c>
      <c r="BS604" s="1" t="s">
        <v>5196</v>
      </c>
      <c r="BT604" s="1" t="str">
        <f>HYPERLINK("https%3A%2F%2Fwww.webofscience.com%2Fwos%2Fwoscc%2Ffull-record%2FWOS:000345313700003","View Full Record in Web of Science")</f>
        <v>View Full Record in Web of Science</v>
      </c>
    </row>
    <row r="605" ht="12.75" customHeight="1">
      <c r="A605" s="1" t="s">
        <v>72</v>
      </c>
      <c r="B605" s="1" t="s">
        <v>5197</v>
      </c>
      <c r="C605" s="1" t="s">
        <v>74</v>
      </c>
      <c r="D605" s="1" t="s">
        <v>74</v>
      </c>
      <c r="E605" s="1" t="s">
        <v>74</v>
      </c>
      <c r="F605" s="1" t="s">
        <v>5198</v>
      </c>
      <c r="G605" s="1" t="s">
        <v>74</v>
      </c>
      <c r="H605" s="1" t="s">
        <v>74</v>
      </c>
      <c r="I605" s="1" t="s">
        <v>5199</v>
      </c>
      <c r="J605" s="1" t="s">
        <v>5200</v>
      </c>
      <c r="K605" s="1" t="s">
        <v>74</v>
      </c>
      <c r="L605" s="1" t="s">
        <v>74</v>
      </c>
      <c r="M605" s="1" t="s">
        <v>74</v>
      </c>
      <c r="N605" s="1" t="s">
        <v>74</v>
      </c>
      <c r="O605" s="1" t="s">
        <v>74</v>
      </c>
      <c r="P605" s="1" t="s">
        <v>74</v>
      </c>
      <c r="Q605" s="1" t="s">
        <v>74</v>
      </c>
      <c r="R605" s="1" t="s">
        <v>74</v>
      </c>
      <c r="S605" s="1" t="s">
        <v>74</v>
      </c>
      <c r="T605" s="1" t="s">
        <v>74</v>
      </c>
      <c r="U605" s="1" t="s">
        <v>74</v>
      </c>
      <c r="V605" s="1" t="s">
        <v>5201</v>
      </c>
      <c r="W605" s="1" t="s">
        <v>74</v>
      </c>
      <c r="X605" s="1" t="s">
        <v>74</v>
      </c>
      <c r="Y605" s="1" t="s">
        <v>74</v>
      </c>
      <c r="Z605" s="1" t="s">
        <v>74</v>
      </c>
      <c r="AA605" s="1" t="s">
        <v>5202</v>
      </c>
      <c r="AB605" s="1" t="s">
        <v>5203</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5204</v>
      </c>
      <c r="AP605" s="1" t="s">
        <v>74</v>
      </c>
      <c r="AQ605" s="1" t="s">
        <v>74</v>
      </c>
      <c r="AR605" s="1" t="s">
        <v>74</v>
      </c>
      <c r="AS605" s="1" t="s">
        <v>74</v>
      </c>
      <c r="AT605" s="1" t="s">
        <v>5205</v>
      </c>
      <c r="AU605" s="1">
        <v>2014.0</v>
      </c>
      <c r="AV605" s="1">
        <v>5.0</v>
      </c>
      <c r="AW605" s="1" t="s">
        <v>74</v>
      </c>
      <c r="AX605" s="1" t="s">
        <v>74</v>
      </c>
      <c r="AY605" s="1" t="s">
        <v>74</v>
      </c>
      <c r="AZ605" s="1" t="s">
        <v>74</v>
      </c>
      <c r="BA605" s="1" t="s">
        <v>74</v>
      </c>
      <c r="BB605" s="1" t="s">
        <v>74</v>
      </c>
      <c r="BC605" s="1" t="s">
        <v>74</v>
      </c>
      <c r="BD605" s="1">
        <v>512.0</v>
      </c>
      <c r="BE605" s="1" t="s">
        <v>5206</v>
      </c>
      <c r="BF605" s="2" t="str">
        <f>HYPERLINK("http://dx.doi.org/10.3389/fpls.2014.00512","http://dx.doi.org/10.3389/fpls.2014.00512")</f>
        <v>http://dx.doi.org/10.3389/fpls.2014.00512</v>
      </c>
      <c r="BG605" s="1" t="s">
        <v>74</v>
      </c>
      <c r="BH605" s="1" t="s">
        <v>74</v>
      </c>
      <c r="BI605" s="1" t="s">
        <v>74</v>
      </c>
      <c r="BJ605" s="1" t="s">
        <v>74</v>
      </c>
      <c r="BK605" s="1" t="s">
        <v>74</v>
      </c>
      <c r="BL605" s="1" t="s">
        <v>74</v>
      </c>
      <c r="BM605" s="1" t="s">
        <v>74</v>
      </c>
      <c r="BN605" s="1">
        <v>2.5352851E7</v>
      </c>
      <c r="BO605" s="1" t="s">
        <v>74</v>
      </c>
      <c r="BP605" s="1" t="s">
        <v>74</v>
      </c>
      <c r="BQ605" s="1" t="s">
        <v>74</v>
      </c>
      <c r="BR605" s="1" t="s">
        <v>74</v>
      </c>
      <c r="BS605" s="1" t="s">
        <v>5207</v>
      </c>
      <c r="BT605" s="1" t="str">
        <f>HYPERLINK("https%3A%2F%2Fwww.webofscience.com%2Fwos%2Fwoscc%2Ffull-record%2FWOS:000344743300001","View Full Record in Web of Science")</f>
        <v>View Full Record in Web of Science</v>
      </c>
    </row>
    <row r="606" ht="12.75" customHeight="1">
      <c r="A606" s="1" t="s">
        <v>72</v>
      </c>
      <c r="B606" s="1" t="s">
        <v>5208</v>
      </c>
      <c r="C606" s="1" t="s">
        <v>74</v>
      </c>
      <c r="D606" s="1" t="s">
        <v>74</v>
      </c>
      <c r="E606" s="1" t="s">
        <v>74</v>
      </c>
      <c r="F606" s="1" t="s">
        <v>5209</v>
      </c>
      <c r="G606" s="1" t="s">
        <v>74</v>
      </c>
      <c r="H606" s="1" t="s">
        <v>74</v>
      </c>
      <c r="I606" s="1" t="s">
        <v>5210</v>
      </c>
      <c r="J606" s="1" t="s">
        <v>3731</v>
      </c>
      <c r="K606" s="1" t="s">
        <v>74</v>
      </c>
      <c r="L606" s="1" t="s">
        <v>74</v>
      </c>
      <c r="M606" s="1" t="s">
        <v>74</v>
      </c>
      <c r="N606" s="1" t="s">
        <v>74</v>
      </c>
      <c r="O606" s="1" t="s">
        <v>74</v>
      </c>
      <c r="P606" s="1" t="s">
        <v>74</v>
      </c>
      <c r="Q606" s="1" t="s">
        <v>74</v>
      </c>
      <c r="R606" s="1" t="s">
        <v>74</v>
      </c>
      <c r="S606" s="1" t="s">
        <v>74</v>
      </c>
      <c r="T606" s="1" t="s">
        <v>74</v>
      </c>
      <c r="U606" s="1" t="s">
        <v>74</v>
      </c>
      <c r="V606" s="1" t="s">
        <v>5211</v>
      </c>
      <c r="W606" s="1" t="s">
        <v>74</v>
      </c>
      <c r="X606" s="1" t="s">
        <v>74</v>
      </c>
      <c r="Y606" s="1" t="s">
        <v>74</v>
      </c>
      <c r="Z606" s="1" t="s">
        <v>74</v>
      </c>
      <c r="AA606" s="1" t="s">
        <v>5212</v>
      </c>
      <c r="AB606" s="1" t="s">
        <v>5213</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3733</v>
      </c>
      <c r="AP606" s="1" t="s">
        <v>3734</v>
      </c>
      <c r="AQ606" s="1" t="s">
        <v>74</v>
      </c>
      <c r="AR606" s="1" t="s">
        <v>74</v>
      </c>
      <c r="AS606" s="1" t="s">
        <v>74</v>
      </c>
      <c r="AT606" s="1" t="s">
        <v>5214</v>
      </c>
      <c r="AU606" s="1">
        <v>2014.0</v>
      </c>
      <c r="AV606" s="1">
        <v>145.0</v>
      </c>
      <c r="AW606" s="1" t="s">
        <v>74</v>
      </c>
      <c r="AX606" s="1" t="s">
        <v>74</v>
      </c>
      <c r="AY606" s="1" t="s">
        <v>74</v>
      </c>
      <c r="AZ606" s="1" t="s">
        <v>74</v>
      </c>
      <c r="BA606" s="1" t="s">
        <v>74</v>
      </c>
      <c r="BB606" s="1">
        <v>264.0</v>
      </c>
      <c r="BC606" s="1">
        <v>271.0</v>
      </c>
      <c r="BD606" s="1" t="s">
        <v>74</v>
      </c>
      <c r="BE606" s="1" t="s">
        <v>5215</v>
      </c>
      <c r="BF606" s="2" t="str">
        <f>HYPERLINK("http://dx.doi.org/10.1016/j.foodchem.2013.08.053","http://dx.doi.org/10.1016/j.foodchem.2013.08.053")</f>
        <v>http://dx.doi.org/10.1016/j.foodchem.2013.08.053</v>
      </c>
      <c r="BG606" s="1" t="s">
        <v>74</v>
      </c>
      <c r="BH606" s="1" t="s">
        <v>74</v>
      </c>
      <c r="BI606" s="1" t="s">
        <v>74</v>
      </c>
      <c r="BJ606" s="1" t="s">
        <v>74</v>
      </c>
      <c r="BK606" s="1" t="s">
        <v>74</v>
      </c>
      <c r="BL606" s="1" t="s">
        <v>74</v>
      </c>
      <c r="BM606" s="1" t="s">
        <v>74</v>
      </c>
      <c r="BN606" s="1">
        <v>2.4128476E7</v>
      </c>
      <c r="BO606" s="1" t="s">
        <v>74</v>
      </c>
      <c r="BP606" s="1" t="s">
        <v>74</v>
      </c>
      <c r="BQ606" s="1" t="s">
        <v>74</v>
      </c>
      <c r="BR606" s="1" t="s">
        <v>74</v>
      </c>
      <c r="BS606" s="1" t="s">
        <v>5216</v>
      </c>
      <c r="BT606" s="1" t="str">
        <f>HYPERLINK("https%3A%2F%2Fwww.webofscience.com%2Fwos%2Fwoscc%2Ffull-record%2FWOS:000327685200036","View Full Record in Web of Science")</f>
        <v>View Full Record in Web of Science</v>
      </c>
    </row>
    <row r="607" ht="12.75" customHeight="1">
      <c r="A607" s="1" t="s">
        <v>105</v>
      </c>
      <c r="B607" s="1" t="s">
        <v>5217</v>
      </c>
      <c r="C607" s="1" t="s">
        <v>74</v>
      </c>
      <c r="D607" s="1" t="s">
        <v>5218</v>
      </c>
      <c r="E607" s="1" t="s">
        <v>74</v>
      </c>
      <c r="F607" s="1" t="s">
        <v>5219</v>
      </c>
      <c r="G607" s="1" t="s">
        <v>74</v>
      </c>
      <c r="H607" s="1" t="s">
        <v>74</v>
      </c>
      <c r="I607" s="1" t="s">
        <v>5220</v>
      </c>
      <c r="J607" s="1" t="s">
        <v>5221</v>
      </c>
      <c r="K607" s="1" t="s">
        <v>5222</v>
      </c>
      <c r="L607" s="1" t="s">
        <v>74</v>
      </c>
      <c r="M607" s="1" t="s">
        <v>74</v>
      </c>
      <c r="N607" s="1" t="s">
        <v>74</v>
      </c>
      <c r="O607" s="1" t="s">
        <v>74</v>
      </c>
      <c r="P607" s="1" t="s">
        <v>74</v>
      </c>
      <c r="Q607" s="1" t="s">
        <v>74</v>
      </c>
      <c r="R607" s="1" t="s">
        <v>74</v>
      </c>
      <c r="S607" s="1" t="s">
        <v>74</v>
      </c>
      <c r="T607" s="1" t="s">
        <v>74</v>
      </c>
      <c r="U607" s="1" t="s">
        <v>74</v>
      </c>
      <c r="V607" s="1" t="s">
        <v>74</v>
      </c>
      <c r="W607" s="1" t="s">
        <v>74</v>
      </c>
      <c r="X607" s="1" t="s">
        <v>74</v>
      </c>
      <c r="Y607" s="1" t="s">
        <v>74</v>
      </c>
      <c r="Z607" s="1" t="s">
        <v>74</v>
      </c>
      <c r="AA607" s="1" t="s">
        <v>74</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74</v>
      </c>
      <c r="AP607" s="1" t="s">
        <v>74</v>
      </c>
      <c r="AQ607" s="1" t="s">
        <v>5223</v>
      </c>
      <c r="AR607" s="1" t="s">
        <v>74</v>
      </c>
      <c r="AS607" s="1" t="s">
        <v>74</v>
      </c>
      <c r="AT607" s="1" t="s">
        <v>74</v>
      </c>
      <c r="AU607" s="1">
        <v>2014.0</v>
      </c>
      <c r="AV607" s="1">
        <v>22.0</v>
      </c>
      <c r="AW607" s="1" t="s">
        <v>74</v>
      </c>
      <c r="AX607" s="1" t="s">
        <v>74</v>
      </c>
      <c r="AY607" s="1" t="s">
        <v>74</v>
      </c>
      <c r="AZ607" s="1" t="s">
        <v>74</v>
      </c>
      <c r="BA607" s="1" t="s">
        <v>74</v>
      </c>
      <c r="BB607" s="1">
        <v>161.0</v>
      </c>
      <c r="BC607" s="1">
        <v>206.0</v>
      </c>
      <c r="BD607" s="1" t="s">
        <v>74</v>
      </c>
      <c r="BE607" s="1" t="s">
        <v>74</v>
      </c>
      <c r="BF607" s="1" t="s">
        <v>74</v>
      </c>
      <c r="BG607" s="1" t="s">
        <v>5224</v>
      </c>
      <c r="BH607" s="1" t="s">
        <v>74</v>
      </c>
      <c r="BI607" s="1" t="s">
        <v>74</v>
      </c>
      <c r="BJ607" s="1" t="s">
        <v>74</v>
      </c>
      <c r="BK607" s="1" t="s">
        <v>74</v>
      </c>
      <c r="BL607" s="1" t="s">
        <v>74</v>
      </c>
      <c r="BM607" s="1" t="s">
        <v>74</v>
      </c>
      <c r="BN607" s="1" t="s">
        <v>74</v>
      </c>
      <c r="BO607" s="1" t="s">
        <v>74</v>
      </c>
      <c r="BP607" s="1" t="s">
        <v>74</v>
      </c>
      <c r="BQ607" s="1" t="s">
        <v>74</v>
      </c>
      <c r="BR607" s="1" t="s">
        <v>74</v>
      </c>
      <c r="BS607" s="1" t="s">
        <v>5225</v>
      </c>
      <c r="BT607" s="1" t="str">
        <f>HYPERLINK("https%3A%2F%2Fwww.webofscience.com%2Fwos%2Fwoscc%2Ffull-record%2FWOS:000350071800008","View Full Record in Web of Science")</f>
        <v>View Full Record in Web of Science</v>
      </c>
    </row>
    <row r="608" ht="12.75" customHeight="1">
      <c r="A608" s="1" t="s">
        <v>72</v>
      </c>
      <c r="B608" s="1" t="s">
        <v>5226</v>
      </c>
      <c r="C608" s="1" t="s">
        <v>74</v>
      </c>
      <c r="D608" s="1" t="s">
        <v>74</v>
      </c>
      <c r="E608" s="1" t="s">
        <v>74</v>
      </c>
      <c r="F608" s="1" t="s">
        <v>5227</v>
      </c>
      <c r="G608" s="1" t="s">
        <v>74</v>
      </c>
      <c r="H608" s="1" t="s">
        <v>74</v>
      </c>
      <c r="I608" s="1" t="s">
        <v>5228</v>
      </c>
      <c r="J608" s="1" t="s">
        <v>377</v>
      </c>
      <c r="K608" s="1" t="s">
        <v>74</v>
      </c>
      <c r="L608" s="1" t="s">
        <v>74</v>
      </c>
      <c r="M608" s="1" t="s">
        <v>74</v>
      </c>
      <c r="N608" s="1" t="s">
        <v>74</v>
      </c>
      <c r="O608" s="1" t="s">
        <v>74</v>
      </c>
      <c r="P608" s="1" t="s">
        <v>74</v>
      </c>
      <c r="Q608" s="1" t="s">
        <v>74</v>
      </c>
      <c r="R608" s="1" t="s">
        <v>74</v>
      </c>
      <c r="S608" s="1" t="s">
        <v>74</v>
      </c>
      <c r="T608" s="1" t="s">
        <v>74</v>
      </c>
      <c r="U608" s="1" t="s">
        <v>74</v>
      </c>
      <c r="V608" s="1" t="s">
        <v>74</v>
      </c>
      <c r="W608" s="1" t="s">
        <v>74</v>
      </c>
      <c r="X608" s="1" t="s">
        <v>74</v>
      </c>
      <c r="Y608" s="1" t="s">
        <v>74</v>
      </c>
      <c r="Z608" s="1" t="s">
        <v>74</v>
      </c>
      <c r="AA608" s="1" t="s">
        <v>74</v>
      </c>
      <c r="AB608" s="1" t="s">
        <v>74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381</v>
      </c>
      <c r="AP608" s="1" t="s">
        <v>74</v>
      </c>
      <c r="AQ608" s="1" t="s">
        <v>74</v>
      </c>
      <c r="AR608" s="1" t="s">
        <v>74</v>
      </c>
      <c r="AS608" s="1" t="s">
        <v>74</v>
      </c>
      <c r="AT608" s="1" t="s">
        <v>382</v>
      </c>
      <c r="AU608" s="1">
        <v>2014.0</v>
      </c>
      <c r="AV608" s="1">
        <v>47.0</v>
      </c>
      <c r="AW608" s="1">
        <v>1.0</v>
      </c>
      <c r="AX608" s="1" t="s">
        <v>74</v>
      </c>
      <c r="AY608" s="1" t="s">
        <v>74</v>
      </c>
      <c r="AZ608" s="1" t="s">
        <v>74</v>
      </c>
      <c r="BA608" s="1" t="s">
        <v>74</v>
      </c>
      <c r="BB608" s="1">
        <v>234.0</v>
      </c>
      <c r="BC608" s="1">
        <v>239.0</v>
      </c>
      <c r="BD608" s="1" t="s">
        <v>74</v>
      </c>
      <c r="BE608" s="1" t="s">
        <v>74</v>
      </c>
      <c r="BF608" s="1" t="s">
        <v>74</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5229</v>
      </c>
      <c r="BT608" s="1" t="str">
        <f>HYPERLINK("https%3A%2F%2Fwww.webofscience.com%2Fwos%2Fwoscc%2Ffull-record%2FWOS:000339599700017","View Full Record in Web of Science")</f>
        <v>View Full Record in Web of Science</v>
      </c>
    </row>
    <row r="609" ht="12.75" customHeight="1">
      <c r="A609" s="1" t="s">
        <v>72</v>
      </c>
      <c r="B609" s="1" t="s">
        <v>5230</v>
      </c>
      <c r="C609" s="1" t="s">
        <v>74</v>
      </c>
      <c r="D609" s="1" t="s">
        <v>74</v>
      </c>
      <c r="E609" s="1" t="s">
        <v>74</v>
      </c>
      <c r="F609" s="1" t="s">
        <v>5231</v>
      </c>
      <c r="G609" s="1" t="s">
        <v>74</v>
      </c>
      <c r="H609" s="1" t="s">
        <v>74</v>
      </c>
      <c r="I609" s="1" t="s">
        <v>5232</v>
      </c>
      <c r="J609" s="1" t="s">
        <v>2203</v>
      </c>
      <c r="K609" s="1" t="s">
        <v>74</v>
      </c>
      <c r="L609" s="1" t="s">
        <v>74</v>
      </c>
      <c r="M609" s="1" t="s">
        <v>74</v>
      </c>
      <c r="N609" s="1" t="s">
        <v>74</v>
      </c>
      <c r="O609" s="1" t="s">
        <v>74</v>
      </c>
      <c r="P609" s="1" t="s">
        <v>74</v>
      </c>
      <c r="Q609" s="1" t="s">
        <v>74</v>
      </c>
      <c r="R609" s="1" t="s">
        <v>74</v>
      </c>
      <c r="S609" s="1" t="s">
        <v>74</v>
      </c>
      <c r="T609" s="1" t="s">
        <v>74</v>
      </c>
      <c r="U609" s="1" t="s">
        <v>74</v>
      </c>
      <c r="V609" s="1" t="s">
        <v>5233</v>
      </c>
      <c r="W609" s="1" t="s">
        <v>74</v>
      </c>
      <c r="X609" s="1" t="s">
        <v>74</v>
      </c>
      <c r="Y609" s="1" t="s">
        <v>74</v>
      </c>
      <c r="Z609" s="1" t="s">
        <v>74</v>
      </c>
      <c r="AA609" s="1" t="s">
        <v>2205</v>
      </c>
      <c r="AB609" s="1" t="s">
        <v>2206</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2207</v>
      </c>
      <c r="AP609" s="1" t="s">
        <v>74</v>
      </c>
      <c r="AQ609" s="1" t="s">
        <v>74</v>
      </c>
      <c r="AR609" s="1" t="s">
        <v>74</v>
      </c>
      <c r="AS609" s="1" t="s">
        <v>74</v>
      </c>
      <c r="AT609" s="1" t="s">
        <v>2208</v>
      </c>
      <c r="AU609" s="1">
        <v>2014.0</v>
      </c>
      <c r="AV609" s="1">
        <v>13.0</v>
      </c>
      <c r="AW609" s="1">
        <v>1.0</v>
      </c>
      <c r="AX609" s="1" t="s">
        <v>74</v>
      </c>
      <c r="AY609" s="1" t="s">
        <v>74</v>
      </c>
      <c r="AZ609" s="1" t="s">
        <v>74</v>
      </c>
      <c r="BA609" s="1" t="s">
        <v>74</v>
      </c>
      <c r="BB609" s="1">
        <v>285.0</v>
      </c>
      <c r="BC609" s="1">
        <v>298.0</v>
      </c>
      <c r="BD609" s="1" t="s">
        <v>74</v>
      </c>
      <c r="BE609" s="1" t="s">
        <v>74</v>
      </c>
      <c r="BF609" s="1" t="s">
        <v>74</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5234</v>
      </c>
      <c r="BT609" s="1" t="str">
        <f>HYPERLINK("https%3A%2F%2Fwww.webofscience.com%2Fwos%2Fwoscc%2Ffull-record%2FWOS:000345097900023","View Full Record in Web of Science")</f>
        <v>View Full Record in Web of Science</v>
      </c>
    </row>
    <row r="610" ht="12.75" customHeight="1">
      <c r="A610" s="1" t="s">
        <v>72</v>
      </c>
      <c r="B610" s="1" t="s">
        <v>2650</v>
      </c>
      <c r="C610" s="1" t="s">
        <v>74</v>
      </c>
      <c r="D610" s="1" t="s">
        <v>74</v>
      </c>
      <c r="E610" s="1" t="s">
        <v>74</v>
      </c>
      <c r="F610" s="1" t="s">
        <v>2651</v>
      </c>
      <c r="G610" s="1" t="s">
        <v>74</v>
      </c>
      <c r="H610" s="1" t="s">
        <v>74</v>
      </c>
      <c r="I610" s="1" t="s">
        <v>5235</v>
      </c>
      <c r="J610" s="1" t="s">
        <v>5236</v>
      </c>
      <c r="K610" s="1" t="s">
        <v>74</v>
      </c>
      <c r="L610" s="1" t="s">
        <v>74</v>
      </c>
      <c r="M610" s="1" t="s">
        <v>74</v>
      </c>
      <c r="N610" s="1" t="s">
        <v>74</v>
      </c>
      <c r="O610" s="1" t="s">
        <v>74</v>
      </c>
      <c r="P610" s="1" t="s">
        <v>74</v>
      </c>
      <c r="Q610" s="1" t="s">
        <v>74</v>
      </c>
      <c r="R610" s="1" t="s">
        <v>74</v>
      </c>
      <c r="S610" s="1" t="s">
        <v>74</v>
      </c>
      <c r="T610" s="1" t="s">
        <v>74</v>
      </c>
      <c r="U610" s="1" t="s">
        <v>74</v>
      </c>
      <c r="V610" s="1" t="s">
        <v>5237</v>
      </c>
      <c r="W610" s="1" t="s">
        <v>74</v>
      </c>
      <c r="X610" s="1" t="s">
        <v>74</v>
      </c>
      <c r="Y610" s="1" t="s">
        <v>74</v>
      </c>
      <c r="Z610" s="1" t="s">
        <v>74</v>
      </c>
      <c r="AA610" s="1" t="s">
        <v>74</v>
      </c>
      <c r="AB610" s="1" t="s">
        <v>4622</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5238</v>
      </c>
      <c r="AP610" s="1" t="s">
        <v>5239</v>
      </c>
      <c r="AQ610" s="1" t="s">
        <v>74</v>
      </c>
      <c r="AR610" s="1" t="s">
        <v>74</v>
      </c>
      <c r="AS610" s="1" t="s">
        <v>74</v>
      </c>
      <c r="AT610" s="1" t="s">
        <v>5240</v>
      </c>
      <c r="AU610" s="1">
        <v>2013.0</v>
      </c>
      <c r="AV610" s="1">
        <v>14.0</v>
      </c>
      <c r="AW610" s="1">
        <v>3.0</v>
      </c>
      <c r="AX610" s="1" t="s">
        <v>74</v>
      </c>
      <c r="AY610" s="1" t="s">
        <v>74</v>
      </c>
      <c r="AZ610" s="1" t="s">
        <v>74</v>
      </c>
      <c r="BA610" s="1" t="s">
        <v>74</v>
      </c>
      <c r="BB610" s="1">
        <v>226.0</v>
      </c>
      <c r="BC610" s="1">
        <v>241.0</v>
      </c>
      <c r="BD610" s="1" t="s">
        <v>74</v>
      </c>
      <c r="BE610" s="1" t="s">
        <v>5241</v>
      </c>
      <c r="BF610" s="2" t="str">
        <f>HYPERLINK("http://dx.doi.org/10.4013/fsu.2013.143.05","http://dx.doi.org/10.4013/fsu.2013.143.05")</f>
        <v>http://dx.doi.org/10.4013/fsu.2013.143.05</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5242</v>
      </c>
      <c r="BT610" s="1" t="str">
        <f>HYPERLINK("https%3A%2F%2Fwww.webofscience.com%2Fwos%2Fwoscc%2Ffull-record%2FWOS:000331983900006","View Full Record in Web of Science")</f>
        <v>View Full Record in Web of Science</v>
      </c>
    </row>
    <row r="611" ht="12.75" customHeight="1">
      <c r="A611" s="1" t="s">
        <v>72</v>
      </c>
      <c r="B611" s="1" t="s">
        <v>5243</v>
      </c>
      <c r="C611" s="1" t="s">
        <v>74</v>
      </c>
      <c r="D611" s="1" t="s">
        <v>74</v>
      </c>
      <c r="E611" s="1" t="s">
        <v>74</v>
      </c>
      <c r="F611" s="1" t="s">
        <v>5244</v>
      </c>
      <c r="G611" s="1" t="s">
        <v>74</v>
      </c>
      <c r="H611" s="1" t="s">
        <v>74</v>
      </c>
      <c r="I611" s="1" t="s">
        <v>5245</v>
      </c>
      <c r="J611" s="1" t="s">
        <v>2079</v>
      </c>
      <c r="K611" s="1" t="s">
        <v>74</v>
      </c>
      <c r="L611" s="1" t="s">
        <v>74</v>
      </c>
      <c r="M611" s="1" t="s">
        <v>74</v>
      </c>
      <c r="N611" s="1" t="s">
        <v>74</v>
      </c>
      <c r="O611" s="1" t="s">
        <v>74</v>
      </c>
      <c r="P611" s="1" t="s">
        <v>74</v>
      </c>
      <c r="Q611" s="1" t="s">
        <v>74</v>
      </c>
      <c r="R611" s="1" t="s">
        <v>74</v>
      </c>
      <c r="S611" s="1" t="s">
        <v>74</v>
      </c>
      <c r="T611" s="1" t="s">
        <v>74</v>
      </c>
      <c r="U611" s="1" t="s">
        <v>74</v>
      </c>
      <c r="V611" s="1" t="s">
        <v>74</v>
      </c>
      <c r="W611" s="1" t="s">
        <v>74</v>
      </c>
      <c r="X611" s="1" t="s">
        <v>74</v>
      </c>
      <c r="Y611" s="1" t="s">
        <v>74</v>
      </c>
      <c r="Z611" s="1" t="s">
        <v>74</v>
      </c>
      <c r="AA611" s="1" t="s">
        <v>5246</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2083</v>
      </c>
      <c r="AP611" s="1" t="s">
        <v>74</v>
      </c>
      <c r="AQ611" s="1" t="s">
        <v>74</v>
      </c>
      <c r="AR611" s="1" t="s">
        <v>74</v>
      </c>
      <c r="AS611" s="1" t="s">
        <v>74</v>
      </c>
      <c r="AT611" s="1" t="s">
        <v>171</v>
      </c>
      <c r="AU611" s="1">
        <v>2013.0</v>
      </c>
      <c r="AV611" s="1">
        <v>34.0</v>
      </c>
      <c r="AW611" s="1">
        <v>6.0</v>
      </c>
      <c r="AX611" s="1" t="s">
        <v>74</v>
      </c>
      <c r="AY611" s="1" t="s">
        <v>74</v>
      </c>
      <c r="AZ611" s="1" t="s">
        <v>74</v>
      </c>
      <c r="BA611" s="1" t="s">
        <v>74</v>
      </c>
      <c r="BB611" s="1">
        <v>1742.0</v>
      </c>
      <c r="BC611" s="1">
        <v>1742.0</v>
      </c>
      <c r="BD611" s="1" t="s">
        <v>74</v>
      </c>
      <c r="BE611" s="1" t="s">
        <v>5247</v>
      </c>
      <c r="BF611" s="2" t="str">
        <f>HYPERLINK("http://dx.doi.org/10.1016/j.fsi.2013.03.327","http://dx.doi.org/10.1016/j.fsi.2013.03.327")</f>
        <v>http://dx.doi.org/10.1016/j.fsi.2013.03.327</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5248</v>
      </c>
      <c r="BT611" s="1" t="str">
        <f>HYPERLINK("https%3A%2F%2Fwww.webofscience.com%2Fwos%2Fwoscc%2Ffull-record%2FWOS:000319646100350","View Full Record in Web of Science")</f>
        <v>View Full Record in Web of Science</v>
      </c>
    </row>
    <row r="612" ht="12.75" customHeight="1">
      <c r="A612" s="1" t="s">
        <v>72</v>
      </c>
      <c r="B612" s="1" t="s">
        <v>5249</v>
      </c>
      <c r="C612" s="1" t="s">
        <v>74</v>
      </c>
      <c r="D612" s="1" t="s">
        <v>74</v>
      </c>
      <c r="E612" s="1" t="s">
        <v>74</v>
      </c>
      <c r="F612" s="1" t="s">
        <v>5250</v>
      </c>
      <c r="G612" s="1" t="s">
        <v>74</v>
      </c>
      <c r="H612" s="1" t="s">
        <v>74</v>
      </c>
      <c r="I612" s="1" t="s">
        <v>5251</v>
      </c>
      <c r="J612" s="1" t="s">
        <v>5252</v>
      </c>
      <c r="K612" s="1" t="s">
        <v>74</v>
      </c>
      <c r="L612" s="1" t="s">
        <v>74</v>
      </c>
      <c r="M612" s="1" t="s">
        <v>74</v>
      </c>
      <c r="N612" s="1" t="s">
        <v>74</v>
      </c>
      <c r="O612" s="1" t="s">
        <v>74</v>
      </c>
      <c r="P612" s="1" t="s">
        <v>74</v>
      </c>
      <c r="Q612" s="1" t="s">
        <v>74</v>
      </c>
      <c r="R612" s="1" t="s">
        <v>74</v>
      </c>
      <c r="S612" s="1" t="s">
        <v>74</v>
      </c>
      <c r="T612" s="1" t="s">
        <v>74</v>
      </c>
      <c r="U612" s="1" t="s">
        <v>74</v>
      </c>
      <c r="V612" s="1" t="s">
        <v>74</v>
      </c>
      <c r="W612" s="1" t="s">
        <v>74</v>
      </c>
      <c r="X612" s="1" t="s">
        <v>74</v>
      </c>
      <c r="Y612" s="1" t="s">
        <v>74</v>
      </c>
      <c r="Z612" s="1" t="s">
        <v>74</v>
      </c>
      <c r="AA612" s="1" t="s">
        <v>74</v>
      </c>
      <c r="AB612" s="1" t="s">
        <v>74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5253</v>
      </c>
      <c r="AP612" s="1" t="s">
        <v>5254</v>
      </c>
      <c r="AQ612" s="1" t="s">
        <v>74</v>
      </c>
      <c r="AR612" s="1" t="s">
        <v>74</v>
      </c>
      <c r="AS612" s="1" t="s">
        <v>74</v>
      </c>
      <c r="AT612" s="1" t="s">
        <v>382</v>
      </c>
      <c r="AU612" s="1">
        <v>2013.0</v>
      </c>
      <c r="AV612" s="1">
        <v>21.0</v>
      </c>
      <c r="AW612" s="1">
        <v>41.0</v>
      </c>
      <c r="AX612" s="1" t="s">
        <v>74</v>
      </c>
      <c r="AY612" s="1" t="s">
        <v>74</v>
      </c>
      <c r="AZ612" s="1" t="s">
        <v>74</v>
      </c>
      <c r="BA612" s="1" t="s">
        <v>74</v>
      </c>
      <c r="BB612" s="1">
        <v>123.0</v>
      </c>
      <c r="BC612" s="1">
        <v>142.0</v>
      </c>
      <c r="BD612" s="1" t="s">
        <v>74</v>
      </c>
      <c r="BE612" s="1" t="s">
        <v>74</v>
      </c>
      <c r="BF612" s="1" t="s">
        <v>74</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5255</v>
      </c>
      <c r="BT612" s="1" t="str">
        <f>HYPERLINK("https%3A%2F%2Fwww.webofscience.com%2Fwos%2Fwoscc%2Ffull-record%2FWOS:000327861400006","View Full Record in Web of Science")</f>
        <v>View Full Record in Web of Science</v>
      </c>
    </row>
    <row r="613" ht="12.75" customHeight="1">
      <c r="A613" s="1" t="s">
        <v>72</v>
      </c>
      <c r="B613" s="1" t="s">
        <v>3963</v>
      </c>
      <c r="C613" s="1" t="s">
        <v>74</v>
      </c>
      <c r="D613" s="1" t="s">
        <v>74</v>
      </c>
      <c r="E613" s="1" t="s">
        <v>74</v>
      </c>
      <c r="F613" s="1" t="s">
        <v>3964</v>
      </c>
      <c r="G613" s="1" t="s">
        <v>74</v>
      </c>
      <c r="H613" s="1" t="s">
        <v>74</v>
      </c>
      <c r="I613" s="1" t="s">
        <v>5256</v>
      </c>
      <c r="J613" s="1" t="s">
        <v>5257</v>
      </c>
      <c r="K613" s="1" t="s">
        <v>74</v>
      </c>
      <c r="L613" s="1" t="s">
        <v>74</v>
      </c>
      <c r="M613" s="1" t="s">
        <v>74</v>
      </c>
      <c r="N613" s="1" t="s">
        <v>74</v>
      </c>
      <c r="O613" s="1" t="s">
        <v>74</v>
      </c>
      <c r="P613" s="1" t="s">
        <v>74</v>
      </c>
      <c r="Q613" s="1" t="s">
        <v>74</v>
      </c>
      <c r="R613" s="1" t="s">
        <v>74</v>
      </c>
      <c r="S613" s="1" t="s">
        <v>74</v>
      </c>
      <c r="T613" s="1" t="s">
        <v>74</v>
      </c>
      <c r="U613" s="1" t="s">
        <v>74</v>
      </c>
      <c r="V613" s="1" t="s">
        <v>5258</v>
      </c>
      <c r="W613" s="1" t="s">
        <v>74</v>
      </c>
      <c r="X613" s="1" t="s">
        <v>74</v>
      </c>
      <c r="Y613" s="1" t="s">
        <v>74</v>
      </c>
      <c r="Z613" s="1" t="s">
        <v>74</v>
      </c>
      <c r="AA613" s="1" t="s">
        <v>3967</v>
      </c>
      <c r="AB613" s="1" t="s">
        <v>3968</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5259</v>
      </c>
      <c r="AP613" s="1" t="s">
        <v>5260</v>
      </c>
      <c r="AQ613" s="1" t="s">
        <v>74</v>
      </c>
      <c r="AR613" s="1" t="s">
        <v>74</v>
      </c>
      <c r="AS613" s="1" t="s">
        <v>74</v>
      </c>
      <c r="AT613" s="1" t="s">
        <v>158</v>
      </c>
      <c r="AU613" s="1">
        <v>2012.0</v>
      </c>
      <c r="AV613" s="1">
        <v>223.0</v>
      </c>
      <c r="AW613" s="1">
        <v>7.0</v>
      </c>
      <c r="AX613" s="1" t="s">
        <v>74</v>
      </c>
      <c r="AY613" s="1" t="s">
        <v>74</v>
      </c>
      <c r="AZ613" s="1" t="s">
        <v>74</v>
      </c>
      <c r="BA613" s="1" t="s">
        <v>74</v>
      </c>
      <c r="BB613" s="1">
        <v>4199.0</v>
      </c>
      <c r="BC613" s="1">
        <v>4207.0</v>
      </c>
      <c r="BD613" s="1" t="s">
        <v>74</v>
      </c>
      <c r="BE613" s="1" t="s">
        <v>5261</v>
      </c>
      <c r="BF613" s="2" t="str">
        <f>HYPERLINK("http://dx.doi.org/10.1007/s11270-012-1184-7","http://dx.doi.org/10.1007/s11270-012-1184-7")</f>
        <v>http://dx.doi.org/10.1007/s11270-012-1184-7</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5262</v>
      </c>
      <c r="BT613" s="1" t="str">
        <f>HYPERLINK("https%3A%2F%2Fwww.webofscience.com%2Fwos%2Fwoscc%2Ffull-record%2FWOS:000307276400050","View Full Record in Web of Science")</f>
        <v>View Full Record in Web of Science</v>
      </c>
    </row>
    <row r="614" ht="12.75" customHeight="1">
      <c r="A614" s="1" t="s">
        <v>72</v>
      </c>
      <c r="B614" s="1" t="s">
        <v>5263</v>
      </c>
      <c r="C614" s="1" t="s">
        <v>74</v>
      </c>
      <c r="D614" s="1" t="s">
        <v>74</v>
      </c>
      <c r="E614" s="1" t="s">
        <v>74</v>
      </c>
      <c r="F614" s="1" t="s">
        <v>5264</v>
      </c>
      <c r="G614" s="1" t="s">
        <v>74</v>
      </c>
      <c r="H614" s="1" t="s">
        <v>74</v>
      </c>
      <c r="I614" s="1" t="s">
        <v>5265</v>
      </c>
      <c r="J614" s="1" t="s">
        <v>5266</v>
      </c>
      <c r="K614" s="1" t="s">
        <v>74</v>
      </c>
      <c r="L614" s="1" t="s">
        <v>74</v>
      </c>
      <c r="M614" s="1" t="s">
        <v>74</v>
      </c>
      <c r="N614" s="1" t="s">
        <v>74</v>
      </c>
      <c r="O614" s="1" t="s">
        <v>74</v>
      </c>
      <c r="P614" s="1" t="s">
        <v>74</v>
      </c>
      <c r="Q614" s="1" t="s">
        <v>74</v>
      </c>
      <c r="R614" s="1" t="s">
        <v>74</v>
      </c>
      <c r="S614" s="1" t="s">
        <v>74</v>
      </c>
      <c r="T614" s="1" t="s">
        <v>74</v>
      </c>
      <c r="U614" s="1" t="s">
        <v>74</v>
      </c>
      <c r="V614" s="1" t="s">
        <v>5267</v>
      </c>
      <c r="W614" s="1" t="s">
        <v>74</v>
      </c>
      <c r="X614" s="1" t="s">
        <v>74</v>
      </c>
      <c r="Y614" s="1" t="s">
        <v>74</v>
      </c>
      <c r="Z614" s="1" t="s">
        <v>74</v>
      </c>
      <c r="AA614" s="1" t="s">
        <v>5268</v>
      </c>
      <c r="AB614" s="1" t="s">
        <v>5269</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5270</v>
      </c>
      <c r="AP614" s="1" t="s">
        <v>74</v>
      </c>
      <c r="AQ614" s="1" t="s">
        <v>74</v>
      </c>
      <c r="AR614" s="1" t="s">
        <v>74</v>
      </c>
      <c r="AS614" s="1" t="s">
        <v>74</v>
      </c>
      <c r="AT614" s="1" t="s">
        <v>91</v>
      </c>
      <c r="AU614" s="1">
        <v>2012.0</v>
      </c>
      <c r="AV614" s="1">
        <v>79.0</v>
      </c>
      <c r="AW614" s="1" t="s">
        <v>74</v>
      </c>
      <c r="AX614" s="1" t="s">
        <v>74</v>
      </c>
      <c r="AY614" s="1" t="s">
        <v>74</v>
      </c>
      <c r="AZ614" s="1" t="s">
        <v>74</v>
      </c>
      <c r="BA614" s="1" t="s">
        <v>74</v>
      </c>
      <c r="BB614" s="1">
        <v>31.0</v>
      </c>
      <c r="BC614" s="1">
        <v>39.0</v>
      </c>
      <c r="BD614" s="1" t="s">
        <v>74</v>
      </c>
      <c r="BE614" s="1" t="s">
        <v>5271</v>
      </c>
      <c r="BF614" s="2" t="str">
        <f>HYPERLINK("http://dx.doi.org/10.1016/j.pmpp.2012.03.005","http://dx.doi.org/10.1016/j.pmpp.2012.03.005")</f>
        <v>http://dx.doi.org/10.1016/j.pmpp.2012.03.005</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5272</v>
      </c>
      <c r="BT614" s="1" t="str">
        <f>HYPERLINK("https%3A%2F%2Fwww.webofscience.com%2Fwos%2Fwoscc%2Ffull-record%2FWOS:000306994200005","View Full Record in Web of Science")</f>
        <v>View Full Record in Web of Science</v>
      </c>
    </row>
    <row r="615" ht="12.75" customHeight="1">
      <c r="A615" s="1" t="s">
        <v>72</v>
      </c>
      <c r="B615" s="1" t="s">
        <v>5273</v>
      </c>
      <c r="C615" s="1" t="s">
        <v>74</v>
      </c>
      <c r="D615" s="1" t="s">
        <v>74</v>
      </c>
      <c r="E615" s="1" t="s">
        <v>74</v>
      </c>
      <c r="F615" s="1" t="s">
        <v>5274</v>
      </c>
      <c r="G615" s="1" t="s">
        <v>74</v>
      </c>
      <c r="H615" s="1" t="s">
        <v>74</v>
      </c>
      <c r="I615" s="1" t="s">
        <v>5275</v>
      </c>
      <c r="J615" s="1" t="s">
        <v>3217</v>
      </c>
      <c r="K615" s="1" t="s">
        <v>74</v>
      </c>
      <c r="L615" s="1" t="s">
        <v>74</v>
      </c>
      <c r="M615" s="1" t="s">
        <v>74</v>
      </c>
      <c r="N615" s="1" t="s">
        <v>74</v>
      </c>
      <c r="O615" s="1" t="s">
        <v>74</v>
      </c>
      <c r="P615" s="1" t="s">
        <v>74</v>
      </c>
      <c r="Q615" s="1" t="s">
        <v>74</v>
      </c>
      <c r="R615" s="1" t="s">
        <v>74</v>
      </c>
      <c r="S615" s="1" t="s">
        <v>74</v>
      </c>
      <c r="T615" s="1" t="s">
        <v>74</v>
      </c>
      <c r="U615" s="1" t="s">
        <v>74</v>
      </c>
      <c r="V615" s="1" t="s">
        <v>5276</v>
      </c>
      <c r="W615" s="1" t="s">
        <v>74</v>
      </c>
      <c r="X615" s="1" t="s">
        <v>74</v>
      </c>
      <c r="Y615" s="1" t="s">
        <v>74</v>
      </c>
      <c r="Z615" s="1" t="s">
        <v>74</v>
      </c>
      <c r="AA615" s="1" t="s">
        <v>489</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3219</v>
      </c>
      <c r="AP615" s="1" t="s">
        <v>74</v>
      </c>
      <c r="AQ615" s="1" t="s">
        <v>74</v>
      </c>
      <c r="AR615" s="1" t="s">
        <v>74</v>
      </c>
      <c r="AS615" s="1" t="s">
        <v>74</v>
      </c>
      <c r="AT615" s="1" t="s">
        <v>193</v>
      </c>
      <c r="AU615" s="1">
        <v>2012.0</v>
      </c>
      <c r="AV615" s="1">
        <v>45.0</v>
      </c>
      <c r="AW615" s="1">
        <v>3.0</v>
      </c>
      <c r="AX615" s="1" t="s">
        <v>74</v>
      </c>
      <c r="AY615" s="1" t="s">
        <v>74</v>
      </c>
      <c r="AZ615" s="1" t="s">
        <v>74</v>
      </c>
      <c r="BA615" s="1" t="s">
        <v>74</v>
      </c>
      <c r="BB615" s="1">
        <v>90.0</v>
      </c>
      <c r="BC615" s="1">
        <v>93.0</v>
      </c>
      <c r="BD615" s="1" t="s">
        <v>74</v>
      </c>
      <c r="BE615" s="1" t="s">
        <v>5277</v>
      </c>
      <c r="BF615" s="2" t="str">
        <f>HYPERLINK("http://dx.doi.org/10.1177/002029401204500305","http://dx.doi.org/10.1177/002029401204500305")</f>
        <v>http://dx.doi.org/10.1177/002029401204500305</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5278</v>
      </c>
      <c r="BT615" s="1" t="str">
        <f>HYPERLINK("https%3A%2F%2Fwww.webofscience.com%2Fwos%2Fwoscc%2Ffull-record%2FWOS:000303366300005","View Full Record in Web of Science")</f>
        <v>View Full Record in Web of Science</v>
      </c>
    </row>
    <row r="616" ht="12.75" customHeight="1">
      <c r="A616" s="1" t="s">
        <v>72</v>
      </c>
      <c r="B616" s="1" t="s">
        <v>5279</v>
      </c>
      <c r="C616" s="1" t="s">
        <v>74</v>
      </c>
      <c r="D616" s="1" t="s">
        <v>74</v>
      </c>
      <c r="E616" s="1" t="s">
        <v>74</v>
      </c>
      <c r="F616" s="1" t="s">
        <v>5280</v>
      </c>
      <c r="G616" s="1" t="s">
        <v>74</v>
      </c>
      <c r="H616" s="1" t="s">
        <v>74</v>
      </c>
      <c r="I616" s="1" t="s">
        <v>5281</v>
      </c>
      <c r="J616" s="1" t="s">
        <v>5282</v>
      </c>
      <c r="K616" s="1" t="s">
        <v>74</v>
      </c>
      <c r="L616" s="1" t="s">
        <v>74</v>
      </c>
      <c r="M616" s="1" t="s">
        <v>74</v>
      </c>
      <c r="N616" s="1" t="s">
        <v>74</v>
      </c>
      <c r="O616" s="1" t="s">
        <v>74</v>
      </c>
      <c r="P616" s="1" t="s">
        <v>74</v>
      </c>
      <c r="Q616" s="1" t="s">
        <v>74</v>
      </c>
      <c r="R616" s="1" t="s">
        <v>74</v>
      </c>
      <c r="S616" s="1" t="s">
        <v>74</v>
      </c>
      <c r="T616" s="1" t="s">
        <v>74</v>
      </c>
      <c r="U616" s="1" t="s">
        <v>74</v>
      </c>
      <c r="V616" s="1" t="s">
        <v>5283</v>
      </c>
      <c r="W616" s="1" t="s">
        <v>74</v>
      </c>
      <c r="X616" s="1" t="s">
        <v>74</v>
      </c>
      <c r="Y616" s="1" t="s">
        <v>74</v>
      </c>
      <c r="Z616" s="1" t="s">
        <v>74</v>
      </c>
      <c r="AA616" s="1" t="s">
        <v>5284</v>
      </c>
      <c r="AB616" s="1" t="s">
        <v>5285</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5286</v>
      </c>
      <c r="AP616" s="1" t="s">
        <v>74</v>
      </c>
      <c r="AQ616" s="1" t="s">
        <v>74</v>
      </c>
      <c r="AR616" s="1" t="s">
        <v>74</v>
      </c>
      <c r="AS616" s="1" t="s">
        <v>74</v>
      </c>
      <c r="AT616" s="1" t="s">
        <v>74</v>
      </c>
      <c r="AU616" s="1">
        <v>2012.0</v>
      </c>
      <c r="AV616" s="1">
        <v>9.0</v>
      </c>
      <c r="AW616" s="1">
        <v>5.0</v>
      </c>
      <c r="AX616" s="1" t="s">
        <v>74</v>
      </c>
      <c r="AY616" s="1" t="s">
        <v>74</v>
      </c>
      <c r="AZ616" s="1" t="s">
        <v>74</v>
      </c>
      <c r="BA616" s="1" t="s">
        <v>74</v>
      </c>
      <c r="BB616" s="1">
        <v>597.0</v>
      </c>
      <c r="BC616" s="1">
        <v>613.0</v>
      </c>
      <c r="BD616" s="1" t="s">
        <v>74</v>
      </c>
      <c r="BE616" s="1" t="s">
        <v>5287</v>
      </c>
      <c r="BF616" s="2" t="str">
        <f>HYPERLINK("http://dx.doi.org/10.1590/S1679-78252012000500005","http://dx.doi.org/10.1590/S1679-78252012000500005")</f>
        <v>http://dx.doi.org/10.1590/S1679-78252012000500005</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5288</v>
      </c>
      <c r="BT616" s="1" t="str">
        <f>HYPERLINK("https%3A%2F%2Fwww.webofscience.com%2Fwos%2Fwoscc%2Ffull-record%2FWOS:000306401800005","View Full Record in Web of Science")</f>
        <v>View Full Record in Web of Science</v>
      </c>
    </row>
    <row r="617" ht="12.75" customHeight="1">
      <c r="A617" s="1" t="s">
        <v>72</v>
      </c>
      <c r="B617" s="1" t="s">
        <v>1273</v>
      </c>
      <c r="C617" s="1" t="s">
        <v>74</v>
      </c>
      <c r="D617" s="1" t="s">
        <v>74</v>
      </c>
      <c r="E617" s="1" t="s">
        <v>74</v>
      </c>
      <c r="F617" s="1" t="s">
        <v>5289</v>
      </c>
      <c r="G617" s="1" t="s">
        <v>74</v>
      </c>
      <c r="H617" s="1" t="s">
        <v>74</v>
      </c>
      <c r="I617" s="1" t="s">
        <v>5290</v>
      </c>
      <c r="J617" s="1" t="s">
        <v>5291</v>
      </c>
      <c r="K617" s="1" t="s">
        <v>74</v>
      </c>
      <c r="L617" s="1" t="s">
        <v>74</v>
      </c>
      <c r="M617" s="1" t="s">
        <v>74</v>
      </c>
      <c r="N617" s="1" t="s">
        <v>74</v>
      </c>
      <c r="O617" s="1" t="s">
        <v>74</v>
      </c>
      <c r="P617" s="1" t="s">
        <v>74</v>
      </c>
      <c r="Q617" s="1" t="s">
        <v>74</v>
      </c>
      <c r="R617" s="1" t="s">
        <v>74</v>
      </c>
      <c r="S617" s="1" t="s">
        <v>74</v>
      </c>
      <c r="T617" s="1" t="s">
        <v>74</v>
      </c>
      <c r="U617" s="1" t="s">
        <v>74</v>
      </c>
      <c r="V617" s="1" t="s">
        <v>5292</v>
      </c>
      <c r="W617" s="1" t="s">
        <v>74</v>
      </c>
      <c r="X617" s="1" t="s">
        <v>74</v>
      </c>
      <c r="Y617" s="1" t="s">
        <v>74</v>
      </c>
      <c r="Z617" s="1" t="s">
        <v>74</v>
      </c>
      <c r="AA617" s="1" t="s">
        <v>1278</v>
      </c>
      <c r="AB617" s="1" t="s">
        <v>1279</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5293</v>
      </c>
      <c r="AP617" s="1" t="s">
        <v>74</v>
      </c>
      <c r="AQ617" s="1" t="s">
        <v>74</v>
      </c>
      <c r="AR617" s="1" t="s">
        <v>74</v>
      </c>
      <c r="AS617" s="1" t="s">
        <v>74</v>
      </c>
      <c r="AT617" s="1" t="s">
        <v>74</v>
      </c>
      <c r="AU617" s="1">
        <v>2012.0</v>
      </c>
      <c r="AV617" s="1">
        <v>12.0</v>
      </c>
      <c r="AW617" s="1">
        <v>1.0</v>
      </c>
      <c r="AX617" s="1" t="s">
        <v>74</v>
      </c>
      <c r="AY617" s="1" t="s">
        <v>74</v>
      </c>
      <c r="AZ617" s="1" t="s">
        <v>74</v>
      </c>
      <c r="BA617" s="1" t="s">
        <v>74</v>
      </c>
      <c r="BB617" s="1" t="s">
        <v>74</v>
      </c>
      <c r="BC617" s="1" t="s">
        <v>74</v>
      </c>
      <c r="BD617" s="1">
        <v>65.0</v>
      </c>
      <c r="BE617" s="1" t="s">
        <v>5294</v>
      </c>
      <c r="BF617" s="2" t="str">
        <f>HYPERLINK("http://dx.doi.org/10.1515/1935-1682.3079","http://dx.doi.org/10.1515/1935-1682.3079")</f>
        <v>http://dx.doi.org/10.1515/1935-1682.3079</v>
      </c>
      <c r="BG617" s="1" t="s">
        <v>74</v>
      </c>
      <c r="BH617" s="1" t="s">
        <v>74</v>
      </c>
      <c r="BI617" s="1" t="s">
        <v>74</v>
      </c>
      <c r="BJ617" s="1" t="s">
        <v>74</v>
      </c>
      <c r="BK617" s="1" t="s">
        <v>74</v>
      </c>
      <c r="BL617" s="1" t="s">
        <v>74</v>
      </c>
      <c r="BM617" s="1" t="s">
        <v>74</v>
      </c>
      <c r="BN617" s="1" t="s">
        <v>74</v>
      </c>
      <c r="BO617" s="1" t="s">
        <v>74</v>
      </c>
      <c r="BP617" s="1" t="s">
        <v>74</v>
      </c>
      <c r="BQ617" s="1" t="s">
        <v>74</v>
      </c>
      <c r="BR617" s="1" t="s">
        <v>74</v>
      </c>
      <c r="BS617" s="1" t="s">
        <v>5295</v>
      </c>
      <c r="BT617" s="1" t="str">
        <f>HYPERLINK("https%3A%2F%2Fwww.webofscience.com%2Fwos%2Fwoscc%2Ffull-record%2FWOS:000313708100009","View Full Record in Web of Science")</f>
        <v>View Full Record in Web of Science</v>
      </c>
    </row>
    <row r="618" ht="12.75" customHeight="1">
      <c r="A618" s="1" t="s">
        <v>72</v>
      </c>
      <c r="B618" s="1" t="s">
        <v>5296</v>
      </c>
      <c r="C618" s="1" t="s">
        <v>74</v>
      </c>
      <c r="D618" s="1" t="s">
        <v>74</v>
      </c>
      <c r="E618" s="1" t="s">
        <v>74</v>
      </c>
      <c r="F618" s="1" t="s">
        <v>5297</v>
      </c>
      <c r="G618" s="1" t="s">
        <v>74</v>
      </c>
      <c r="H618" s="1" t="s">
        <v>74</v>
      </c>
      <c r="I618" s="1" t="s">
        <v>5298</v>
      </c>
      <c r="J618" s="1" t="s">
        <v>5299</v>
      </c>
      <c r="K618" s="1" t="s">
        <v>74</v>
      </c>
      <c r="L618" s="1" t="s">
        <v>74</v>
      </c>
      <c r="M618" s="1" t="s">
        <v>74</v>
      </c>
      <c r="N618" s="1" t="s">
        <v>74</v>
      </c>
      <c r="O618" s="1" t="s">
        <v>5300</v>
      </c>
      <c r="P618" s="1" t="s">
        <v>5301</v>
      </c>
      <c r="Q618" s="1" t="s">
        <v>5302</v>
      </c>
      <c r="R618" s="1" t="s">
        <v>74</v>
      </c>
      <c r="S618" s="1" t="s">
        <v>74</v>
      </c>
      <c r="T618" s="1" t="s">
        <v>74</v>
      </c>
      <c r="U618" s="1" t="s">
        <v>74</v>
      </c>
      <c r="V618" s="1" t="s">
        <v>5303</v>
      </c>
      <c r="W618" s="1" t="s">
        <v>74</v>
      </c>
      <c r="X618" s="1" t="s">
        <v>74</v>
      </c>
      <c r="Y618" s="1" t="s">
        <v>74</v>
      </c>
      <c r="Z618" s="1" t="s">
        <v>74</v>
      </c>
      <c r="AA618" s="1" t="s">
        <v>5304</v>
      </c>
      <c r="AB618" s="1" t="s">
        <v>74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5305</v>
      </c>
      <c r="AP618" s="1" t="s">
        <v>5306</v>
      </c>
      <c r="AQ618" s="1" t="s">
        <v>74</v>
      </c>
      <c r="AR618" s="1" t="s">
        <v>74</v>
      </c>
      <c r="AS618" s="1" t="s">
        <v>74</v>
      </c>
      <c r="AT618" s="1" t="s">
        <v>82</v>
      </c>
      <c r="AU618" s="1">
        <v>2011.0</v>
      </c>
      <c r="AV618" s="1">
        <v>20.0</v>
      </c>
      <c r="AW618" s="1" t="s">
        <v>74</v>
      </c>
      <c r="AX618" s="1" t="s">
        <v>74</v>
      </c>
      <c r="AY618" s="1">
        <v>1.0</v>
      </c>
      <c r="AZ618" s="1" t="s">
        <v>74</v>
      </c>
      <c r="BA618" s="1" t="s">
        <v>74</v>
      </c>
      <c r="BB618" s="1">
        <v>79.0</v>
      </c>
      <c r="BC618" s="1">
        <v>84.0</v>
      </c>
      <c r="BD618" s="1" t="s">
        <v>74</v>
      </c>
      <c r="BE618" s="1" t="s">
        <v>5307</v>
      </c>
      <c r="BF618" s="2" t="str">
        <f>HYPERLINK("http://dx.doi.org/10.1142/S0218301311040104","http://dx.doi.org/10.1142/S0218301311040104")</f>
        <v>http://dx.doi.org/10.1142/S0218301311040104</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5308</v>
      </c>
      <c r="BT618" s="1" t="str">
        <f>HYPERLINK("https%3A%2F%2Fwww.webofscience.com%2Fwos%2Fwoscc%2Ffull-record%2FWOS:000298820900011","View Full Record in Web of Science")</f>
        <v>View Full Record in Web of Science</v>
      </c>
    </row>
    <row r="619" ht="12.75" customHeight="1">
      <c r="A619" s="1" t="s">
        <v>72</v>
      </c>
      <c r="B619" s="1" t="s">
        <v>5309</v>
      </c>
      <c r="C619" s="1" t="s">
        <v>74</v>
      </c>
      <c r="D619" s="1" t="s">
        <v>74</v>
      </c>
      <c r="E619" s="1" t="s">
        <v>74</v>
      </c>
      <c r="F619" s="1" t="s">
        <v>5310</v>
      </c>
      <c r="G619" s="1" t="s">
        <v>74</v>
      </c>
      <c r="H619" s="1" t="s">
        <v>74</v>
      </c>
      <c r="I619" s="1" t="s">
        <v>5311</v>
      </c>
      <c r="J619" s="1" t="s">
        <v>816</v>
      </c>
      <c r="K619" s="1" t="s">
        <v>74</v>
      </c>
      <c r="L619" s="1" t="s">
        <v>74</v>
      </c>
      <c r="M619" s="1" t="s">
        <v>74</v>
      </c>
      <c r="N619" s="1" t="s">
        <v>74</v>
      </c>
      <c r="O619" s="1" t="s">
        <v>74</v>
      </c>
      <c r="P619" s="1" t="s">
        <v>74</v>
      </c>
      <c r="Q619" s="1" t="s">
        <v>74</v>
      </c>
      <c r="R619" s="1" t="s">
        <v>74</v>
      </c>
      <c r="S619" s="1" t="s">
        <v>74</v>
      </c>
      <c r="T619" s="1" t="s">
        <v>74</v>
      </c>
      <c r="U619" s="1" t="s">
        <v>74</v>
      </c>
      <c r="V619" s="1" t="s">
        <v>5312</v>
      </c>
      <c r="W619" s="1" t="s">
        <v>74</v>
      </c>
      <c r="X619" s="1" t="s">
        <v>74</v>
      </c>
      <c r="Y619" s="1" t="s">
        <v>74</v>
      </c>
      <c r="Z619" s="1" t="s">
        <v>74</v>
      </c>
      <c r="AA619" s="1" t="s">
        <v>5313</v>
      </c>
      <c r="AB619" s="1" t="s">
        <v>1630</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817</v>
      </c>
      <c r="AP619" s="1" t="s">
        <v>994</v>
      </c>
      <c r="AQ619" s="1" t="s">
        <v>74</v>
      </c>
      <c r="AR619" s="1" t="s">
        <v>74</v>
      </c>
      <c r="AS619" s="1" t="s">
        <v>74</v>
      </c>
      <c r="AT619" s="1" t="s">
        <v>158</v>
      </c>
      <c r="AU619" s="1">
        <v>2011.0</v>
      </c>
      <c r="AV619" s="1">
        <v>139.0</v>
      </c>
      <c r="AW619" s="1">
        <v>9.0</v>
      </c>
      <c r="AX619" s="1" t="s">
        <v>74</v>
      </c>
      <c r="AY619" s="1" t="s">
        <v>74</v>
      </c>
      <c r="AZ619" s="1" t="s">
        <v>74</v>
      </c>
      <c r="BA619" s="1" t="s">
        <v>74</v>
      </c>
      <c r="BB619" s="1">
        <v>1169.0</v>
      </c>
      <c r="BC619" s="1">
        <v>1175.0</v>
      </c>
      <c r="BD619" s="1" t="s">
        <v>74</v>
      </c>
      <c r="BE619" s="1" t="s">
        <v>5314</v>
      </c>
      <c r="BF619" s="2" t="str">
        <f>HYPERLINK("http://dx.doi.org/10.4067/S0034-98872011000900009","http://dx.doi.org/10.4067/S0034-98872011000900009")</f>
        <v>http://dx.doi.org/10.4067/S0034-98872011000900009</v>
      </c>
      <c r="BG619" s="1" t="s">
        <v>74</v>
      </c>
      <c r="BH619" s="1" t="s">
        <v>74</v>
      </c>
      <c r="BI619" s="1" t="s">
        <v>74</v>
      </c>
      <c r="BJ619" s="1" t="s">
        <v>74</v>
      </c>
      <c r="BK619" s="1" t="s">
        <v>74</v>
      </c>
      <c r="BL619" s="1" t="s">
        <v>74</v>
      </c>
      <c r="BM619" s="1" t="s">
        <v>74</v>
      </c>
      <c r="BN619" s="1">
        <v>2.2215396E7</v>
      </c>
      <c r="BO619" s="1" t="s">
        <v>74</v>
      </c>
      <c r="BP619" s="1" t="s">
        <v>74</v>
      </c>
      <c r="BQ619" s="1" t="s">
        <v>74</v>
      </c>
      <c r="BR619" s="1" t="s">
        <v>74</v>
      </c>
      <c r="BS619" s="1" t="s">
        <v>5315</v>
      </c>
      <c r="BT619" s="1" t="str">
        <f>HYPERLINK("https%3A%2F%2Fwww.webofscience.com%2Fwos%2Fwoscc%2Ffull-record%2FWOS:000297144000009","View Full Record in Web of Science")</f>
        <v>View Full Record in Web of Science</v>
      </c>
    </row>
    <row r="620" ht="12.75" customHeight="1">
      <c r="A620" s="1" t="s">
        <v>72</v>
      </c>
      <c r="B620" s="1" t="s">
        <v>5316</v>
      </c>
      <c r="C620" s="1" t="s">
        <v>74</v>
      </c>
      <c r="D620" s="1" t="s">
        <v>74</v>
      </c>
      <c r="E620" s="1" t="s">
        <v>74</v>
      </c>
      <c r="F620" s="1" t="s">
        <v>5317</v>
      </c>
      <c r="G620" s="1" t="s">
        <v>74</v>
      </c>
      <c r="H620" s="1" t="s">
        <v>74</v>
      </c>
      <c r="I620" s="1" t="s">
        <v>5318</v>
      </c>
      <c r="J620" s="1" t="s">
        <v>5319</v>
      </c>
      <c r="K620" s="1" t="s">
        <v>74</v>
      </c>
      <c r="L620" s="1" t="s">
        <v>74</v>
      </c>
      <c r="M620" s="1" t="s">
        <v>74</v>
      </c>
      <c r="N620" s="1" t="s">
        <v>74</v>
      </c>
      <c r="O620" s="1" t="s">
        <v>74</v>
      </c>
      <c r="P620" s="1" t="s">
        <v>74</v>
      </c>
      <c r="Q620" s="1" t="s">
        <v>74</v>
      </c>
      <c r="R620" s="1" t="s">
        <v>74</v>
      </c>
      <c r="S620" s="1" t="s">
        <v>74</v>
      </c>
      <c r="T620" s="1" t="s">
        <v>74</v>
      </c>
      <c r="U620" s="1" t="s">
        <v>74</v>
      </c>
      <c r="V620" s="1" t="s">
        <v>5320</v>
      </c>
      <c r="W620" s="1" t="s">
        <v>74</v>
      </c>
      <c r="X620" s="1" t="s">
        <v>74</v>
      </c>
      <c r="Y620" s="1" t="s">
        <v>74</v>
      </c>
      <c r="Z620" s="1" t="s">
        <v>74</v>
      </c>
      <c r="AA620" s="1" t="s">
        <v>5321</v>
      </c>
      <c r="AB620" s="1" t="s">
        <v>5322</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5323</v>
      </c>
      <c r="AP620" s="1" t="s">
        <v>5324</v>
      </c>
      <c r="AQ620" s="1" t="s">
        <v>74</v>
      </c>
      <c r="AR620" s="1" t="s">
        <v>74</v>
      </c>
      <c r="AS620" s="1" t="s">
        <v>74</v>
      </c>
      <c r="AT620" s="1" t="s">
        <v>91</v>
      </c>
      <c r="AU620" s="1">
        <v>2011.0</v>
      </c>
      <c r="AV620" s="1">
        <v>44.0</v>
      </c>
      <c r="AW620" s="1">
        <v>6.0</v>
      </c>
      <c r="AX620" s="1" t="s">
        <v>74</v>
      </c>
      <c r="AY620" s="1" t="s">
        <v>74</v>
      </c>
      <c r="AZ620" s="1" t="s">
        <v>74</v>
      </c>
      <c r="BA620" s="1" t="s">
        <v>74</v>
      </c>
      <c r="BB620" s="1">
        <v>1449.0</v>
      </c>
      <c r="BC620" s="1">
        <v>1457.0</v>
      </c>
      <c r="BD620" s="1" t="s">
        <v>74</v>
      </c>
      <c r="BE620" s="1" t="s">
        <v>5325</v>
      </c>
      <c r="BF620" s="2" t="str">
        <f>HYPERLINK("http://dx.doi.org/10.1016/j.lwt.2011.02.007","http://dx.doi.org/10.1016/j.lwt.2011.02.007")</f>
        <v>http://dx.doi.org/10.1016/j.lwt.2011.02.007</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5326</v>
      </c>
      <c r="BT620" s="1" t="str">
        <f>HYPERLINK("https%3A%2F%2Fwww.webofscience.com%2Fwos%2Fwoscc%2Ffull-record%2FWOS:000289752200016","View Full Record in Web of Science")</f>
        <v>View Full Record in Web of Science</v>
      </c>
    </row>
    <row r="621" ht="12.75" customHeight="1">
      <c r="A621" s="1" t="s">
        <v>72</v>
      </c>
      <c r="B621" s="1" t="s">
        <v>5327</v>
      </c>
      <c r="C621" s="1" t="s">
        <v>74</v>
      </c>
      <c r="D621" s="1" t="s">
        <v>74</v>
      </c>
      <c r="E621" s="1" t="s">
        <v>74</v>
      </c>
      <c r="F621" s="1" t="s">
        <v>5328</v>
      </c>
      <c r="G621" s="1" t="s">
        <v>74</v>
      </c>
      <c r="H621" s="1" t="s">
        <v>74</v>
      </c>
      <c r="I621" s="1" t="s">
        <v>5329</v>
      </c>
      <c r="J621" s="1" t="s">
        <v>1400</v>
      </c>
      <c r="K621" s="1" t="s">
        <v>74</v>
      </c>
      <c r="L621" s="1" t="s">
        <v>74</v>
      </c>
      <c r="M621" s="1" t="s">
        <v>74</v>
      </c>
      <c r="N621" s="1" t="s">
        <v>74</v>
      </c>
      <c r="O621" s="1" t="s">
        <v>74</v>
      </c>
      <c r="P621" s="1" t="s">
        <v>74</v>
      </c>
      <c r="Q621" s="1" t="s">
        <v>74</v>
      </c>
      <c r="R621" s="1" t="s">
        <v>74</v>
      </c>
      <c r="S621" s="1" t="s">
        <v>74</v>
      </c>
      <c r="T621" s="1" t="s">
        <v>74</v>
      </c>
      <c r="U621" s="1" t="s">
        <v>74</v>
      </c>
      <c r="V621" s="1" t="s">
        <v>74</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1401</v>
      </c>
      <c r="AP621" s="1" t="s">
        <v>4665</v>
      </c>
      <c r="AQ621" s="1" t="s">
        <v>74</v>
      </c>
      <c r="AR621" s="1" t="s">
        <v>74</v>
      </c>
      <c r="AS621" s="1" t="s">
        <v>74</v>
      </c>
      <c r="AT621" s="1" t="s">
        <v>224</v>
      </c>
      <c r="AU621" s="1">
        <v>2011.0</v>
      </c>
      <c r="AV621" s="1">
        <v>40.0</v>
      </c>
      <c r="AW621" s="1">
        <v>1.0</v>
      </c>
      <c r="AX621" s="1" t="s">
        <v>74</v>
      </c>
      <c r="AY621" s="1" t="s">
        <v>74</v>
      </c>
      <c r="AZ621" s="1" t="s">
        <v>74</v>
      </c>
      <c r="BA621" s="1" t="s">
        <v>74</v>
      </c>
      <c r="BB621" s="1">
        <v>125.0</v>
      </c>
      <c r="BC621" s="1">
        <v>140.0</v>
      </c>
      <c r="BD621" s="1" t="s">
        <v>74</v>
      </c>
      <c r="BE621" s="1" t="s">
        <v>74</v>
      </c>
      <c r="BF621" s="1" t="s">
        <v>74</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5330</v>
      </c>
      <c r="BT621" s="1" t="str">
        <f>HYPERLINK("https%3A%2F%2Fwww.webofscience.com%2Fwos%2Fwoscc%2Ffull-record%2FWOS:000209233800009","View Full Record in Web of Science")</f>
        <v>View Full Record in Web of Science</v>
      </c>
    </row>
    <row r="622" ht="12.75" customHeight="1">
      <c r="A622" s="1" t="s">
        <v>72</v>
      </c>
      <c r="B622" s="1" t="s">
        <v>548</v>
      </c>
      <c r="C622" s="1" t="s">
        <v>74</v>
      </c>
      <c r="D622" s="1" t="s">
        <v>74</v>
      </c>
      <c r="E622" s="1" t="s">
        <v>74</v>
      </c>
      <c r="F622" s="1" t="s">
        <v>549</v>
      </c>
      <c r="G622" s="1" t="s">
        <v>74</v>
      </c>
      <c r="H622" s="1" t="s">
        <v>74</v>
      </c>
      <c r="I622" s="1" t="s">
        <v>5331</v>
      </c>
      <c r="J622" s="1" t="s">
        <v>89</v>
      </c>
      <c r="K622" s="1" t="s">
        <v>74</v>
      </c>
      <c r="L622" s="1" t="s">
        <v>74</v>
      </c>
      <c r="M622" s="1" t="s">
        <v>74</v>
      </c>
      <c r="N622" s="1" t="s">
        <v>74</v>
      </c>
      <c r="O622" s="1" t="s">
        <v>74</v>
      </c>
      <c r="P622" s="1" t="s">
        <v>74</v>
      </c>
      <c r="Q622" s="1" t="s">
        <v>74</v>
      </c>
      <c r="R622" s="1" t="s">
        <v>74</v>
      </c>
      <c r="S622" s="1" t="s">
        <v>74</v>
      </c>
      <c r="T622" s="1" t="s">
        <v>74</v>
      </c>
      <c r="U622" s="1" t="s">
        <v>74</v>
      </c>
      <c r="V622" s="1" t="s">
        <v>5332</v>
      </c>
      <c r="W622" s="1" t="s">
        <v>74</v>
      </c>
      <c r="X622" s="1" t="s">
        <v>74</v>
      </c>
      <c r="Y622" s="1" t="s">
        <v>74</v>
      </c>
      <c r="Z622" s="1" t="s">
        <v>74</v>
      </c>
      <c r="AA622" s="1" t="s">
        <v>74</v>
      </c>
      <c r="AB622" s="1" t="s">
        <v>4647</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90</v>
      </c>
      <c r="AP622" s="1" t="s">
        <v>74</v>
      </c>
      <c r="AQ622" s="1" t="s">
        <v>74</v>
      </c>
      <c r="AR622" s="1" t="s">
        <v>74</v>
      </c>
      <c r="AS622" s="1" t="s">
        <v>74</v>
      </c>
      <c r="AT622" s="1" t="s">
        <v>74</v>
      </c>
      <c r="AU622" s="1">
        <v>2011.0</v>
      </c>
      <c r="AV622" s="1" t="s">
        <v>74</v>
      </c>
      <c r="AW622" s="1">
        <v>503.0</v>
      </c>
      <c r="AX622" s="1" t="s">
        <v>74</v>
      </c>
      <c r="AY622" s="1" t="s">
        <v>74</v>
      </c>
      <c r="AZ622" s="1" t="s">
        <v>74</v>
      </c>
      <c r="BA622" s="1" t="s">
        <v>74</v>
      </c>
      <c r="BB622" s="1">
        <v>83.0</v>
      </c>
      <c r="BC622" s="1">
        <v>91.0</v>
      </c>
      <c r="BD622" s="1" t="s">
        <v>74</v>
      </c>
      <c r="BE622" s="1" t="s">
        <v>5333</v>
      </c>
      <c r="BF622" s="2" t="str">
        <f>HYPERLINK("http://dx.doi.org/10.4067/S0718-04622011000100004","http://dx.doi.org/10.4067/S0718-04622011000100004")</f>
        <v>http://dx.doi.org/10.4067/S0718-04622011000100004</v>
      </c>
      <c r="BG622" s="1" t="s">
        <v>74</v>
      </c>
      <c r="BH622" s="1" t="s">
        <v>74</v>
      </c>
      <c r="BI622" s="1" t="s">
        <v>74</v>
      </c>
      <c r="BJ622" s="1" t="s">
        <v>74</v>
      </c>
      <c r="BK622" s="1" t="s">
        <v>74</v>
      </c>
      <c r="BL622" s="1" t="s">
        <v>74</v>
      </c>
      <c r="BM622" s="1" t="s">
        <v>74</v>
      </c>
      <c r="BN622" s="1" t="s">
        <v>74</v>
      </c>
      <c r="BO622" s="1" t="s">
        <v>74</v>
      </c>
      <c r="BP622" s="1" t="s">
        <v>74</v>
      </c>
      <c r="BQ622" s="1" t="s">
        <v>74</v>
      </c>
      <c r="BR622" s="1" t="s">
        <v>74</v>
      </c>
      <c r="BS622" s="1" t="s">
        <v>5334</v>
      </c>
      <c r="BT622" s="1" t="str">
        <f>HYPERLINK("https%3A%2F%2Fwww.webofscience.com%2Fwos%2Fwoscc%2Ffull-record%2FWOS:000295347000004","View Full Record in Web of Science")</f>
        <v>View Full Record in Web of Science</v>
      </c>
    </row>
    <row r="623" ht="12.75" customHeight="1">
      <c r="A623" s="1" t="s">
        <v>72</v>
      </c>
      <c r="B623" s="1" t="s">
        <v>5335</v>
      </c>
      <c r="C623" s="1" t="s">
        <v>74</v>
      </c>
      <c r="D623" s="1" t="s">
        <v>74</v>
      </c>
      <c r="E623" s="1" t="s">
        <v>74</v>
      </c>
      <c r="F623" s="1" t="s">
        <v>5336</v>
      </c>
      <c r="G623" s="1" t="s">
        <v>74</v>
      </c>
      <c r="H623" s="1" t="s">
        <v>74</v>
      </c>
      <c r="I623" s="1" t="s">
        <v>5337</v>
      </c>
      <c r="J623" s="1" t="s">
        <v>3947</v>
      </c>
      <c r="K623" s="1" t="s">
        <v>74</v>
      </c>
      <c r="L623" s="1" t="s">
        <v>74</v>
      </c>
      <c r="M623" s="1" t="s">
        <v>74</v>
      </c>
      <c r="N623" s="1" t="s">
        <v>74</v>
      </c>
      <c r="O623" s="1" t="s">
        <v>74</v>
      </c>
      <c r="P623" s="1" t="s">
        <v>74</v>
      </c>
      <c r="Q623" s="1" t="s">
        <v>74</v>
      </c>
      <c r="R623" s="1" t="s">
        <v>74</v>
      </c>
      <c r="S623" s="1" t="s">
        <v>74</v>
      </c>
      <c r="T623" s="1" t="s">
        <v>74</v>
      </c>
      <c r="U623" s="1" t="s">
        <v>74</v>
      </c>
      <c r="V623" s="1" t="s">
        <v>5338</v>
      </c>
      <c r="W623" s="1" t="s">
        <v>74</v>
      </c>
      <c r="X623" s="1" t="s">
        <v>74</v>
      </c>
      <c r="Y623" s="1" t="s">
        <v>74</v>
      </c>
      <c r="Z623" s="1" t="s">
        <v>74</v>
      </c>
      <c r="AA623" s="1" t="s">
        <v>5339</v>
      </c>
      <c r="AB623" s="1" t="s">
        <v>5340</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3950</v>
      </c>
      <c r="AP623" s="1" t="s">
        <v>3951</v>
      </c>
      <c r="AQ623" s="1" t="s">
        <v>74</v>
      </c>
      <c r="AR623" s="1" t="s">
        <v>74</v>
      </c>
      <c r="AS623" s="1" t="s">
        <v>74</v>
      </c>
      <c r="AT623" s="1" t="s">
        <v>224</v>
      </c>
      <c r="AU623" s="1">
        <v>2010.0</v>
      </c>
      <c r="AV623" s="1">
        <v>16.0</v>
      </c>
      <c r="AW623" s="1">
        <v>5.0</v>
      </c>
      <c r="AX623" s="1" t="s">
        <v>74</v>
      </c>
      <c r="AY623" s="1" t="s">
        <v>74</v>
      </c>
      <c r="AZ623" s="1" t="s">
        <v>74</v>
      </c>
      <c r="BA623" s="1" t="s">
        <v>74</v>
      </c>
      <c r="BB623" s="1">
        <v>1039.0</v>
      </c>
      <c r="BC623" s="1">
        <v>1045.0</v>
      </c>
      <c r="BD623" s="1" t="s">
        <v>74</v>
      </c>
      <c r="BE623" s="1" t="s">
        <v>5341</v>
      </c>
      <c r="BF623" s="2" t="str">
        <f>HYPERLINK("http://dx.doi.org/10.1007/s00894-009-0616-9","http://dx.doi.org/10.1007/s00894-009-0616-9")</f>
        <v>http://dx.doi.org/10.1007/s00894-009-0616-9</v>
      </c>
      <c r="BG623" s="1" t="s">
        <v>74</v>
      </c>
      <c r="BH623" s="1" t="s">
        <v>74</v>
      </c>
      <c r="BI623" s="1" t="s">
        <v>74</v>
      </c>
      <c r="BJ623" s="1" t="s">
        <v>74</v>
      </c>
      <c r="BK623" s="1" t="s">
        <v>74</v>
      </c>
      <c r="BL623" s="1" t="s">
        <v>74</v>
      </c>
      <c r="BM623" s="1" t="s">
        <v>74</v>
      </c>
      <c r="BN623" s="1">
        <v>1.9911203E7</v>
      </c>
      <c r="BO623" s="1" t="s">
        <v>74</v>
      </c>
      <c r="BP623" s="1" t="s">
        <v>74</v>
      </c>
      <c r="BQ623" s="1" t="s">
        <v>74</v>
      </c>
      <c r="BR623" s="1" t="s">
        <v>74</v>
      </c>
      <c r="BS623" s="1" t="s">
        <v>5342</v>
      </c>
      <c r="BT623" s="1" t="str">
        <f>HYPERLINK("https%3A%2F%2Fwww.webofscience.com%2Fwos%2Fwoscc%2Ffull-record%2FWOS:000276061300021","View Full Record in Web of Science")</f>
        <v>View Full Record in Web of Science</v>
      </c>
    </row>
    <row r="624" ht="12.75" customHeight="1">
      <c r="A624" s="1" t="s">
        <v>72</v>
      </c>
      <c r="B624" s="1" t="s">
        <v>5343</v>
      </c>
      <c r="C624" s="1" t="s">
        <v>74</v>
      </c>
      <c r="D624" s="1" t="s">
        <v>74</v>
      </c>
      <c r="E624" s="1" t="s">
        <v>74</v>
      </c>
      <c r="F624" s="1" t="s">
        <v>5344</v>
      </c>
      <c r="G624" s="1" t="s">
        <v>74</v>
      </c>
      <c r="H624" s="1" t="s">
        <v>74</v>
      </c>
      <c r="I624" s="1" t="s">
        <v>5345</v>
      </c>
      <c r="J624" s="1" t="s">
        <v>3148</v>
      </c>
      <c r="K624" s="1" t="s">
        <v>74</v>
      </c>
      <c r="L624" s="1" t="s">
        <v>74</v>
      </c>
      <c r="M624" s="1" t="s">
        <v>74</v>
      </c>
      <c r="N624" s="1" t="s">
        <v>74</v>
      </c>
      <c r="O624" s="1" t="s">
        <v>74</v>
      </c>
      <c r="P624" s="1" t="s">
        <v>74</v>
      </c>
      <c r="Q624" s="1" t="s">
        <v>74</v>
      </c>
      <c r="R624" s="1" t="s">
        <v>74</v>
      </c>
      <c r="S624" s="1" t="s">
        <v>74</v>
      </c>
      <c r="T624" s="1" t="s">
        <v>74</v>
      </c>
      <c r="U624" s="1" t="s">
        <v>74</v>
      </c>
      <c r="V624" s="1" t="s">
        <v>74</v>
      </c>
      <c r="W624" s="1" t="s">
        <v>74</v>
      </c>
      <c r="X624" s="1" t="s">
        <v>74</v>
      </c>
      <c r="Y624" s="1" t="s">
        <v>74</v>
      </c>
      <c r="Z624" s="1" t="s">
        <v>74</v>
      </c>
      <c r="AA624" s="1" t="s">
        <v>74</v>
      </c>
      <c r="AB624" s="1" t="s">
        <v>74</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3149</v>
      </c>
      <c r="AP624" s="1" t="s">
        <v>74</v>
      </c>
      <c r="AQ624" s="1" t="s">
        <v>74</v>
      </c>
      <c r="AR624" s="1" t="s">
        <v>74</v>
      </c>
      <c r="AS624" s="1" t="s">
        <v>74</v>
      </c>
      <c r="AT624" s="1" t="s">
        <v>74</v>
      </c>
      <c r="AU624" s="1">
        <v>2010.0</v>
      </c>
      <c r="AV624" s="1">
        <v>36.0</v>
      </c>
      <c r="AW624" s="1">
        <v>71.0</v>
      </c>
      <c r="AX624" s="1" t="s">
        <v>74</v>
      </c>
      <c r="AY624" s="1" t="s">
        <v>74</v>
      </c>
      <c r="AZ624" s="1" t="s">
        <v>74</v>
      </c>
      <c r="BA624" s="1" t="s">
        <v>74</v>
      </c>
      <c r="BB624" s="1">
        <v>364.0</v>
      </c>
      <c r="BC624" s="1">
        <v>369.0</v>
      </c>
      <c r="BD624" s="1" t="s">
        <v>74</v>
      </c>
      <c r="BE624" s="1" t="s">
        <v>74</v>
      </c>
      <c r="BF624" s="1" t="s">
        <v>74</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5346</v>
      </c>
      <c r="BT624" s="1" t="str">
        <f>HYPERLINK("https%3A%2F%2Fwww.webofscience.com%2Fwos%2Fwoscc%2Ffull-record%2FWOS:000286786300023","View Full Record in Web of Science")</f>
        <v>View Full Record in Web of Science</v>
      </c>
    </row>
    <row r="625" ht="12.75" customHeight="1">
      <c r="A625" s="1" t="s">
        <v>72</v>
      </c>
      <c r="B625" s="1" t="s">
        <v>5347</v>
      </c>
      <c r="C625" s="1" t="s">
        <v>74</v>
      </c>
      <c r="D625" s="1" t="s">
        <v>74</v>
      </c>
      <c r="E625" s="1" t="s">
        <v>74</v>
      </c>
      <c r="F625" s="1" t="s">
        <v>5348</v>
      </c>
      <c r="G625" s="1" t="s">
        <v>74</v>
      </c>
      <c r="H625" s="1" t="s">
        <v>74</v>
      </c>
      <c r="I625" s="1" t="s">
        <v>5349</v>
      </c>
      <c r="J625" s="1" t="s">
        <v>5350</v>
      </c>
      <c r="K625" s="1" t="s">
        <v>74</v>
      </c>
      <c r="L625" s="1" t="s">
        <v>74</v>
      </c>
      <c r="M625" s="1" t="s">
        <v>74</v>
      </c>
      <c r="N625" s="1" t="s">
        <v>74</v>
      </c>
      <c r="O625" s="1" t="s">
        <v>74</v>
      </c>
      <c r="P625" s="1" t="s">
        <v>74</v>
      </c>
      <c r="Q625" s="1" t="s">
        <v>74</v>
      </c>
      <c r="R625" s="1" t="s">
        <v>74</v>
      </c>
      <c r="S625" s="1" t="s">
        <v>74</v>
      </c>
      <c r="T625" s="1" t="s">
        <v>74</v>
      </c>
      <c r="U625" s="1" t="s">
        <v>74</v>
      </c>
      <c r="V625" s="1" t="s">
        <v>5351</v>
      </c>
      <c r="W625" s="1" t="s">
        <v>74</v>
      </c>
      <c r="X625" s="1" t="s">
        <v>74</v>
      </c>
      <c r="Y625" s="1" t="s">
        <v>74</v>
      </c>
      <c r="Z625" s="1" t="s">
        <v>74</v>
      </c>
      <c r="AA625" s="1" t="s">
        <v>5352</v>
      </c>
      <c r="AB625" s="1" t="s">
        <v>74</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5353</v>
      </c>
      <c r="AP625" s="1" t="s">
        <v>5354</v>
      </c>
      <c r="AQ625" s="1" t="s">
        <v>74</v>
      </c>
      <c r="AR625" s="1" t="s">
        <v>74</v>
      </c>
      <c r="AS625" s="1" t="s">
        <v>74</v>
      </c>
      <c r="AT625" s="1" t="s">
        <v>5355</v>
      </c>
      <c r="AU625" s="1">
        <v>2009.0</v>
      </c>
      <c r="AV625" s="1">
        <v>380.0</v>
      </c>
      <c r="AW625" s="1">
        <v>1.0</v>
      </c>
      <c r="AX625" s="1" t="s">
        <v>74</v>
      </c>
      <c r="AY625" s="1" t="s">
        <v>74</v>
      </c>
      <c r="AZ625" s="1" t="s">
        <v>74</v>
      </c>
      <c r="BA625" s="1" t="s">
        <v>74</v>
      </c>
      <c r="BB625" s="1">
        <v>148.0</v>
      </c>
      <c r="BC625" s="1">
        <v>152.0</v>
      </c>
      <c r="BD625" s="1" t="s">
        <v>74</v>
      </c>
      <c r="BE625" s="1" t="s">
        <v>5356</v>
      </c>
      <c r="BF625" s="2" t="str">
        <f>HYPERLINK("http://dx.doi.org/10.1016/j.bbrc.2009.01.078","http://dx.doi.org/10.1016/j.bbrc.2009.01.078")</f>
        <v>http://dx.doi.org/10.1016/j.bbrc.2009.01.078</v>
      </c>
      <c r="BG625" s="1" t="s">
        <v>74</v>
      </c>
      <c r="BH625" s="1" t="s">
        <v>74</v>
      </c>
      <c r="BI625" s="1" t="s">
        <v>74</v>
      </c>
      <c r="BJ625" s="1" t="s">
        <v>74</v>
      </c>
      <c r="BK625" s="1" t="s">
        <v>74</v>
      </c>
      <c r="BL625" s="1" t="s">
        <v>74</v>
      </c>
      <c r="BM625" s="1" t="s">
        <v>74</v>
      </c>
      <c r="BN625" s="1">
        <v>1.916803E7</v>
      </c>
      <c r="BO625" s="1" t="s">
        <v>74</v>
      </c>
      <c r="BP625" s="1" t="s">
        <v>74</v>
      </c>
      <c r="BQ625" s="1" t="s">
        <v>74</v>
      </c>
      <c r="BR625" s="1" t="s">
        <v>74</v>
      </c>
      <c r="BS625" s="1" t="s">
        <v>5357</v>
      </c>
      <c r="BT625" s="1" t="str">
        <f>HYPERLINK("https%3A%2F%2Fwww.webofscience.com%2Fwos%2Fwoscc%2Ffull-record%2FWOS:000263656100028","View Full Record in Web of Science")</f>
        <v>View Full Record in Web of Science</v>
      </c>
    </row>
    <row r="626" ht="12.75" customHeight="1">
      <c r="A626" s="1" t="s">
        <v>72</v>
      </c>
      <c r="B626" s="1" t="s">
        <v>5358</v>
      </c>
      <c r="C626" s="1" t="s">
        <v>74</v>
      </c>
      <c r="D626" s="1" t="s">
        <v>74</v>
      </c>
      <c r="E626" s="1" t="s">
        <v>74</v>
      </c>
      <c r="F626" s="1" t="s">
        <v>5359</v>
      </c>
      <c r="G626" s="1" t="s">
        <v>74</v>
      </c>
      <c r="H626" s="1" t="s">
        <v>74</v>
      </c>
      <c r="I626" s="1" t="s">
        <v>5360</v>
      </c>
      <c r="J626" s="1" t="s">
        <v>5361</v>
      </c>
      <c r="K626" s="1" t="s">
        <v>74</v>
      </c>
      <c r="L626" s="1" t="s">
        <v>74</v>
      </c>
      <c r="M626" s="1" t="s">
        <v>74</v>
      </c>
      <c r="N626" s="1" t="s">
        <v>74</v>
      </c>
      <c r="O626" s="1" t="s">
        <v>74</v>
      </c>
      <c r="P626" s="1" t="s">
        <v>74</v>
      </c>
      <c r="Q626" s="1" t="s">
        <v>74</v>
      </c>
      <c r="R626" s="1" t="s">
        <v>74</v>
      </c>
      <c r="S626" s="1" t="s">
        <v>74</v>
      </c>
      <c r="T626" s="1" t="s">
        <v>74</v>
      </c>
      <c r="U626" s="1" t="s">
        <v>74</v>
      </c>
      <c r="V626" s="1" t="s">
        <v>5362</v>
      </c>
      <c r="W626" s="1" t="s">
        <v>74</v>
      </c>
      <c r="X626" s="1" t="s">
        <v>74</v>
      </c>
      <c r="Y626" s="1" t="s">
        <v>74</v>
      </c>
      <c r="Z626" s="1" t="s">
        <v>74</v>
      </c>
      <c r="AA626" s="1" t="s">
        <v>5363</v>
      </c>
      <c r="AB626" s="1" t="s">
        <v>74</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5364</v>
      </c>
      <c r="AP626" s="1" t="s">
        <v>5365</v>
      </c>
      <c r="AQ626" s="1" t="s">
        <v>74</v>
      </c>
      <c r="AR626" s="1" t="s">
        <v>74</v>
      </c>
      <c r="AS626" s="1" t="s">
        <v>74</v>
      </c>
      <c r="AT626" s="1" t="s">
        <v>74</v>
      </c>
      <c r="AU626" s="1">
        <v>2009.0</v>
      </c>
      <c r="AV626" s="1" t="s">
        <v>74</v>
      </c>
      <c r="AW626" s="1">
        <v>50.0</v>
      </c>
      <c r="AX626" s="1" t="s">
        <v>74</v>
      </c>
      <c r="AY626" s="1" t="s">
        <v>74</v>
      </c>
      <c r="AZ626" s="1" t="s">
        <v>74</v>
      </c>
      <c r="BA626" s="1" t="s">
        <v>74</v>
      </c>
      <c r="BB626" s="1">
        <v>7.0</v>
      </c>
      <c r="BC626" s="1">
        <v>42.0</v>
      </c>
      <c r="BD626" s="1" t="s">
        <v>74</v>
      </c>
      <c r="BE626" s="1" t="s">
        <v>74</v>
      </c>
      <c r="BF626" s="1" t="s">
        <v>74</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5366</v>
      </c>
      <c r="BT626" s="1" t="str">
        <f>HYPERLINK("https%3A%2F%2Fwww.webofscience.com%2Fwos%2Fwoscc%2Ffull-record%2FWOS:000272402200001","View Full Record in Web of Science")</f>
        <v>View Full Record in Web of Science</v>
      </c>
    </row>
    <row r="627" ht="12.75" customHeight="1">
      <c r="A627" s="1" t="s">
        <v>72</v>
      </c>
      <c r="B627" s="1" t="s">
        <v>413</v>
      </c>
      <c r="C627" s="1" t="s">
        <v>74</v>
      </c>
      <c r="D627" s="1" t="s">
        <v>74</v>
      </c>
      <c r="E627" s="1" t="s">
        <v>74</v>
      </c>
      <c r="F627" s="1" t="s">
        <v>414</v>
      </c>
      <c r="G627" s="1" t="s">
        <v>74</v>
      </c>
      <c r="H627" s="1" t="s">
        <v>74</v>
      </c>
      <c r="I627" s="1" t="s">
        <v>5367</v>
      </c>
      <c r="J627" s="1" t="s">
        <v>5368</v>
      </c>
      <c r="K627" s="1" t="s">
        <v>74</v>
      </c>
      <c r="L627" s="1" t="s">
        <v>74</v>
      </c>
      <c r="M627" s="1" t="s">
        <v>74</v>
      </c>
      <c r="N627" s="1" t="s">
        <v>74</v>
      </c>
      <c r="O627" s="1" t="s">
        <v>74</v>
      </c>
      <c r="P627" s="1" t="s">
        <v>74</v>
      </c>
      <c r="Q627" s="1" t="s">
        <v>74</v>
      </c>
      <c r="R627" s="1" t="s">
        <v>74</v>
      </c>
      <c r="S627" s="1" t="s">
        <v>74</v>
      </c>
      <c r="T627" s="1" t="s">
        <v>74</v>
      </c>
      <c r="U627" s="1" t="s">
        <v>74</v>
      </c>
      <c r="V627" s="1" t="s">
        <v>5369</v>
      </c>
      <c r="W627" s="1" t="s">
        <v>74</v>
      </c>
      <c r="X627" s="1" t="s">
        <v>74</v>
      </c>
      <c r="Y627" s="1" t="s">
        <v>74</v>
      </c>
      <c r="Z627" s="1" t="s">
        <v>74</v>
      </c>
      <c r="AA627" s="1" t="s">
        <v>74</v>
      </c>
      <c r="AB627" s="1" t="s">
        <v>74</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5370</v>
      </c>
      <c r="AP627" s="1" t="s">
        <v>74</v>
      </c>
      <c r="AQ627" s="1" t="s">
        <v>74</v>
      </c>
      <c r="AR627" s="1" t="s">
        <v>74</v>
      </c>
      <c r="AS627" s="1" t="s">
        <v>74</v>
      </c>
      <c r="AT627" s="1" t="s">
        <v>276</v>
      </c>
      <c r="AU627" s="1">
        <v>2008.0</v>
      </c>
      <c r="AV627" s="1">
        <v>21.0</v>
      </c>
      <c r="AW627" s="1">
        <v>10.0</v>
      </c>
      <c r="AX627" s="1" t="s">
        <v>74</v>
      </c>
      <c r="AY627" s="1" t="s">
        <v>74</v>
      </c>
      <c r="AZ627" s="1" t="s">
        <v>74</v>
      </c>
      <c r="BA627" s="1" t="s">
        <v>74</v>
      </c>
      <c r="BB627" s="1">
        <v>1041.0</v>
      </c>
      <c r="BC627" s="1">
        <v>1045.0</v>
      </c>
      <c r="BD627" s="1" t="s">
        <v>74</v>
      </c>
      <c r="BE627" s="1" t="s">
        <v>5371</v>
      </c>
      <c r="BF627" s="2" t="str">
        <f>HYPERLINK("http://dx.doi.org/10.1016/j.aml.2007.10.024","http://dx.doi.org/10.1016/j.aml.2007.10.024")</f>
        <v>http://dx.doi.org/10.1016/j.aml.2007.10.024</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5372</v>
      </c>
      <c r="BT627" s="1" t="str">
        <f>HYPERLINK("https%3A%2F%2Fwww.webofscience.com%2Fwos%2Fwoscc%2Ffull-record%2FWOS:000259277000010","View Full Record in Web of Science")</f>
        <v>View Full Record in Web of Science</v>
      </c>
    </row>
    <row r="628" ht="12.75" customHeight="1">
      <c r="A628" s="1" t="s">
        <v>72</v>
      </c>
      <c r="B628" s="1" t="s">
        <v>5373</v>
      </c>
      <c r="C628" s="1" t="s">
        <v>74</v>
      </c>
      <c r="D628" s="1" t="s">
        <v>74</v>
      </c>
      <c r="E628" s="1" t="s">
        <v>74</v>
      </c>
      <c r="F628" s="1" t="s">
        <v>5374</v>
      </c>
      <c r="G628" s="1" t="s">
        <v>74</v>
      </c>
      <c r="H628" s="1" t="s">
        <v>74</v>
      </c>
      <c r="I628" s="1" t="s">
        <v>5375</v>
      </c>
      <c r="J628" s="1" t="s">
        <v>5376</v>
      </c>
      <c r="K628" s="1" t="s">
        <v>74</v>
      </c>
      <c r="L628" s="1" t="s">
        <v>74</v>
      </c>
      <c r="M628" s="1" t="s">
        <v>74</v>
      </c>
      <c r="N628" s="1" t="s">
        <v>74</v>
      </c>
      <c r="O628" s="1" t="s">
        <v>74</v>
      </c>
      <c r="P628" s="1" t="s">
        <v>74</v>
      </c>
      <c r="Q628" s="1" t="s">
        <v>74</v>
      </c>
      <c r="R628" s="1" t="s">
        <v>74</v>
      </c>
      <c r="S628" s="1" t="s">
        <v>74</v>
      </c>
      <c r="T628" s="1" t="s">
        <v>74</v>
      </c>
      <c r="U628" s="1" t="s">
        <v>74</v>
      </c>
      <c r="V628" s="1" t="s">
        <v>5377</v>
      </c>
      <c r="W628" s="1" t="s">
        <v>74</v>
      </c>
      <c r="X628" s="1" t="s">
        <v>74</v>
      </c>
      <c r="Y628" s="1" t="s">
        <v>74</v>
      </c>
      <c r="Z628" s="1" t="s">
        <v>74</v>
      </c>
      <c r="AA628" s="1" t="s">
        <v>74</v>
      </c>
      <c r="AB628" s="1" t="s">
        <v>74</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5378</v>
      </c>
      <c r="AP628" s="1" t="s">
        <v>74</v>
      </c>
      <c r="AQ628" s="1" t="s">
        <v>74</v>
      </c>
      <c r="AR628" s="1" t="s">
        <v>74</v>
      </c>
      <c r="AS628" s="1" t="s">
        <v>74</v>
      </c>
      <c r="AT628" s="1" t="s">
        <v>74</v>
      </c>
      <c r="AU628" s="1">
        <v>2008.0</v>
      </c>
      <c r="AV628" s="1">
        <v>25.0</v>
      </c>
      <c r="AW628" s="1">
        <v>1.0</v>
      </c>
      <c r="AX628" s="1" t="s">
        <v>74</v>
      </c>
      <c r="AY628" s="1" t="s">
        <v>74</v>
      </c>
      <c r="AZ628" s="1" t="s">
        <v>74</v>
      </c>
      <c r="BA628" s="1" t="s">
        <v>74</v>
      </c>
      <c r="BB628" s="1">
        <v>181.0</v>
      </c>
      <c r="BC628" s="1">
        <v>200.0</v>
      </c>
      <c r="BD628" s="1" t="s">
        <v>74</v>
      </c>
      <c r="BE628" s="1" t="s">
        <v>5379</v>
      </c>
      <c r="BF628" s="2" t="str">
        <f>HYPERLINK("http://dx.doi.org/10.1016/j.anihpc.2006.11.008","http://dx.doi.org/10.1016/j.anihpc.2006.11.008")</f>
        <v>http://dx.doi.org/10.1016/j.anihpc.2006.11.008</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5380</v>
      </c>
      <c r="BT628" s="1" t="str">
        <f>HYPERLINK("https%3A%2F%2Fwww.webofscience.com%2Fwos%2Fwoscc%2Ffull-record%2FWOS:000252802500010","View Full Record in Web of Science")</f>
        <v>View Full Record in Web of Science</v>
      </c>
    </row>
    <row r="629" ht="12.75" customHeight="1">
      <c r="A629" s="1" t="s">
        <v>72</v>
      </c>
      <c r="B629" s="1" t="s">
        <v>3145</v>
      </c>
      <c r="C629" s="1" t="s">
        <v>74</v>
      </c>
      <c r="D629" s="1" t="s">
        <v>74</v>
      </c>
      <c r="E629" s="1" t="s">
        <v>74</v>
      </c>
      <c r="F629" s="1" t="s">
        <v>3146</v>
      </c>
      <c r="G629" s="1" t="s">
        <v>74</v>
      </c>
      <c r="H629" s="1" t="s">
        <v>74</v>
      </c>
      <c r="I629" s="1" t="s">
        <v>5381</v>
      </c>
      <c r="J629" s="1" t="s">
        <v>3148</v>
      </c>
      <c r="K629" s="1" t="s">
        <v>74</v>
      </c>
      <c r="L629" s="1" t="s">
        <v>74</v>
      </c>
      <c r="M629" s="1" t="s">
        <v>74</v>
      </c>
      <c r="N629" s="1" t="s">
        <v>74</v>
      </c>
      <c r="O629" s="1" t="s">
        <v>5382</v>
      </c>
      <c r="P629" s="1" t="s">
        <v>5383</v>
      </c>
      <c r="Q629" s="1" t="s">
        <v>2123</v>
      </c>
      <c r="R629" s="1" t="s">
        <v>74</v>
      </c>
      <c r="S629" s="1" t="s">
        <v>74</v>
      </c>
      <c r="T629" s="1" t="s">
        <v>74</v>
      </c>
      <c r="U629" s="1" t="s">
        <v>74</v>
      </c>
      <c r="V629" s="1" t="s">
        <v>74</v>
      </c>
      <c r="W629" s="1" t="s">
        <v>74</v>
      </c>
      <c r="X629" s="1" t="s">
        <v>74</v>
      </c>
      <c r="Y629" s="1" t="s">
        <v>74</v>
      </c>
      <c r="Z629" s="1" t="s">
        <v>74</v>
      </c>
      <c r="AA629" s="1" t="s">
        <v>74</v>
      </c>
      <c r="AB629" s="1" t="s">
        <v>74</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3149</v>
      </c>
      <c r="AP629" s="1" t="s">
        <v>74</v>
      </c>
      <c r="AQ629" s="1" t="s">
        <v>74</v>
      </c>
      <c r="AR629" s="1" t="s">
        <v>74</v>
      </c>
      <c r="AS629" s="1" t="s">
        <v>74</v>
      </c>
      <c r="AT629" s="1" t="s">
        <v>74</v>
      </c>
      <c r="AU629" s="1">
        <v>2008.0</v>
      </c>
      <c r="AV629" s="1">
        <v>34.0</v>
      </c>
      <c r="AW629" s="1">
        <v>67.0</v>
      </c>
      <c r="AX629" s="1" t="s">
        <v>74</v>
      </c>
      <c r="AY629" s="1" t="s">
        <v>74</v>
      </c>
      <c r="AZ629" s="1" t="s">
        <v>74</v>
      </c>
      <c r="BA629" s="1" t="s">
        <v>74</v>
      </c>
      <c r="BB629" s="1">
        <v>9.0</v>
      </c>
      <c r="BC629" s="1">
        <v>27.0</v>
      </c>
      <c r="BD629" s="1" t="s">
        <v>74</v>
      </c>
      <c r="BE629" s="1" t="s">
        <v>74</v>
      </c>
      <c r="BF629" s="1" t="s">
        <v>74</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5384</v>
      </c>
      <c r="BT629" s="1" t="str">
        <f>HYPERLINK("https%3A%2F%2Fwww.webofscience.com%2Fwos%2Fwoscc%2Ffull-record%2FWOS:000265620500002","View Full Record in Web of Science")</f>
        <v>View Full Record in Web of Science</v>
      </c>
    </row>
    <row r="630" ht="12.75" customHeight="1">
      <c r="A630" s="1" t="s">
        <v>72</v>
      </c>
      <c r="B630" s="1" t="s">
        <v>5385</v>
      </c>
      <c r="C630" s="1" t="s">
        <v>74</v>
      </c>
      <c r="D630" s="1" t="s">
        <v>74</v>
      </c>
      <c r="E630" s="1" t="s">
        <v>74</v>
      </c>
      <c r="F630" s="1" t="s">
        <v>5386</v>
      </c>
      <c r="G630" s="1" t="s">
        <v>74</v>
      </c>
      <c r="H630" s="1" t="s">
        <v>74</v>
      </c>
      <c r="I630" s="1" t="s">
        <v>5387</v>
      </c>
      <c r="J630" s="1" t="s">
        <v>514</v>
      </c>
      <c r="K630" s="1" t="s">
        <v>74</v>
      </c>
      <c r="L630" s="1" t="s">
        <v>74</v>
      </c>
      <c r="M630" s="1" t="s">
        <v>74</v>
      </c>
      <c r="N630" s="1" t="s">
        <v>74</v>
      </c>
      <c r="O630" s="1" t="s">
        <v>74</v>
      </c>
      <c r="P630" s="1" t="s">
        <v>74</v>
      </c>
      <c r="Q630" s="1" t="s">
        <v>74</v>
      </c>
      <c r="R630" s="1" t="s">
        <v>74</v>
      </c>
      <c r="S630" s="1" t="s">
        <v>74</v>
      </c>
      <c r="T630" s="1" t="s">
        <v>74</v>
      </c>
      <c r="U630" s="1" t="s">
        <v>74</v>
      </c>
      <c r="V630" s="1" t="s">
        <v>5388</v>
      </c>
      <c r="W630" s="1" t="s">
        <v>74</v>
      </c>
      <c r="X630" s="1" t="s">
        <v>74</v>
      </c>
      <c r="Y630" s="1" t="s">
        <v>74</v>
      </c>
      <c r="Z630" s="1" t="s">
        <v>74</v>
      </c>
      <c r="AA630" s="1" t="s">
        <v>74</v>
      </c>
      <c r="AB630" s="1" t="s">
        <v>74</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516</v>
      </c>
      <c r="AP630" s="1" t="s">
        <v>74</v>
      </c>
      <c r="AQ630" s="1" t="s">
        <v>74</v>
      </c>
      <c r="AR630" s="1" t="s">
        <v>74</v>
      </c>
      <c r="AS630" s="1" t="s">
        <v>74</v>
      </c>
      <c r="AT630" s="1" t="s">
        <v>74</v>
      </c>
      <c r="AU630" s="1">
        <v>2008.0</v>
      </c>
      <c r="AV630" s="1">
        <v>26.0</v>
      </c>
      <c r="AW630" s="1">
        <v>1.0</v>
      </c>
      <c r="AX630" s="1" t="s">
        <v>74</v>
      </c>
      <c r="AY630" s="1" t="s">
        <v>74</v>
      </c>
      <c r="AZ630" s="1" t="s">
        <v>74</v>
      </c>
      <c r="BA630" s="1" t="s">
        <v>74</v>
      </c>
      <c r="BB630" s="1">
        <v>122.0</v>
      </c>
      <c r="BC630" s="1">
        <v>131.0</v>
      </c>
      <c r="BD630" s="1" t="s">
        <v>74</v>
      </c>
      <c r="BE630" s="1" t="s">
        <v>5389</v>
      </c>
      <c r="BF630" s="2" t="str">
        <f>HYPERLINK("http://dx.doi.org/10.1080/07373930701781777","http://dx.doi.org/10.1080/07373930701781777")</f>
        <v>http://dx.doi.org/10.1080/07373930701781777</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5390</v>
      </c>
      <c r="BT630" s="1" t="str">
        <f>HYPERLINK("https%3A%2F%2Fwww.webofscience.com%2Fwos%2Fwoscc%2Ffull-record%2FWOS:000252324100014","View Full Record in Web of Science")</f>
        <v>View Full Record in Web of Science</v>
      </c>
    </row>
    <row r="631" ht="12.75" customHeight="1">
      <c r="A631" s="1" t="s">
        <v>72</v>
      </c>
      <c r="B631" s="1" t="s">
        <v>5391</v>
      </c>
      <c r="C631" s="1" t="s">
        <v>74</v>
      </c>
      <c r="D631" s="1" t="s">
        <v>74</v>
      </c>
      <c r="E631" s="1" t="s">
        <v>74</v>
      </c>
      <c r="F631" s="1" t="s">
        <v>5392</v>
      </c>
      <c r="G631" s="1" t="s">
        <v>74</v>
      </c>
      <c r="H631" s="1" t="s">
        <v>74</v>
      </c>
      <c r="I631" s="1" t="s">
        <v>5393</v>
      </c>
      <c r="J631" s="1" t="s">
        <v>5394</v>
      </c>
      <c r="K631" s="1" t="s">
        <v>74</v>
      </c>
      <c r="L631" s="1" t="s">
        <v>74</v>
      </c>
      <c r="M631" s="1" t="s">
        <v>74</v>
      </c>
      <c r="N631" s="1" t="s">
        <v>74</v>
      </c>
      <c r="O631" s="1" t="s">
        <v>74</v>
      </c>
      <c r="P631" s="1" t="s">
        <v>74</v>
      </c>
      <c r="Q631" s="1" t="s">
        <v>74</v>
      </c>
      <c r="R631" s="1" t="s">
        <v>74</v>
      </c>
      <c r="S631" s="1" t="s">
        <v>74</v>
      </c>
      <c r="T631" s="1" t="s">
        <v>74</v>
      </c>
      <c r="U631" s="1" t="s">
        <v>74</v>
      </c>
      <c r="V631" s="1" t="s">
        <v>5395</v>
      </c>
      <c r="W631" s="1" t="s">
        <v>74</v>
      </c>
      <c r="X631" s="1" t="s">
        <v>74</v>
      </c>
      <c r="Y631" s="1" t="s">
        <v>74</v>
      </c>
      <c r="Z631" s="1" t="s">
        <v>74</v>
      </c>
      <c r="AA631" s="1" t="s">
        <v>5396</v>
      </c>
      <c r="AB631" s="1" t="s">
        <v>5397</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5398</v>
      </c>
      <c r="AP631" s="1" t="s">
        <v>74</v>
      </c>
      <c r="AQ631" s="1" t="s">
        <v>74</v>
      </c>
      <c r="AR631" s="1" t="s">
        <v>74</v>
      </c>
      <c r="AS631" s="1" t="s">
        <v>74</v>
      </c>
      <c r="AT631" s="1" t="s">
        <v>974</v>
      </c>
      <c r="AU631" s="1">
        <v>2007.0</v>
      </c>
      <c r="AV631" s="1">
        <v>5.0</v>
      </c>
      <c r="AW631" s="1">
        <v>4.0</v>
      </c>
      <c r="AX631" s="1" t="s">
        <v>74</v>
      </c>
      <c r="AY631" s="1" t="s">
        <v>74</v>
      </c>
      <c r="AZ631" s="1" t="s">
        <v>74</v>
      </c>
      <c r="BA631" s="1" t="s">
        <v>74</v>
      </c>
      <c r="BB631" s="1">
        <v>457.0</v>
      </c>
      <c r="BC631" s="1">
        <v>468.0</v>
      </c>
      <c r="BD631" s="1" t="s">
        <v>74</v>
      </c>
      <c r="BE631" s="1" t="s">
        <v>5399</v>
      </c>
      <c r="BF631" s="2" t="str">
        <f>HYPERLINK("http://dx.doi.org/10.1142/S0219749907003006","http://dx.doi.org/10.1142/S0219749907003006")</f>
        <v>http://dx.doi.org/10.1142/S0219749907003006</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5400</v>
      </c>
      <c r="BT631" s="1" t="str">
        <f>HYPERLINK("https%3A%2F%2Fwww.webofscience.com%2Fwos%2Fwoscc%2Ffull-record%2FWOS:000251175600002","View Full Record in Web of Science")</f>
        <v>View Full Record in Web of Science</v>
      </c>
    </row>
    <row r="632" ht="12.75" customHeight="1">
      <c r="A632" s="1" t="s">
        <v>72</v>
      </c>
      <c r="B632" s="1" t="s">
        <v>5401</v>
      </c>
      <c r="C632" s="1" t="s">
        <v>74</v>
      </c>
      <c r="D632" s="1" t="s">
        <v>74</v>
      </c>
      <c r="E632" s="1" t="s">
        <v>74</v>
      </c>
      <c r="F632" s="1" t="s">
        <v>5402</v>
      </c>
      <c r="G632" s="1" t="s">
        <v>74</v>
      </c>
      <c r="H632" s="1" t="s">
        <v>74</v>
      </c>
      <c r="I632" s="1" t="s">
        <v>5403</v>
      </c>
      <c r="J632" s="1" t="s">
        <v>5404</v>
      </c>
      <c r="K632" s="1" t="s">
        <v>74</v>
      </c>
      <c r="L632" s="1" t="s">
        <v>74</v>
      </c>
      <c r="M632" s="1" t="s">
        <v>74</v>
      </c>
      <c r="N632" s="1" t="s">
        <v>74</v>
      </c>
      <c r="O632" s="1" t="s">
        <v>74</v>
      </c>
      <c r="P632" s="1" t="s">
        <v>74</v>
      </c>
      <c r="Q632" s="1" t="s">
        <v>74</v>
      </c>
      <c r="R632" s="1" t="s">
        <v>74</v>
      </c>
      <c r="S632" s="1" t="s">
        <v>74</v>
      </c>
      <c r="T632" s="1" t="s">
        <v>74</v>
      </c>
      <c r="U632" s="1" t="s">
        <v>74</v>
      </c>
      <c r="V632" s="1" t="s">
        <v>74</v>
      </c>
      <c r="W632" s="1" t="s">
        <v>74</v>
      </c>
      <c r="X632" s="1" t="s">
        <v>74</v>
      </c>
      <c r="Y632" s="1" t="s">
        <v>74</v>
      </c>
      <c r="Z632" s="1" t="s">
        <v>74</v>
      </c>
      <c r="AA632" s="1" t="s">
        <v>5405</v>
      </c>
      <c r="AB632" s="1" t="s">
        <v>1710</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5406</v>
      </c>
      <c r="AP632" s="1" t="s">
        <v>5407</v>
      </c>
      <c r="AQ632" s="1" t="s">
        <v>74</v>
      </c>
      <c r="AR632" s="1" t="s">
        <v>74</v>
      </c>
      <c r="AS632" s="1" t="s">
        <v>74</v>
      </c>
      <c r="AT632" s="1" t="s">
        <v>171</v>
      </c>
      <c r="AU632" s="1">
        <v>2006.0</v>
      </c>
      <c r="AV632" s="1">
        <v>83.0</v>
      </c>
      <c r="AW632" s="1">
        <v>6.0</v>
      </c>
      <c r="AX632" s="1" t="s">
        <v>74</v>
      </c>
      <c r="AY632" s="1" t="s">
        <v>74</v>
      </c>
      <c r="AZ632" s="1" t="s">
        <v>74</v>
      </c>
      <c r="BA632" s="1" t="s">
        <v>74</v>
      </c>
      <c r="BB632" s="1">
        <v>937.0</v>
      </c>
      <c r="BC632" s="1">
        <v>939.0</v>
      </c>
      <c r="BD632" s="1" t="s">
        <v>74</v>
      </c>
      <c r="BE632" s="1" t="s">
        <v>5408</v>
      </c>
      <c r="BF632" s="2" t="str">
        <f>HYPERLINK("http://dx.doi.org/10.1021/ed083p937","http://dx.doi.org/10.1021/ed083p937")</f>
        <v>http://dx.doi.org/10.1021/ed083p937</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5409</v>
      </c>
      <c r="BT632" s="1" t="str">
        <f>HYPERLINK("https%3A%2F%2Fwww.webofscience.com%2Fwos%2Fwoscc%2Ffull-record%2FWOS:000237653800030","View Full Record in Web of Science")</f>
        <v>View Full Record in Web of Science</v>
      </c>
    </row>
    <row r="633" ht="12.75" customHeight="1">
      <c r="A633" s="1" t="s">
        <v>72</v>
      </c>
      <c r="B633" s="1" t="s">
        <v>5410</v>
      </c>
      <c r="C633" s="1" t="s">
        <v>74</v>
      </c>
      <c r="D633" s="1" t="s">
        <v>74</v>
      </c>
      <c r="E633" s="1" t="s">
        <v>74</v>
      </c>
      <c r="F633" s="1" t="s">
        <v>5411</v>
      </c>
      <c r="G633" s="1" t="s">
        <v>74</v>
      </c>
      <c r="H633" s="1" t="s">
        <v>74</v>
      </c>
      <c r="I633" s="1" t="s">
        <v>5412</v>
      </c>
      <c r="J633" s="1" t="s">
        <v>5413</v>
      </c>
      <c r="K633" s="1" t="s">
        <v>74</v>
      </c>
      <c r="L633" s="1" t="s">
        <v>74</v>
      </c>
      <c r="M633" s="1" t="s">
        <v>74</v>
      </c>
      <c r="N633" s="1" t="s">
        <v>74</v>
      </c>
      <c r="O633" s="1" t="s">
        <v>74</v>
      </c>
      <c r="P633" s="1" t="s">
        <v>74</v>
      </c>
      <c r="Q633" s="1" t="s">
        <v>74</v>
      </c>
      <c r="R633" s="1" t="s">
        <v>74</v>
      </c>
      <c r="S633" s="1" t="s">
        <v>74</v>
      </c>
      <c r="T633" s="1" t="s">
        <v>74</v>
      </c>
      <c r="U633" s="1" t="s">
        <v>74</v>
      </c>
      <c r="V633" s="1" t="s">
        <v>5414</v>
      </c>
      <c r="W633" s="1" t="s">
        <v>74</v>
      </c>
      <c r="X633" s="1" t="s">
        <v>74</v>
      </c>
      <c r="Y633" s="1" t="s">
        <v>74</v>
      </c>
      <c r="Z633" s="1" t="s">
        <v>74</v>
      </c>
      <c r="AA633" s="1" t="s">
        <v>1580</v>
      </c>
      <c r="AB633" s="1" t="s">
        <v>1581</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5415</v>
      </c>
      <c r="AP633" s="1" t="s">
        <v>74</v>
      </c>
      <c r="AQ633" s="1" t="s">
        <v>74</v>
      </c>
      <c r="AR633" s="1" t="s">
        <v>74</v>
      </c>
      <c r="AS633" s="1" t="s">
        <v>74</v>
      </c>
      <c r="AT633" s="1" t="s">
        <v>74</v>
      </c>
      <c r="AU633" s="1">
        <v>2006.0</v>
      </c>
      <c r="AV633" s="1">
        <v>38.0</v>
      </c>
      <c r="AW633" s="1">
        <v>1.0</v>
      </c>
      <c r="AX633" s="1" t="s">
        <v>74</v>
      </c>
      <c r="AY633" s="1" t="s">
        <v>74</v>
      </c>
      <c r="AZ633" s="1" t="s">
        <v>74</v>
      </c>
      <c r="BA633" s="1" t="s">
        <v>74</v>
      </c>
      <c r="BB633" s="1">
        <v>45.0</v>
      </c>
      <c r="BC633" s="1">
        <v>58.0</v>
      </c>
      <c r="BD633" s="1" t="s">
        <v>74</v>
      </c>
      <c r="BE633" s="1" t="s">
        <v>74</v>
      </c>
      <c r="BF633" s="1" t="s">
        <v>74</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5416</v>
      </c>
      <c r="BT633" s="1" t="str">
        <f>HYPERLINK("https%3A%2F%2Fwww.webofscience.com%2Fwos%2Fwoscc%2Ffull-record%2FWOS:000237499100003","View Full Record in Web of Science")</f>
        <v>View Full Record in Web of Science</v>
      </c>
    </row>
    <row r="634" ht="12.75" customHeight="1">
      <c r="A634" s="1" t="s">
        <v>72</v>
      </c>
      <c r="B634" s="1" t="s">
        <v>5417</v>
      </c>
      <c r="C634" s="1" t="s">
        <v>74</v>
      </c>
      <c r="D634" s="1" t="s">
        <v>74</v>
      </c>
      <c r="E634" s="1" t="s">
        <v>74</v>
      </c>
      <c r="F634" s="1" t="s">
        <v>5417</v>
      </c>
      <c r="G634" s="1" t="s">
        <v>74</v>
      </c>
      <c r="H634" s="1" t="s">
        <v>74</v>
      </c>
      <c r="I634" s="1" t="s">
        <v>5418</v>
      </c>
      <c r="J634" s="1" t="s">
        <v>5319</v>
      </c>
      <c r="K634" s="1" t="s">
        <v>74</v>
      </c>
      <c r="L634" s="1" t="s">
        <v>74</v>
      </c>
      <c r="M634" s="1" t="s">
        <v>74</v>
      </c>
      <c r="N634" s="1" t="s">
        <v>74</v>
      </c>
      <c r="O634" s="1" t="s">
        <v>74</v>
      </c>
      <c r="P634" s="1" t="s">
        <v>74</v>
      </c>
      <c r="Q634" s="1" t="s">
        <v>74</v>
      </c>
      <c r="R634" s="1" t="s">
        <v>74</v>
      </c>
      <c r="S634" s="1" t="s">
        <v>74</v>
      </c>
      <c r="T634" s="1" t="s">
        <v>74</v>
      </c>
      <c r="U634" s="1" t="s">
        <v>74</v>
      </c>
      <c r="V634" s="1" t="s">
        <v>5419</v>
      </c>
      <c r="W634" s="1" t="s">
        <v>74</v>
      </c>
      <c r="X634" s="1" t="s">
        <v>74</v>
      </c>
      <c r="Y634" s="1" t="s">
        <v>74</v>
      </c>
      <c r="Z634" s="1" t="s">
        <v>74</v>
      </c>
      <c r="AA634" s="1" t="s">
        <v>5420</v>
      </c>
      <c r="AB634" s="1" t="s">
        <v>74</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5323</v>
      </c>
      <c r="AP634" s="1" t="s">
        <v>74</v>
      </c>
      <c r="AQ634" s="1" t="s">
        <v>74</v>
      </c>
      <c r="AR634" s="1" t="s">
        <v>74</v>
      </c>
      <c r="AS634" s="1" t="s">
        <v>74</v>
      </c>
      <c r="AT634" s="1" t="s">
        <v>74</v>
      </c>
      <c r="AU634" s="1">
        <v>2006.0</v>
      </c>
      <c r="AV634" s="1">
        <v>39.0</v>
      </c>
      <c r="AW634" s="1">
        <v>3.0</v>
      </c>
      <c r="AX634" s="1" t="s">
        <v>74</v>
      </c>
      <c r="AY634" s="1" t="s">
        <v>74</v>
      </c>
      <c r="AZ634" s="1" t="s">
        <v>74</v>
      </c>
      <c r="BA634" s="1" t="s">
        <v>74</v>
      </c>
      <c r="BB634" s="1">
        <v>285.0</v>
      </c>
      <c r="BC634" s="1">
        <v>291.0</v>
      </c>
      <c r="BD634" s="1" t="s">
        <v>74</v>
      </c>
      <c r="BE634" s="1" t="s">
        <v>5421</v>
      </c>
      <c r="BF634" s="2" t="str">
        <f>HYPERLINK("http://dx.doi.org/10.1016/j.lwt.2005.01.010","http://dx.doi.org/10.1016/j.lwt.2005.01.010")</f>
        <v>http://dx.doi.org/10.1016/j.lwt.2005.01.010</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5422</v>
      </c>
      <c r="BT634" s="1" t="str">
        <f>HYPERLINK("https%3A%2F%2Fwww.webofscience.com%2Fwos%2Fwoscc%2Ffull-record%2FWOS:000234776500012","View Full Record in Web of Science")</f>
        <v>View Full Record in Web of Science</v>
      </c>
    </row>
    <row r="635" ht="12.75" customHeight="1">
      <c r="A635" s="1" t="s">
        <v>72</v>
      </c>
      <c r="B635" s="1" t="s">
        <v>5423</v>
      </c>
      <c r="C635" s="1" t="s">
        <v>74</v>
      </c>
      <c r="D635" s="1" t="s">
        <v>74</v>
      </c>
      <c r="E635" s="1" t="s">
        <v>74</v>
      </c>
      <c r="F635" s="1" t="s">
        <v>5423</v>
      </c>
      <c r="G635" s="1" t="s">
        <v>74</v>
      </c>
      <c r="H635" s="1" t="s">
        <v>74</v>
      </c>
      <c r="I635" s="1" t="s">
        <v>5424</v>
      </c>
      <c r="J635" s="1" t="s">
        <v>5425</v>
      </c>
      <c r="K635" s="1" t="s">
        <v>74</v>
      </c>
      <c r="L635" s="1" t="s">
        <v>74</v>
      </c>
      <c r="M635" s="1" t="s">
        <v>74</v>
      </c>
      <c r="N635" s="1" t="s">
        <v>74</v>
      </c>
      <c r="O635" s="1" t="s">
        <v>5426</v>
      </c>
      <c r="P635" s="1" t="s">
        <v>5427</v>
      </c>
      <c r="Q635" s="1" t="s">
        <v>5428</v>
      </c>
      <c r="R635" s="1" t="s">
        <v>5429</v>
      </c>
      <c r="S635" s="1" t="s">
        <v>74</v>
      </c>
      <c r="T635" s="1" t="s">
        <v>74</v>
      </c>
      <c r="U635" s="1" t="s">
        <v>74</v>
      </c>
      <c r="V635" s="1" t="s">
        <v>74</v>
      </c>
      <c r="W635" s="1" t="s">
        <v>74</v>
      </c>
      <c r="X635" s="1" t="s">
        <v>74</v>
      </c>
      <c r="Y635" s="1" t="s">
        <v>74</v>
      </c>
      <c r="Z635" s="1" t="s">
        <v>74</v>
      </c>
      <c r="AA635" s="1" t="s">
        <v>74</v>
      </c>
      <c r="AB635" s="1" t="s">
        <v>74</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5430</v>
      </c>
      <c r="AP635" s="1" t="s">
        <v>74</v>
      </c>
      <c r="AQ635" s="1" t="s">
        <v>74</v>
      </c>
      <c r="AR635" s="1" t="s">
        <v>74</v>
      </c>
      <c r="AS635" s="1" t="s">
        <v>74</v>
      </c>
      <c r="AT635" s="1" t="s">
        <v>847</v>
      </c>
      <c r="AU635" s="1">
        <v>2003.0</v>
      </c>
      <c r="AV635" s="1">
        <v>26.0</v>
      </c>
      <c r="AW635" s="1" t="s">
        <v>74</v>
      </c>
      <c r="AX635" s="1" t="s">
        <v>74</v>
      </c>
      <c r="AY635" s="1" t="s">
        <v>74</v>
      </c>
      <c r="AZ635" s="1" t="s">
        <v>74</v>
      </c>
      <c r="BA635" s="1" t="s">
        <v>74</v>
      </c>
      <c r="BB635" s="1" t="s">
        <v>5431</v>
      </c>
      <c r="BC635" s="1" t="s">
        <v>5431</v>
      </c>
      <c r="BD635" s="1" t="s">
        <v>74</v>
      </c>
      <c r="BE635" s="1" t="s">
        <v>74</v>
      </c>
      <c r="BF635" s="1" t="s">
        <v>74</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5432</v>
      </c>
      <c r="BT635" s="1" t="str">
        <f>HYPERLINK("https%3A%2F%2Fwww.webofscience.com%2Fwos%2Fwoscc%2Ffull-record%2FWOS:000182841100939","View Full Record in Web of Science")</f>
        <v>View Full Record in Web of Science</v>
      </c>
    </row>
    <row r="636" ht="12.75" customHeight="1">
      <c r="A636" s="1" t="s">
        <v>72</v>
      </c>
      <c r="B636" s="1" t="s">
        <v>5433</v>
      </c>
      <c r="C636" s="1" t="s">
        <v>74</v>
      </c>
      <c r="D636" s="1" t="s">
        <v>74</v>
      </c>
      <c r="E636" s="1" t="s">
        <v>74</v>
      </c>
      <c r="F636" s="1" t="s">
        <v>5433</v>
      </c>
      <c r="G636" s="1" t="s">
        <v>74</v>
      </c>
      <c r="H636" s="1" t="s">
        <v>74</v>
      </c>
      <c r="I636" s="1" t="s">
        <v>5434</v>
      </c>
      <c r="J636" s="1" t="s">
        <v>5435</v>
      </c>
      <c r="K636" s="1" t="s">
        <v>74</v>
      </c>
      <c r="L636" s="1" t="s">
        <v>74</v>
      </c>
      <c r="M636" s="1" t="s">
        <v>74</v>
      </c>
      <c r="N636" s="1" t="s">
        <v>74</v>
      </c>
      <c r="O636" s="1" t="s">
        <v>5436</v>
      </c>
      <c r="P636" s="1" t="s">
        <v>5437</v>
      </c>
      <c r="Q636" s="1" t="s">
        <v>5438</v>
      </c>
      <c r="R636" s="1" t="s">
        <v>74</v>
      </c>
      <c r="S636" s="1" t="s">
        <v>74</v>
      </c>
      <c r="T636" s="1" t="s">
        <v>74</v>
      </c>
      <c r="U636" s="1" t="s">
        <v>74</v>
      </c>
      <c r="V636" s="1" t="s">
        <v>5439</v>
      </c>
      <c r="W636" s="1" t="s">
        <v>74</v>
      </c>
      <c r="X636" s="1" t="s">
        <v>74</v>
      </c>
      <c r="Y636" s="1" t="s">
        <v>74</v>
      </c>
      <c r="Z636" s="1" t="s">
        <v>74</v>
      </c>
      <c r="AA636" s="1" t="s">
        <v>5440</v>
      </c>
      <c r="AB636" s="1" t="s">
        <v>5441</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5442</v>
      </c>
      <c r="AP636" s="1" t="s">
        <v>74</v>
      </c>
      <c r="AQ636" s="1" t="s">
        <v>74</v>
      </c>
      <c r="AR636" s="1" t="s">
        <v>74</v>
      </c>
      <c r="AS636" s="1" t="s">
        <v>74</v>
      </c>
      <c r="AT636" s="1" t="s">
        <v>82</v>
      </c>
      <c r="AU636" s="1">
        <v>2002.0</v>
      </c>
      <c r="AV636" s="1">
        <v>48.0</v>
      </c>
      <c r="AW636" s="1" t="s">
        <v>74</v>
      </c>
      <c r="AX636" s="1" t="s">
        <v>74</v>
      </c>
      <c r="AY636" s="1">
        <v>3.0</v>
      </c>
      <c r="AZ636" s="1" t="s">
        <v>74</v>
      </c>
      <c r="BA636" s="1" t="s">
        <v>74</v>
      </c>
      <c r="BB636" s="1">
        <v>60.0</v>
      </c>
      <c r="BC636" s="1">
        <v>62.0</v>
      </c>
      <c r="BD636" s="1" t="s">
        <v>74</v>
      </c>
      <c r="BE636" s="1" t="s">
        <v>74</v>
      </c>
      <c r="BF636" s="1" t="s">
        <v>74</v>
      </c>
      <c r="BG636" s="1" t="s">
        <v>74</v>
      </c>
      <c r="BH636" s="1" t="s">
        <v>74</v>
      </c>
      <c r="BI636" s="1" t="s">
        <v>74</v>
      </c>
      <c r="BJ636" s="1" t="s">
        <v>74</v>
      </c>
      <c r="BK636" s="1" t="s">
        <v>74</v>
      </c>
      <c r="BL636" s="1" t="s">
        <v>74</v>
      </c>
      <c r="BM636" s="1" t="s">
        <v>74</v>
      </c>
      <c r="BN636" s="1" t="s">
        <v>74</v>
      </c>
      <c r="BO636" s="1" t="s">
        <v>74</v>
      </c>
      <c r="BP636" s="1" t="s">
        <v>74</v>
      </c>
      <c r="BQ636" s="1" t="s">
        <v>74</v>
      </c>
      <c r="BR636" s="1" t="s">
        <v>74</v>
      </c>
      <c r="BS636" s="1" t="s">
        <v>5443</v>
      </c>
      <c r="BT636" s="1" t="str">
        <f>HYPERLINK("https%3A%2F%2Fwww.webofscience.com%2Fwos%2Fwoscc%2Ffull-record%2FWOS:000180065500021","View Full Record in Web of Science")</f>
        <v>View Full Record in Web of Science</v>
      </c>
    </row>
    <row r="637" ht="12.75" customHeight="1">
      <c r="A637" s="1" t="s">
        <v>72</v>
      </c>
      <c r="B637" s="1" t="s">
        <v>5444</v>
      </c>
      <c r="C637" s="1" t="s">
        <v>74</v>
      </c>
      <c r="D637" s="1" t="s">
        <v>74</v>
      </c>
      <c r="E637" s="1" t="s">
        <v>74</v>
      </c>
      <c r="F637" s="1" t="s">
        <v>5444</v>
      </c>
      <c r="G637" s="1" t="s">
        <v>74</v>
      </c>
      <c r="H637" s="1" t="s">
        <v>74</v>
      </c>
      <c r="I637" s="1" t="s">
        <v>5445</v>
      </c>
      <c r="J637" s="1" t="s">
        <v>5446</v>
      </c>
      <c r="K637" s="1" t="s">
        <v>74</v>
      </c>
      <c r="L637" s="1" t="s">
        <v>74</v>
      </c>
      <c r="M637" s="1" t="s">
        <v>74</v>
      </c>
      <c r="N637" s="1" t="s">
        <v>74</v>
      </c>
      <c r="O637" s="1" t="s">
        <v>74</v>
      </c>
      <c r="P637" s="1" t="s">
        <v>74</v>
      </c>
      <c r="Q637" s="1" t="s">
        <v>74</v>
      </c>
      <c r="R637" s="1" t="s">
        <v>74</v>
      </c>
      <c r="S637" s="1" t="s">
        <v>74</v>
      </c>
      <c r="T637" s="1" t="s">
        <v>74</v>
      </c>
      <c r="U637" s="1" t="s">
        <v>74</v>
      </c>
      <c r="V637" s="1" t="s">
        <v>5447</v>
      </c>
      <c r="W637" s="1" t="s">
        <v>74</v>
      </c>
      <c r="X637" s="1" t="s">
        <v>74</v>
      </c>
      <c r="Y637" s="1" t="s">
        <v>74</v>
      </c>
      <c r="Z637" s="1" t="s">
        <v>74</v>
      </c>
      <c r="AA637" s="1" t="s">
        <v>74</v>
      </c>
      <c r="AB637" s="1" t="s">
        <v>74</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5448</v>
      </c>
      <c r="AP637" s="1" t="s">
        <v>74</v>
      </c>
      <c r="AQ637" s="1" t="s">
        <v>74</v>
      </c>
      <c r="AR637" s="1" t="s">
        <v>74</v>
      </c>
      <c r="AS637" s="1" t="s">
        <v>74</v>
      </c>
      <c r="AT637" s="1" t="s">
        <v>224</v>
      </c>
      <c r="AU637" s="1">
        <v>2002.0</v>
      </c>
      <c r="AV637" s="1">
        <v>29.0</v>
      </c>
      <c r="AW637" s="1">
        <v>4.0</v>
      </c>
      <c r="AX637" s="1" t="s">
        <v>74</v>
      </c>
      <c r="AY637" s="1" t="s">
        <v>74</v>
      </c>
      <c r="AZ637" s="1" t="s">
        <v>74</v>
      </c>
      <c r="BA637" s="1" t="s">
        <v>74</v>
      </c>
      <c r="BB637" s="1">
        <v>531.0</v>
      </c>
      <c r="BC637" s="1">
        <v>545.0</v>
      </c>
      <c r="BD637" s="1" t="s">
        <v>5449</v>
      </c>
      <c r="BE637" s="1" t="s">
        <v>5450</v>
      </c>
      <c r="BF637" s="2" t="str">
        <f>HYPERLINK("http://dx.doi.org/10.1016/S0735-1933(02)00350-0","http://dx.doi.org/10.1016/S0735-1933(02)00350-0")</f>
        <v>http://dx.doi.org/10.1016/S0735-1933(02)00350-0</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5451</v>
      </c>
      <c r="BT637" s="1" t="str">
        <f>HYPERLINK("https%3A%2F%2Fwww.webofscience.com%2Fwos%2Fwoscc%2Ffull-record%2FWOS:000176370100011","View Full Record in Web of Science")</f>
        <v>View Full Record in Web of Science</v>
      </c>
    </row>
    <row r="638" ht="12.75" customHeight="1">
      <c r="A638" s="1" t="s">
        <v>72</v>
      </c>
      <c r="B638" s="1" t="s">
        <v>5452</v>
      </c>
      <c r="C638" s="1" t="s">
        <v>74</v>
      </c>
      <c r="D638" s="1" t="s">
        <v>74</v>
      </c>
      <c r="E638" s="1" t="s">
        <v>74</v>
      </c>
      <c r="F638" s="1" t="s">
        <v>5452</v>
      </c>
      <c r="G638" s="1" t="s">
        <v>74</v>
      </c>
      <c r="H638" s="1" t="s">
        <v>74</v>
      </c>
      <c r="I638" s="1" t="s">
        <v>5453</v>
      </c>
      <c r="J638" s="1" t="s">
        <v>748</v>
      </c>
      <c r="K638" s="1" t="s">
        <v>74</v>
      </c>
      <c r="L638" s="1" t="s">
        <v>74</v>
      </c>
      <c r="M638" s="1" t="s">
        <v>74</v>
      </c>
      <c r="N638" s="1" t="s">
        <v>74</v>
      </c>
      <c r="O638" s="1" t="s">
        <v>74</v>
      </c>
      <c r="P638" s="1" t="s">
        <v>74</v>
      </c>
      <c r="Q638" s="1" t="s">
        <v>74</v>
      </c>
      <c r="R638" s="1" t="s">
        <v>74</v>
      </c>
      <c r="S638" s="1" t="s">
        <v>74</v>
      </c>
      <c r="T638" s="1" t="s">
        <v>74</v>
      </c>
      <c r="U638" s="1" t="s">
        <v>74</v>
      </c>
      <c r="V638" s="1" t="s">
        <v>74</v>
      </c>
      <c r="W638" s="1" t="s">
        <v>74</v>
      </c>
      <c r="X638" s="1" t="s">
        <v>74</v>
      </c>
      <c r="Y638" s="1" t="s">
        <v>74</v>
      </c>
      <c r="Z638" s="1" t="s">
        <v>74</v>
      </c>
      <c r="AA638" s="1" t="s">
        <v>74</v>
      </c>
      <c r="AB638" s="1" t="s">
        <v>74</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750</v>
      </c>
      <c r="AP638" s="1" t="s">
        <v>74</v>
      </c>
      <c r="AQ638" s="1" t="s">
        <v>74</v>
      </c>
      <c r="AR638" s="1" t="s">
        <v>74</v>
      </c>
      <c r="AS638" s="1" t="s">
        <v>74</v>
      </c>
      <c r="AT638" s="1" t="s">
        <v>158</v>
      </c>
      <c r="AU638" s="1">
        <v>2000.0</v>
      </c>
      <c r="AV638" s="1">
        <v>45.0</v>
      </c>
      <c r="AW638" s="1">
        <v>3.0</v>
      </c>
      <c r="AX638" s="1" t="s">
        <v>74</v>
      </c>
      <c r="AY638" s="1" t="s">
        <v>74</v>
      </c>
      <c r="AZ638" s="1" t="s">
        <v>74</v>
      </c>
      <c r="BA638" s="1" t="s">
        <v>74</v>
      </c>
      <c r="BB638" s="1">
        <v>333.0</v>
      </c>
      <c r="BC638" s="1">
        <v>337.0</v>
      </c>
      <c r="BD638" s="1" t="s">
        <v>74</v>
      </c>
      <c r="BE638" s="1" t="s">
        <v>74</v>
      </c>
      <c r="BF638" s="1" t="s">
        <v>74</v>
      </c>
      <c r="BG638" s="1" t="s">
        <v>74</v>
      </c>
      <c r="BH638" s="1" t="s">
        <v>74</v>
      </c>
      <c r="BI638" s="1" t="s">
        <v>74</v>
      </c>
      <c r="BJ638" s="1" t="s">
        <v>74</v>
      </c>
      <c r="BK638" s="1" t="s">
        <v>74</v>
      </c>
      <c r="BL638" s="1" t="s">
        <v>74</v>
      </c>
      <c r="BM638" s="1" t="s">
        <v>74</v>
      </c>
      <c r="BN638" s="1" t="s">
        <v>74</v>
      </c>
      <c r="BO638" s="1" t="s">
        <v>74</v>
      </c>
      <c r="BP638" s="1" t="s">
        <v>74</v>
      </c>
      <c r="BQ638" s="1" t="s">
        <v>74</v>
      </c>
      <c r="BR638" s="1" t="s">
        <v>74</v>
      </c>
      <c r="BS638" s="1" t="s">
        <v>5454</v>
      </c>
      <c r="BT638" s="1" t="str">
        <f>HYPERLINK("https%3A%2F%2Fwww.webofscience.com%2Fwos%2Fwoscc%2Ffull-record%2FWOS:000089763300001","View Full Record in Web of Science")</f>
        <v>View Full Record in Web of Science</v>
      </c>
    </row>
    <row r="639" ht="12.75" customHeight="1">
      <c r="A639" s="1" t="s">
        <v>126</v>
      </c>
      <c r="B639" s="1" t="s">
        <v>5455</v>
      </c>
      <c r="C639" s="1" t="s">
        <v>74</v>
      </c>
      <c r="D639" s="1" t="s">
        <v>74</v>
      </c>
      <c r="E639" s="1" t="s">
        <v>5456</v>
      </c>
      <c r="F639" s="1" t="s">
        <v>5455</v>
      </c>
      <c r="G639" s="1" t="s">
        <v>74</v>
      </c>
      <c r="H639" s="1" t="s">
        <v>74</v>
      </c>
      <c r="I639" s="1" t="s">
        <v>5457</v>
      </c>
      <c r="J639" s="1" t="s">
        <v>5458</v>
      </c>
      <c r="K639" s="1" t="s">
        <v>74</v>
      </c>
      <c r="L639" s="1" t="s">
        <v>74</v>
      </c>
      <c r="M639" s="1" t="s">
        <v>74</v>
      </c>
      <c r="N639" s="1" t="s">
        <v>74</v>
      </c>
      <c r="O639" s="1" t="s">
        <v>5459</v>
      </c>
      <c r="P639" s="1" t="s">
        <v>5460</v>
      </c>
      <c r="Q639" s="1" t="s">
        <v>5461</v>
      </c>
      <c r="R639" s="1" t="s">
        <v>5462</v>
      </c>
      <c r="S639" s="1" t="s">
        <v>74</v>
      </c>
      <c r="T639" s="1" t="s">
        <v>74</v>
      </c>
      <c r="U639" s="1" t="s">
        <v>74</v>
      </c>
      <c r="V639" s="1" t="s">
        <v>5463</v>
      </c>
      <c r="W639" s="1" t="s">
        <v>74</v>
      </c>
      <c r="X639" s="1" t="s">
        <v>74</v>
      </c>
      <c r="Y639" s="1" t="s">
        <v>74</v>
      </c>
      <c r="Z639" s="1" t="s">
        <v>74</v>
      </c>
      <c r="AA639" s="1" t="s">
        <v>74</v>
      </c>
      <c r="AB639" s="1" t="s">
        <v>74</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74</v>
      </c>
      <c r="AP639" s="1" t="s">
        <v>74</v>
      </c>
      <c r="AQ639" s="1" t="s">
        <v>5464</v>
      </c>
      <c r="AR639" s="1" t="s">
        <v>74</v>
      </c>
      <c r="AS639" s="1" t="s">
        <v>74</v>
      </c>
      <c r="AT639" s="1" t="s">
        <v>74</v>
      </c>
      <c r="AU639" s="1">
        <v>2000.0</v>
      </c>
      <c r="AV639" s="1" t="s">
        <v>74</v>
      </c>
      <c r="AW639" s="1" t="s">
        <v>74</v>
      </c>
      <c r="AX639" s="1" t="s">
        <v>74</v>
      </c>
      <c r="AY639" s="1" t="s">
        <v>74</v>
      </c>
      <c r="AZ639" s="1" t="s">
        <v>74</v>
      </c>
      <c r="BA639" s="1" t="s">
        <v>74</v>
      </c>
      <c r="BB639" s="1">
        <v>371.0</v>
      </c>
      <c r="BC639" s="1">
        <v>376.0</v>
      </c>
      <c r="BD639" s="1" t="s">
        <v>74</v>
      </c>
      <c r="BE639" s="1" t="s">
        <v>5465</v>
      </c>
      <c r="BF639" s="2" t="str">
        <f>HYPERLINK("http://dx.doi.org/10.1109/CIEP.2000.891442","http://dx.doi.org/10.1109/CIEP.2000.891442")</f>
        <v>http://dx.doi.org/10.1109/CIEP.2000.891442</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5466</v>
      </c>
      <c r="BT639" s="1" t="str">
        <f>HYPERLINK("https%3A%2F%2Fwww.webofscience.com%2Fwos%2Fwoscc%2Ffull-record%2FWOS:000166794500061","View Full Record in Web of Science")</f>
        <v>View Full Record in Web of Science</v>
      </c>
    </row>
    <row r="640" ht="12.75" customHeight="1">
      <c r="A640" s="1" t="s">
        <v>72</v>
      </c>
      <c r="B640" s="1" t="s">
        <v>5467</v>
      </c>
      <c r="C640" s="1" t="s">
        <v>74</v>
      </c>
      <c r="D640" s="1" t="s">
        <v>74</v>
      </c>
      <c r="E640" s="1" t="s">
        <v>74</v>
      </c>
      <c r="F640" s="1" t="s">
        <v>5467</v>
      </c>
      <c r="G640" s="1" t="s">
        <v>74</v>
      </c>
      <c r="H640" s="1" t="s">
        <v>74</v>
      </c>
      <c r="I640" s="1" t="s">
        <v>5468</v>
      </c>
      <c r="J640" s="1" t="s">
        <v>5469</v>
      </c>
      <c r="K640" s="1" t="s">
        <v>74</v>
      </c>
      <c r="L640" s="1" t="s">
        <v>74</v>
      </c>
      <c r="M640" s="1" t="s">
        <v>74</v>
      </c>
      <c r="N640" s="1" t="s">
        <v>74</v>
      </c>
      <c r="O640" s="1" t="s">
        <v>74</v>
      </c>
      <c r="P640" s="1" t="s">
        <v>74</v>
      </c>
      <c r="Q640" s="1" t="s">
        <v>74</v>
      </c>
      <c r="R640" s="1" t="s">
        <v>74</v>
      </c>
      <c r="S640" s="1" t="s">
        <v>74</v>
      </c>
      <c r="T640" s="1" t="s">
        <v>74</v>
      </c>
      <c r="U640" s="1" t="s">
        <v>74</v>
      </c>
      <c r="V640" s="1" t="s">
        <v>5470</v>
      </c>
      <c r="W640" s="1" t="s">
        <v>74</v>
      </c>
      <c r="X640" s="1" t="s">
        <v>74</v>
      </c>
      <c r="Y640" s="1" t="s">
        <v>74</v>
      </c>
      <c r="Z640" s="1" t="s">
        <v>74</v>
      </c>
      <c r="AA640" s="1" t="s">
        <v>74</v>
      </c>
      <c r="AB640" s="1" t="s">
        <v>74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5471</v>
      </c>
      <c r="AP640" s="1" t="s">
        <v>74</v>
      </c>
      <c r="AQ640" s="1" t="s">
        <v>74</v>
      </c>
      <c r="AR640" s="1" t="s">
        <v>74</v>
      </c>
      <c r="AS640" s="1" t="s">
        <v>74</v>
      </c>
      <c r="AT640" s="1" t="s">
        <v>4341</v>
      </c>
      <c r="AU640" s="1">
        <v>1999.0</v>
      </c>
      <c r="AV640" s="1">
        <v>456.0</v>
      </c>
      <c r="AW640" s="1">
        <v>1.0</v>
      </c>
      <c r="AX640" s="1" t="s">
        <v>74</v>
      </c>
      <c r="AY640" s="1" t="s">
        <v>74</v>
      </c>
      <c r="AZ640" s="1" t="s">
        <v>74</v>
      </c>
      <c r="BA640" s="1" t="s">
        <v>74</v>
      </c>
      <c r="BB640" s="1">
        <v>28.0</v>
      </c>
      <c r="BC640" s="1">
        <v>33.0</v>
      </c>
      <c r="BD640" s="1" t="s">
        <v>74</v>
      </c>
      <c r="BE640" s="1" t="s">
        <v>5472</v>
      </c>
      <c r="BF640" s="2" t="str">
        <f>HYPERLINK("http://dx.doi.org/10.1016/S0370-2693(99)00441-4","http://dx.doi.org/10.1016/S0370-2693(99)00441-4")</f>
        <v>http://dx.doi.org/10.1016/S0370-2693(99)00441-4</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5473</v>
      </c>
      <c r="BT640" s="1" t="str">
        <f>HYPERLINK("https%3A%2F%2Fwww.webofscience.com%2Fwos%2Fwoscc%2Ffull-record%2FWOS:000080922500006","View Full Record in Web of Science")</f>
        <v>View Full Record in Web of Science</v>
      </c>
    </row>
    <row r="641" ht="12.75" customHeight="1">
      <c r="A641" s="1" t="s">
        <v>72</v>
      </c>
      <c r="B641" s="1" t="s">
        <v>5474</v>
      </c>
      <c r="C641" s="1" t="s">
        <v>74</v>
      </c>
      <c r="D641" s="1" t="s">
        <v>74</v>
      </c>
      <c r="E641" s="1" t="s">
        <v>74</v>
      </c>
      <c r="F641" s="1" t="s">
        <v>5474</v>
      </c>
      <c r="G641" s="1" t="s">
        <v>74</v>
      </c>
      <c r="H641" s="1" t="s">
        <v>74</v>
      </c>
      <c r="I641" s="1" t="s">
        <v>5475</v>
      </c>
      <c r="J641" s="1" t="s">
        <v>5476</v>
      </c>
      <c r="K641" s="1" t="s">
        <v>74</v>
      </c>
      <c r="L641" s="1" t="s">
        <v>74</v>
      </c>
      <c r="M641" s="1" t="s">
        <v>74</v>
      </c>
      <c r="N641" s="1" t="s">
        <v>74</v>
      </c>
      <c r="O641" s="1" t="s">
        <v>5477</v>
      </c>
      <c r="P641" s="1" t="s">
        <v>5478</v>
      </c>
      <c r="Q641" s="1" t="s">
        <v>5479</v>
      </c>
      <c r="R641" s="1" t="s">
        <v>5480</v>
      </c>
      <c r="S641" s="1" t="s">
        <v>74</v>
      </c>
      <c r="T641" s="1" t="s">
        <v>74</v>
      </c>
      <c r="U641" s="1" t="s">
        <v>74</v>
      </c>
      <c r="V641" s="1" t="s">
        <v>5481</v>
      </c>
      <c r="W641" s="1" t="s">
        <v>74</v>
      </c>
      <c r="X641" s="1" t="s">
        <v>74</v>
      </c>
      <c r="Y641" s="1" t="s">
        <v>74</v>
      </c>
      <c r="Z641" s="1" t="s">
        <v>74</v>
      </c>
      <c r="AA641" s="1" t="s">
        <v>5482</v>
      </c>
      <c r="AB641" s="1" t="s">
        <v>5483</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5484</v>
      </c>
      <c r="AP641" s="1" t="s">
        <v>74</v>
      </c>
      <c r="AQ641" s="1" t="s">
        <v>74</v>
      </c>
      <c r="AR641" s="1" t="s">
        <v>74</v>
      </c>
      <c r="AS641" s="1" t="s">
        <v>74</v>
      </c>
      <c r="AT641" s="1" t="s">
        <v>5485</v>
      </c>
      <c r="AU641" s="1">
        <v>1999.0</v>
      </c>
      <c r="AV641" s="1">
        <v>263.0</v>
      </c>
      <c r="AW641" s="1" t="s">
        <v>4013</v>
      </c>
      <c r="AX641" s="1" t="s">
        <v>74</v>
      </c>
      <c r="AY641" s="1" t="s">
        <v>74</v>
      </c>
      <c r="AZ641" s="1" t="s">
        <v>74</v>
      </c>
      <c r="BA641" s="1" t="s">
        <v>74</v>
      </c>
      <c r="BB641" s="1">
        <v>362.0</v>
      </c>
      <c r="BC641" s="1">
        <v>368.0</v>
      </c>
      <c r="BD641" s="1" t="s">
        <v>74</v>
      </c>
      <c r="BE641" s="1" t="s">
        <v>5486</v>
      </c>
      <c r="BF641" s="2" t="str">
        <f>HYPERLINK("http://dx.doi.org/10.1016/S0378-4371(98)00521-4","http://dx.doi.org/10.1016/S0378-4371(98)00521-4")</f>
        <v>http://dx.doi.org/10.1016/S0378-4371(98)00521-4</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5487</v>
      </c>
      <c r="BT641" s="1" t="str">
        <f>HYPERLINK("https%3A%2F%2Fwww.webofscience.com%2Fwos%2Fwoscc%2Ffull-record%2FWOS:000078713600044","View Full Record in Web of Science")</f>
        <v>View Full Record in Web of Science</v>
      </c>
    </row>
    <row r="642" ht="12.75" customHeight="1">
      <c r="A642" s="1" t="s">
        <v>126</v>
      </c>
      <c r="B642" s="1" t="s">
        <v>5488</v>
      </c>
      <c r="C642" s="1" t="s">
        <v>74</v>
      </c>
      <c r="D642" s="1" t="s">
        <v>5489</v>
      </c>
      <c r="E642" s="1" t="s">
        <v>74</v>
      </c>
      <c r="F642" s="1" t="s">
        <v>5488</v>
      </c>
      <c r="G642" s="1" t="s">
        <v>74</v>
      </c>
      <c r="H642" s="1" t="s">
        <v>74</v>
      </c>
      <c r="I642" s="1" t="s">
        <v>5490</v>
      </c>
      <c r="J642" s="1" t="s">
        <v>5491</v>
      </c>
      <c r="K642" s="1" t="s">
        <v>74</v>
      </c>
      <c r="L642" s="1" t="s">
        <v>74</v>
      </c>
      <c r="M642" s="1" t="s">
        <v>74</v>
      </c>
      <c r="N642" s="1" t="s">
        <v>74</v>
      </c>
      <c r="O642" s="1" t="s">
        <v>5492</v>
      </c>
      <c r="P642" s="1" t="s">
        <v>5493</v>
      </c>
      <c r="Q642" s="1" t="s">
        <v>5494</v>
      </c>
      <c r="R642" s="1" t="s">
        <v>5495</v>
      </c>
      <c r="S642" s="1" t="s">
        <v>74</v>
      </c>
      <c r="T642" s="1" t="s">
        <v>74</v>
      </c>
      <c r="U642" s="1" t="s">
        <v>74</v>
      </c>
      <c r="V642" s="1" t="s">
        <v>5496</v>
      </c>
      <c r="W642" s="1" t="s">
        <v>74</v>
      </c>
      <c r="X642" s="1" t="s">
        <v>74</v>
      </c>
      <c r="Y642" s="1" t="s">
        <v>74</v>
      </c>
      <c r="Z642" s="1" t="s">
        <v>74</v>
      </c>
      <c r="AA642" s="1" t="s">
        <v>5497</v>
      </c>
      <c r="AB642" s="1" t="s">
        <v>3900</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74</v>
      </c>
      <c r="AP642" s="1" t="s">
        <v>74</v>
      </c>
      <c r="AQ642" s="1" t="s">
        <v>5498</v>
      </c>
      <c r="AR642" s="1" t="s">
        <v>74</v>
      </c>
      <c r="AS642" s="1" t="s">
        <v>74</v>
      </c>
      <c r="AT642" s="1" t="s">
        <v>74</v>
      </c>
      <c r="AU642" s="1">
        <v>1999.0</v>
      </c>
      <c r="AV642" s="1" t="s">
        <v>74</v>
      </c>
      <c r="AW642" s="1" t="s">
        <v>74</v>
      </c>
      <c r="AX642" s="1" t="s">
        <v>74</v>
      </c>
      <c r="AY642" s="1" t="s">
        <v>74</v>
      </c>
      <c r="AZ642" s="1" t="s">
        <v>74</v>
      </c>
      <c r="BA642" s="1" t="s">
        <v>74</v>
      </c>
      <c r="BB642" s="1">
        <v>585.0</v>
      </c>
      <c r="BC642" s="1">
        <v>595.0</v>
      </c>
      <c r="BD642" s="1" t="s">
        <v>74</v>
      </c>
      <c r="BE642" s="1" t="s">
        <v>74</v>
      </c>
      <c r="BF642" s="1" t="s">
        <v>74</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5499</v>
      </c>
      <c r="BT642" s="1" t="str">
        <f>HYPERLINK("https%3A%2F%2Fwww.webofscience.com%2Fwos%2Fwoscc%2Ffull-record%2FWOS:000085714700037","View Full Record in Web of Science")</f>
        <v>View Full Record in Web of Science</v>
      </c>
    </row>
    <row r="643" ht="12.75" customHeight="1">
      <c r="A643" s="1" t="s">
        <v>72</v>
      </c>
      <c r="B643" s="1" t="s">
        <v>5500</v>
      </c>
      <c r="C643" s="1" t="s">
        <v>74</v>
      </c>
      <c r="D643" s="1" t="s">
        <v>74</v>
      </c>
      <c r="E643" s="1" t="s">
        <v>74</v>
      </c>
      <c r="F643" s="1" t="s">
        <v>5500</v>
      </c>
      <c r="G643" s="1" t="s">
        <v>74</v>
      </c>
      <c r="H643" s="1" t="s">
        <v>74</v>
      </c>
      <c r="I643" s="1" t="s">
        <v>5501</v>
      </c>
      <c r="J643" s="1" t="s">
        <v>2155</v>
      </c>
      <c r="K643" s="1" t="s">
        <v>74</v>
      </c>
      <c r="L643" s="1" t="s">
        <v>74</v>
      </c>
      <c r="M643" s="1" t="s">
        <v>74</v>
      </c>
      <c r="N643" s="1" t="s">
        <v>74</v>
      </c>
      <c r="O643" s="1" t="s">
        <v>74</v>
      </c>
      <c r="P643" s="1" t="s">
        <v>74</v>
      </c>
      <c r="Q643" s="1" t="s">
        <v>74</v>
      </c>
      <c r="R643" s="1" t="s">
        <v>74</v>
      </c>
      <c r="S643" s="1" t="s">
        <v>74</v>
      </c>
      <c r="T643" s="1" t="s">
        <v>74</v>
      </c>
      <c r="U643" s="1" t="s">
        <v>74</v>
      </c>
      <c r="V643" s="1" t="s">
        <v>5502</v>
      </c>
      <c r="W643" s="1" t="s">
        <v>74</v>
      </c>
      <c r="X643" s="1" t="s">
        <v>74</v>
      </c>
      <c r="Y643" s="1" t="s">
        <v>74</v>
      </c>
      <c r="Z643" s="1" t="s">
        <v>74</v>
      </c>
      <c r="AA643" s="1" t="s">
        <v>154</v>
      </c>
      <c r="AB643" s="1" t="s">
        <v>74</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2159</v>
      </c>
      <c r="AP643" s="1" t="s">
        <v>74</v>
      </c>
      <c r="AQ643" s="1" t="s">
        <v>74</v>
      </c>
      <c r="AR643" s="1" t="s">
        <v>74</v>
      </c>
      <c r="AS643" s="1" t="s">
        <v>74</v>
      </c>
      <c r="AT643" s="1" t="s">
        <v>193</v>
      </c>
      <c r="AU643" s="1">
        <v>1997.0</v>
      </c>
      <c r="AV643" s="1">
        <v>8.0</v>
      </c>
      <c r="AW643" s="1">
        <v>2.0</v>
      </c>
      <c r="AX643" s="1" t="s">
        <v>74</v>
      </c>
      <c r="AY643" s="1" t="s">
        <v>74</v>
      </c>
      <c r="AZ643" s="1" t="s">
        <v>74</v>
      </c>
      <c r="BA643" s="1" t="s">
        <v>74</v>
      </c>
      <c r="BB643" s="1">
        <v>121.0</v>
      </c>
      <c r="BC643" s="1">
        <v>129.0</v>
      </c>
      <c r="BD643" s="1" t="s">
        <v>74</v>
      </c>
      <c r="BE643" s="1" t="s">
        <v>5503</v>
      </c>
      <c r="BF643" s="2" t="str">
        <f>HYPERLINK("http://dx.doi.org/10.1007/BF02262847","http://dx.doi.org/10.1007/BF02262847")</f>
        <v>http://dx.doi.org/10.1007/BF02262847</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5504</v>
      </c>
      <c r="BT643" s="1" t="str">
        <f>HYPERLINK("https%3A%2F%2Fwww.webofscience.com%2Fwos%2Fwoscc%2Ffull-record%2FWOS:A1997WW43900003","View Full Record in Web of Science")</f>
        <v>View Full Record in Web of Science</v>
      </c>
    </row>
    <row r="644" ht="12.75" customHeight="1">
      <c r="A644" s="1" t="s">
        <v>72</v>
      </c>
      <c r="B644" s="1" t="s">
        <v>5505</v>
      </c>
      <c r="C644" s="1" t="s">
        <v>74</v>
      </c>
      <c r="D644" s="1" t="s">
        <v>74</v>
      </c>
      <c r="E644" s="1" t="s">
        <v>74</v>
      </c>
      <c r="F644" s="1" t="s">
        <v>5505</v>
      </c>
      <c r="G644" s="1" t="s">
        <v>74</v>
      </c>
      <c r="H644" s="1" t="s">
        <v>74</v>
      </c>
      <c r="I644" s="1" t="s">
        <v>5506</v>
      </c>
      <c r="J644" s="1" t="s">
        <v>5507</v>
      </c>
      <c r="K644" s="1" t="s">
        <v>74</v>
      </c>
      <c r="L644" s="1" t="s">
        <v>74</v>
      </c>
      <c r="M644" s="1" t="s">
        <v>74</v>
      </c>
      <c r="N644" s="1" t="s">
        <v>74</v>
      </c>
      <c r="O644" s="1" t="s">
        <v>74</v>
      </c>
      <c r="P644" s="1" t="s">
        <v>74</v>
      </c>
      <c r="Q644" s="1" t="s">
        <v>74</v>
      </c>
      <c r="R644" s="1" t="s">
        <v>74</v>
      </c>
      <c r="S644" s="1" t="s">
        <v>74</v>
      </c>
      <c r="T644" s="1" t="s">
        <v>74</v>
      </c>
      <c r="U644" s="1" t="s">
        <v>74</v>
      </c>
      <c r="V644" s="1" t="s">
        <v>5508</v>
      </c>
      <c r="W644" s="1" t="s">
        <v>74</v>
      </c>
      <c r="X644" s="1" t="s">
        <v>74</v>
      </c>
      <c r="Y644" s="1" t="s">
        <v>74</v>
      </c>
      <c r="Z644" s="1" t="s">
        <v>74</v>
      </c>
      <c r="AA644" s="1" t="s">
        <v>74</v>
      </c>
      <c r="AB644" s="1" t="s">
        <v>74</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5509</v>
      </c>
      <c r="AP644" s="1" t="s">
        <v>74</v>
      </c>
      <c r="AQ644" s="1" t="s">
        <v>74</v>
      </c>
      <c r="AR644" s="1" t="s">
        <v>74</v>
      </c>
      <c r="AS644" s="1" t="s">
        <v>74</v>
      </c>
      <c r="AT644" s="1" t="s">
        <v>74</v>
      </c>
      <c r="AU644" s="1">
        <v>1997.0</v>
      </c>
      <c r="AV644" s="1">
        <v>16.0</v>
      </c>
      <c r="AW644" s="1">
        <v>21.0</v>
      </c>
      <c r="AX644" s="1" t="s">
        <v>74</v>
      </c>
      <c r="AY644" s="1" t="s">
        <v>74</v>
      </c>
      <c r="AZ644" s="1" t="s">
        <v>74</v>
      </c>
      <c r="BA644" s="1" t="s">
        <v>74</v>
      </c>
      <c r="BB644" s="1">
        <v>3847.0</v>
      </c>
      <c r="BC644" s="1">
        <v>3850.0</v>
      </c>
      <c r="BD644" s="1" t="s">
        <v>74</v>
      </c>
      <c r="BE644" s="1" t="s">
        <v>74</v>
      </c>
      <c r="BF644" s="1" t="s">
        <v>74</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5510</v>
      </c>
      <c r="BT644" s="1" t="str">
        <f>HYPERLINK("https%3A%2F%2Fwww.webofscience.com%2Fwos%2Fwoscc%2Ffull-record%2FWOS:A1997XR70900019","View Full Record in Web of Science")</f>
        <v>View Full Record in Web of Science</v>
      </c>
    </row>
    <row r="645" ht="12.75" customHeight="1">
      <c r="A645" s="1" t="s">
        <v>72</v>
      </c>
      <c r="B645" s="1" t="s">
        <v>5511</v>
      </c>
      <c r="C645" s="1" t="s">
        <v>74</v>
      </c>
      <c r="D645" s="1" t="s">
        <v>74</v>
      </c>
      <c r="E645" s="1" t="s">
        <v>74</v>
      </c>
      <c r="F645" s="1" t="s">
        <v>5511</v>
      </c>
      <c r="G645" s="1" t="s">
        <v>74</v>
      </c>
      <c r="H645" s="1" t="s">
        <v>74</v>
      </c>
      <c r="I645" s="1" t="s">
        <v>5512</v>
      </c>
      <c r="J645" s="1" t="s">
        <v>5513</v>
      </c>
      <c r="K645" s="1" t="s">
        <v>74</v>
      </c>
      <c r="L645" s="1" t="s">
        <v>74</v>
      </c>
      <c r="M645" s="1" t="s">
        <v>74</v>
      </c>
      <c r="N645" s="1" t="s">
        <v>74</v>
      </c>
      <c r="O645" s="1" t="s">
        <v>74</v>
      </c>
      <c r="P645" s="1" t="s">
        <v>74</v>
      </c>
      <c r="Q645" s="1" t="s">
        <v>74</v>
      </c>
      <c r="R645" s="1" t="s">
        <v>74</v>
      </c>
      <c r="S645" s="1" t="s">
        <v>74</v>
      </c>
      <c r="T645" s="1" t="s">
        <v>74</v>
      </c>
      <c r="U645" s="1" t="s">
        <v>74</v>
      </c>
      <c r="V645" s="1" t="s">
        <v>5514</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5515</v>
      </c>
      <c r="AP645" s="1" t="s">
        <v>74</v>
      </c>
      <c r="AQ645" s="1" t="s">
        <v>74</v>
      </c>
      <c r="AR645" s="1" t="s">
        <v>74</v>
      </c>
      <c r="AS645" s="1" t="s">
        <v>74</v>
      </c>
      <c r="AT645" s="1" t="s">
        <v>91</v>
      </c>
      <c r="AU645" s="1">
        <v>1994.0</v>
      </c>
      <c r="AV645" s="1">
        <v>27.0</v>
      </c>
      <c r="AW645" s="1">
        <v>7.0</v>
      </c>
      <c r="AX645" s="1" t="s">
        <v>74</v>
      </c>
      <c r="AY645" s="1" t="s">
        <v>74</v>
      </c>
      <c r="AZ645" s="1" t="s">
        <v>74</v>
      </c>
      <c r="BA645" s="1" t="s">
        <v>74</v>
      </c>
      <c r="BB645" s="1">
        <v>1491.0</v>
      </c>
      <c r="BC645" s="1">
        <v>1505.0</v>
      </c>
      <c r="BD645" s="1" t="s">
        <v>74</v>
      </c>
      <c r="BE645" s="1" t="s">
        <v>74</v>
      </c>
      <c r="BF645" s="1" t="s">
        <v>74</v>
      </c>
      <c r="BG645" s="1" t="s">
        <v>74</v>
      </c>
      <c r="BH645" s="1" t="s">
        <v>74</v>
      </c>
      <c r="BI645" s="1" t="s">
        <v>74</v>
      </c>
      <c r="BJ645" s="1" t="s">
        <v>74</v>
      </c>
      <c r="BK645" s="1" t="s">
        <v>74</v>
      </c>
      <c r="BL645" s="1" t="s">
        <v>74</v>
      </c>
      <c r="BM645" s="1" t="s">
        <v>74</v>
      </c>
      <c r="BN645" s="1">
        <v>7874017.0</v>
      </c>
      <c r="BO645" s="1" t="s">
        <v>74</v>
      </c>
      <c r="BP645" s="1" t="s">
        <v>74</v>
      </c>
      <c r="BQ645" s="1" t="s">
        <v>74</v>
      </c>
      <c r="BR645" s="1" t="s">
        <v>74</v>
      </c>
      <c r="BS645" s="1" t="s">
        <v>5516</v>
      </c>
      <c r="BT645" s="1" t="str">
        <f>HYPERLINK("https%3A%2F%2Fwww.webofscience.com%2Fwos%2Fwoscc%2Ffull-record%2FWOS:A1994PA55200002","View Full Record in Web of Science")</f>
        <v>View Full Record in Web of Science</v>
      </c>
    </row>
    <row r="646" ht="12.75" customHeight="1">
      <c r="A646" s="1" t="s">
        <v>72</v>
      </c>
      <c r="B646" s="1" t="s">
        <v>5517</v>
      </c>
      <c r="C646" s="1" t="s">
        <v>74</v>
      </c>
      <c r="D646" s="1" t="s">
        <v>74</v>
      </c>
      <c r="E646" s="1" t="s">
        <v>74</v>
      </c>
      <c r="F646" s="1" t="s">
        <v>5517</v>
      </c>
      <c r="G646" s="1" t="s">
        <v>74</v>
      </c>
      <c r="H646" s="1" t="s">
        <v>74</v>
      </c>
      <c r="I646" s="1" t="s">
        <v>5518</v>
      </c>
      <c r="J646" s="1" t="s">
        <v>2196</v>
      </c>
      <c r="K646" s="1" t="s">
        <v>74</v>
      </c>
      <c r="L646" s="1" t="s">
        <v>74</v>
      </c>
      <c r="M646" s="1" t="s">
        <v>74</v>
      </c>
      <c r="N646" s="1" t="s">
        <v>74</v>
      </c>
      <c r="O646" s="1" t="s">
        <v>5519</v>
      </c>
      <c r="P646" s="1" t="s">
        <v>5520</v>
      </c>
      <c r="Q646" s="1" t="s">
        <v>5521</v>
      </c>
      <c r="R646" s="1" t="s">
        <v>74</v>
      </c>
      <c r="S646" s="1" t="s">
        <v>5522</v>
      </c>
      <c r="T646" s="1" t="s">
        <v>74</v>
      </c>
      <c r="U646" s="1" t="s">
        <v>74</v>
      </c>
      <c r="V646" s="1" t="s">
        <v>74</v>
      </c>
      <c r="W646" s="1" t="s">
        <v>74</v>
      </c>
      <c r="X646" s="1" t="s">
        <v>74</v>
      </c>
      <c r="Y646" s="1" t="s">
        <v>74</v>
      </c>
      <c r="Z646" s="1" t="s">
        <v>74</v>
      </c>
      <c r="AA646" s="1" t="s">
        <v>74</v>
      </c>
      <c r="AB646" s="1" t="s">
        <v>74</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5523</v>
      </c>
      <c r="AP646" s="1" t="s">
        <v>74</v>
      </c>
      <c r="AQ646" s="1" t="s">
        <v>74</v>
      </c>
      <c r="AR646" s="1" t="s">
        <v>74</v>
      </c>
      <c r="AS646" s="1" t="s">
        <v>74</v>
      </c>
      <c r="AT646" s="1" t="s">
        <v>974</v>
      </c>
      <c r="AU646" s="1">
        <v>1993.0</v>
      </c>
      <c r="AV646" s="1" t="s">
        <v>74</v>
      </c>
      <c r="AW646" s="1">
        <v>42.0</v>
      </c>
      <c r="AX646" s="1" t="s">
        <v>74</v>
      </c>
      <c r="AY646" s="1" t="s">
        <v>74</v>
      </c>
      <c r="AZ646" s="1" t="s">
        <v>74</v>
      </c>
      <c r="BA646" s="1" t="s">
        <v>74</v>
      </c>
      <c r="BB646" s="1">
        <v>157.0</v>
      </c>
      <c r="BC646" s="1">
        <v>164.0</v>
      </c>
      <c r="BD646" s="1" t="s">
        <v>74</v>
      </c>
      <c r="BE646" s="1" t="s">
        <v>74</v>
      </c>
      <c r="BF646" s="1" t="s">
        <v>74</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5524</v>
      </c>
      <c r="BT646" s="1" t="str">
        <f>HYPERLINK("https%3A%2F%2Fwww.webofscience.com%2Fwos%2Fwoscc%2Ffull-record%2FWOS:A1993MW20700022","View Full Record in Web of Science")</f>
        <v>View Full Record in Web of Science</v>
      </c>
    </row>
    <row r="647" ht="12.75" customHeight="1">
      <c r="A647" s="1" t="s">
        <v>72</v>
      </c>
      <c r="B647" s="1" t="s">
        <v>5525</v>
      </c>
      <c r="C647" s="1" t="s">
        <v>74</v>
      </c>
      <c r="D647" s="1" t="s">
        <v>74</v>
      </c>
      <c r="E647" s="1" t="s">
        <v>74</v>
      </c>
      <c r="F647" s="1" t="s">
        <v>5525</v>
      </c>
      <c r="G647" s="1" t="s">
        <v>74</v>
      </c>
      <c r="H647" s="1" t="s">
        <v>74</v>
      </c>
      <c r="I647" s="1" t="s">
        <v>5526</v>
      </c>
      <c r="J647" s="1" t="s">
        <v>448</v>
      </c>
      <c r="K647" s="1" t="s">
        <v>74</v>
      </c>
      <c r="L647" s="1" t="s">
        <v>74</v>
      </c>
      <c r="M647" s="1" t="s">
        <v>74</v>
      </c>
      <c r="N647" s="1" t="s">
        <v>74</v>
      </c>
      <c r="O647" s="1" t="s">
        <v>74</v>
      </c>
      <c r="P647" s="1" t="s">
        <v>74</v>
      </c>
      <c r="Q647" s="1" t="s">
        <v>74</v>
      </c>
      <c r="R647" s="1" t="s">
        <v>74</v>
      </c>
      <c r="S647" s="1" t="s">
        <v>74</v>
      </c>
      <c r="T647" s="1" t="s">
        <v>74</v>
      </c>
      <c r="U647" s="1" t="s">
        <v>74</v>
      </c>
      <c r="V647" s="1" t="s">
        <v>5527</v>
      </c>
      <c r="W647" s="1" t="s">
        <v>74</v>
      </c>
      <c r="X647" s="1" t="s">
        <v>74</v>
      </c>
      <c r="Y647" s="1" t="s">
        <v>74</v>
      </c>
      <c r="Z647" s="1" t="s">
        <v>74</v>
      </c>
      <c r="AA647" s="1" t="s">
        <v>74</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452</v>
      </c>
      <c r="AP647" s="1" t="s">
        <v>74</v>
      </c>
      <c r="AQ647" s="1" t="s">
        <v>74</v>
      </c>
      <c r="AR647" s="1" t="s">
        <v>74</v>
      </c>
      <c r="AS647" s="1" t="s">
        <v>74</v>
      </c>
      <c r="AT647" s="1" t="s">
        <v>1640</v>
      </c>
      <c r="AU647" s="1">
        <v>1993.0</v>
      </c>
      <c r="AV647" s="1">
        <v>71.0</v>
      </c>
      <c r="AW647" s="1">
        <v>2.0</v>
      </c>
      <c r="AX647" s="1" t="s">
        <v>74</v>
      </c>
      <c r="AY647" s="1" t="s">
        <v>74</v>
      </c>
      <c r="AZ647" s="1" t="s">
        <v>74</v>
      </c>
      <c r="BA647" s="1" t="s">
        <v>74</v>
      </c>
      <c r="BB647" s="1">
        <v>175.0</v>
      </c>
      <c r="BC647" s="1">
        <v>179.0</v>
      </c>
      <c r="BD647" s="1" t="s">
        <v>74</v>
      </c>
      <c r="BE647" s="1" t="s">
        <v>5528</v>
      </c>
      <c r="BF647" s="2" t="str">
        <f>HYPERLINK("http://dx.doi.org/10.1016/1010-6030(93)85070-O","http://dx.doi.org/10.1016/1010-6030(93)85070-O")</f>
        <v>http://dx.doi.org/10.1016/1010-6030(93)85070-O</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5529</v>
      </c>
      <c r="BT647" s="1" t="str">
        <f>HYPERLINK("https%3A%2F%2Fwww.webofscience.com%2Fwos%2Fwoscc%2Ffull-record%2FWOS:A1993KZ19100012","View Full Record in Web of Science")</f>
        <v>View Full Record in Web of Science</v>
      </c>
    </row>
    <row r="648" ht="12.75" customHeight="1">
      <c r="A648" s="1" t="s">
        <v>72</v>
      </c>
      <c r="B648" s="1" t="s">
        <v>5530</v>
      </c>
      <c r="C648" s="1" t="s">
        <v>74</v>
      </c>
      <c r="D648" s="1" t="s">
        <v>74</v>
      </c>
      <c r="E648" s="1" t="s">
        <v>74</v>
      </c>
      <c r="F648" s="1" t="s">
        <v>5530</v>
      </c>
      <c r="G648" s="1" t="s">
        <v>74</v>
      </c>
      <c r="H648" s="1" t="s">
        <v>74</v>
      </c>
      <c r="I648" s="1" t="s">
        <v>5531</v>
      </c>
      <c r="J648" s="1" t="s">
        <v>5532</v>
      </c>
      <c r="K648" s="1" t="s">
        <v>74</v>
      </c>
      <c r="L648" s="1" t="s">
        <v>74</v>
      </c>
      <c r="M648" s="1" t="s">
        <v>74</v>
      </c>
      <c r="N648" s="1" t="s">
        <v>74</v>
      </c>
      <c r="O648" s="1" t="s">
        <v>74</v>
      </c>
      <c r="P648" s="1" t="s">
        <v>74</v>
      </c>
      <c r="Q648" s="1" t="s">
        <v>74</v>
      </c>
      <c r="R648" s="1" t="s">
        <v>74</v>
      </c>
      <c r="S648" s="1" t="s">
        <v>74</v>
      </c>
      <c r="T648" s="1" t="s">
        <v>74</v>
      </c>
      <c r="U648" s="1" t="s">
        <v>74</v>
      </c>
      <c r="V648" s="1" t="s">
        <v>74</v>
      </c>
      <c r="W648" s="1" t="s">
        <v>74</v>
      </c>
      <c r="X648" s="1" t="s">
        <v>74</v>
      </c>
      <c r="Y648" s="1" t="s">
        <v>74</v>
      </c>
      <c r="Z648" s="1" t="s">
        <v>74</v>
      </c>
      <c r="AA648" s="1" t="s">
        <v>74</v>
      </c>
      <c r="AB648" s="1" t="s">
        <v>74</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5533</v>
      </c>
      <c r="AP648" s="1" t="s">
        <v>74</v>
      </c>
      <c r="AQ648" s="1" t="s">
        <v>74</v>
      </c>
      <c r="AR648" s="1" t="s">
        <v>74</v>
      </c>
      <c r="AS648" s="1" t="s">
        <v>74</v>
      </c>
      <c r="AT648" s="1" t="s">
        <v>974</v>
      </c>
      <c r="AU648" s="1">
        <v>1990.0</v>
      </c>
      <c r="AV648" s="1">
        <v>62.0</v>
      </c>
      <c r="AW648" s="1">
        <v>8.0</v>
      </c>
      <c r="AX648" s="1" t="s">
        <v>74</v>
      </c>
      <c r="AY648" s="1" t="s">
        <v>74</v>
      </c>
      <c r="AZ648" s="1" t="s">
        <v>74</v>
      </c>
      <c r="BA648" s="1" t="s">
        <v>74</v>
      </c>
      <c r="BB648" s="1">
        <v>1503.0</v>
      </c>
      <c r="BC648" s="1">
        <v>1510.0</v>
      </c>
      <c r="BD648" s="1" t="s">
        <v>74</v>
      </c>
      <c r="BE648" s="1" t="s">
        <v>5534</v>
      </c>
      <c r="BF648" s="2" t="str">
        <f>HYPERLINK("http://dx.doi.org/10.1351/pac199062081503","http://dx.doi.org/10.1351/pac199062081503")</f>
        <v>http://dx.doi.org/10.1351/pac199062081503</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5535</v>
      </c>
      <c r="BT648" s="1" t="str">
        <f>HYPERLINK("https%3A%2F%2Fwww.webofscience.com%2Fwos%2Fwoscc%2Ffull-record%2FWOS:A1990DP60600009","View Full Record in Web of Science")</f>
        <v>View Full Record in Web of Science</v>
      </c>
    </row>
    <row r="649" ht="12.75" customHeight="1">
      <c r="A649" s="1" t="s">
        <v>72</v>
      </c>
      <c r="B649" s="1" t="s">
        <v>2546</v>
      </c>
      <c r="C649" s="1" t="s">
        <v>74</v>
      </c>
      <c r="D649" s="1" t="s">
        <v>74</v>
      </c>
      <c r="E649" s="1" t="s">
        <v>74</v>
      </c>
      <c r="F649" s="1" t="s">
        <v>2546</v>
      </c>
      <c r="G649" s="1" t="s">
        <v>74</v>
      </c>
      <c r="H649" s="1" t="s">
        <v>74</v>
      </c>
      <c r="I649" s="1" t="s">
        <v>5536</v>
      </c>
      <c r="J649" s="1" t="s">
        <v>842</v>
      </c>
      <c r="K649" s="1" t="s">
        <v>74</v>
      </c>
      <c r="L649" s="1" t="s">
        <v>74</v>
      </c>
      <c r="M649" s="1" t="s">
        <v>74</v>
      </c>
      <c r="N649" s="1" t="s">
        <v>74</v>
      </c>
      <c r="O649" s="1" t="s">
        <v>74</v>
      </c>
      <c r="P649" s="1" t="s">
        <v>74</v>
      </c>
      <c r="Q649" s="1" t="s">
        <v>74</v>
      </c>
      <c r="R649" s="1" t="s">
        <v>74</v>
      </c>
      <c r="S649" s="1" t="s">
        <v>74</v>
      </c>
      <c r="T649" s="1" t="s">
        <v>74</v>
      </c>
      <c r="U649" s="1" t="s">
        <v>74</v>
      </c>
      <c r="V649" s="1" t="s">
        <v>74</v>
      </c>
      <c r="W649" s="1" t="s">
        <v>74</v>
      </c>
      <c r="X649" s="1" t="s">
        <v>74</v>
      </c>
      <c r="Y649" s="1" t="s">
        <v>74</v>
      </c>
      <c r="Z649" s="1" t="s">
        <v>74</v>
      </c>
      <c r="AA649" s="1" t="s">
        <v>74</v>
      </c>
      <c r="AB649" s="1" t="s">
        <v>74</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846</v>
      </c>
      <c r="AP649" s="1" t="s">
        <v>74</v>
      </c>
      <c r="AQ649" s="1" t="s">
        <v>74</v>
      </c>
      <c r="AR649" s="1" t="s">
        <v>74</v>
      </c>
      <c r="AS649" s="1" t="s">
        <v>74</v>
      </c>
      <c r="AT649" s="1" t="s">
        <v>3644</v>
      </c>
      <c r="AU649" s="1">
        <v>1990.0</v>
      </c>
      <c r="AV649" s="1">
        <v>146.0</v>
      </c>
      <c r="AW649" s="1">
        <v>2.0</v>
      </c>
      <c r="AX649" s="1" t="s">
        <v>74</v>
      </c>
      <c r="AY649" s="1" t="s">
        <v>74</v>
      </c>
      <c r="AZ649" s="1" t="s">
        <v>74</v>
      </c>
      <c r="BA649" s="1" t="s">
        <v>74</v>
      </c>
      <c r="BB649" s="1">
        <v>420.0</v>
      </c>
      <c r="BC649" s="1">
        <v>433.0</v>
      </c>
      <c r="BD649" s="1" t="s">
        <v>74</v>
      </c>
      <c r="BE649" s="1" t="s">
        <v>5537</v>
      </c>
      <c r="BF649" s="2" t="str">
        <f>HYPERLINK("http://dx.doi.org/10.1016/0022-247X(90)90313-5","http://dx.doi.org/10.1016/0022-247X(90)90313-5")</f>
        <v>http://dx.doi.org/10.1016/0022-247X(90)90313-5</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5538</v>
      </c>
      <c r="BT649" s="1" t="str">
        <f>HYPERLINK("https%3A%2F%2Fwww.webofscience.com%2Fwos%2Fwoscc%2Ffull-record%2FWOS:A1990CW50300011","View Full Record in Web of Science")</f>
        <v>View Full Record in Web of Science</v>
      </c>
    </row>
    <row r="650" ht="12.75" customHeight="1">
      <c r="A650" s="1" t="s">
        <v>72</v>
      </c>
      <c r="B650" s="1" t="s">
        <v>5539</v>
      </c>
      <c r="C650" s="1" t="s">
        <v>74</v>
      </c>
      <c r="D650" s="1" t="s">
        <v>74</v>
      </c>
      <c r="E650" s="1" t="s">
        <v>74</v>
      </c>
      <c r="F650" s="1" t="s">
        <v>5539</v>
      </c>
      <c r="G650" s="1" t="s">
        <v>74</v>
      </c>
      <c r="H650" s="1" t="s">
        <v>74</v>
      </c>
      <c r="I650" s="1" t="s">
        <v>5540</v>
      </c>
      <c r="J650" s="1" t="s">
        <v>3313</v>
      </c>
      <c r="K650" s="1" t="s">
        <v>74</v>
      </c>
      <c r="L650" s="1" t="s">
        <v>74</v>
      </c>
      <c r="M650" s="1" t="s">
        <v>74</v>
      </c>
      <c r="N650" s="1" t="s">
        <v>74</v>
      </c>
      <c r="O650" s="1" t="s">
        <v>74</v>
      </c>
      <c r="P650" s="1" t="s">
        <v>74</v>
      </c>
      <c r="Q650" s="1" t="s">
        <v>74</v>
      </c>
      <c r="R650" s="1" t="s">
        <v>74</v>
      </c>
      <c r="S650" s="1" t="s">
        <v>74</v>
      </c>
      <c r="T650" s="1" t="s">
        <v>74</v>
      </c>
      <c r="U650" s="1" t="s">
        <v>74</v>
      </c>
      <c r="V650" s="1" t="s">
        <v>74</v>
      </c>
      <c r="W650" s="1" t="s">
        <v>74</v>
      </c>
      <c r="X650" s="1" t="s">
        <v>74</v>
      </c>
      <c r="Y650" s="1" t="s">
        <v>74</v>
      </c>
      <c r="Z650" s="1" t="s">
        <v>74</v>
      </c>
      <c r="AA650" s="1" t="s">
        <v>74</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3315</v>
      </c>
      <c r="AP650" s="1" t="s">
        <v>74</v>
      </c>
      <c r="AQ650" s="1" t="s">
        <v>74</v>
      </c>
      <c r="AR650" s="1" t="s">
        <v>74</v>
      </c>
      <c r="AS650" s="1" t="s">
        <v>74</v>
      </c>
      <c r="AT650" s="1" t="s">
        <v>74</v>
      </c>
      <c r="AU650" s="1">
        <v>1990.0</v>
      </c>
      <c r="AV650" s="1">
        <v>26.0</v>
      </c>
      <c r="AW650" s="1">
        <v>6.0</v>
      </c>
      <c r="AX650" s="1" t="s">
        <v>74</v>
      </c>
      <c r="AY650" s="1" t="s">
        <v>74</v>
      </c>
      <c r="AZ650" s="1" t="s">
        <v>74</v>
      </c>
      <c r="BA650" s="1" t="s">
        <v>74</v>
      </c>
      <c r="BB650" s="1">
        <v>707.0</v>
      </c>
      <c r="BC650" s="1">
        <v>710.0</v>
      </c>
      <c r="BD650" s="1" t="s">
        <v>74</v>
      </c>
      <c r="BE650" s="1" t="s">
        <v>5541</v>
      </c>
      <c r="BF650" s="2" t="str">
        <f>HYPERLINK("http://dx.doi.org/10.1016/0014-3057(90)90233-T","http://dx.doi.org/10.1016/0014-3057(90)90233-T")</f>
        <v>http://dx.doi.org/10.1016/0014-3057(90)90233-T</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5542</v>
      </c>
      <c r="BT650" s="1" t="str">
        <f>HYPERLINK("https%3A%2F%2Fwww.webofscience.com%2Fwos%2Fwoscc%2Ffull-record%2FWOS:A1990DE79500020","View Full Record in Web of Science")</f>
        <v>View Full Record in Web of Science</v>
      </c>
    </row>
    <row r="651" ht="12.75" customHeight="1">
      <c r="A651" s="1" t="s">
        <v>72</v>
      </c>
      <c r="B651" s="1" t="s">
        <v>5543</v>
      </c>
      <c r="C651" s="1" t="s">
        <v>74</v>
      </c>
      <c r="D651" s="1" t="s">
        <v>74</v>
      </c>
      <c r="E651" s="1" t="s">
        <v>74</v>
      </c>
      <c r="F651" s="1" t="s">
        <v>5543</v>
      </c>
      <c r="G651" s="1" t="s">
        <v>74</v>
      </c>
      <c r="H651" s="1" t="s">
        <v>74</v>
      </c>
      <c r="I651" s="1" t="s">
        <v>5544</v>
      </c>
      <c r="J651" s="1" t="s">
        <v>5545</v>
      </c>
      <c r="K651" s="1" t="s">
        <v>74</v>
      </c>
      <c r="L651" s="1" t="s">
        <v>74</v>
      </c>
      <c r="M651" s="1" t="s">
        <v>74</v>
      </c>
      <c r="N651" s="1" t="s">
        <v>74</v>
      </c>
      <c r="O651" s="1" t="s">
        <v>74</v>
      </c>
      <c r="P651" s="1" t="s">
        <v>74</v>
      </c>
      <c r="Q651" s="1" t="s">
        <v>74</v>
      </c>
      <c r="R651" s="1" t="s">
        <v>74</v>
      </c>
      <c r="S651" s="1" t="s">
        <v>74</v>
      </c>
      <c r="T651" s="1" t="s">
        <v>74</v>
      </c>
      <c r="U651" s="1" t="s">
        <v>74</v>
      </c>
      <c r="V651" s="1" t="s">
        <v>74</v>
      </c>
      <c r="W651" s="1" t="s">
        <v>74</v>
      </c>
      <c r="X651" s="1" t="s">
        <v>74</v>
      </c>
      <c r="Y651" s="1" t="s">
        <v>74</v>
      </c>
      <c r="Z651" s="1" t="s">
        <v>74</v>
      </c>
      <c r="AA651" s="1" t="s">
        <v>74</v>
      </c>
      <c r="AB651" s="1" t="s">
        <v>74</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5546</v>
      </c>
      <c r="AP651" s="1" t="s">
        <v>74</v>
      </c>
      <c r="AQ651" s="1" t="s">
        <v>74</v>
      </c>
      <c r="AR651" s="1" t="s">
        <v>74</v>
      </c>
      <c r="AS651" s="1" t="s">
        <v>74</v>
      </c>
      <c r="AT651" s="1" t="s">
        <v>74</v>
      </c>
      <c r="AU651" s="1">
        <v>1983.0</v>
      </c>
      <c r="AV651" s="1">
        <v>2.0</v>
      </c>
      <c r="AW651" s="1">
        <v>5.0</v>
      </c>
      <c r="AX651" s="1" t="s">
        <v>74</v>
      </c>
      <c r="AY651" s="1" t="s">
        <v>74</v>
      </c>
      <c r="AZ651" s="1" t="s">
        <v>74</v>
      </c>
      <c r="BA651" s="1" t="s">
        <v>74</v>
      </c>
      <c r="BB651" s="1">
        <v>1376.0</v>
      </c>
      <c r="BC651" s="1">
        <v>1382.0</v>
      </c>
      <c r="BD651" s="1" t="s">
        <v>74</v>
      </c>
      <c r="BE651" s="1" t="s">
        <v>5547</v>
      </c>
      <c r="BF651" s="2" t="str">
        <f>HYPERLINK("http://dx.doi.org/10.1007/BF02460220","http://dx.doi.org/10.1007/BF02460220")</f>
        <v>http://dx.doi.org/10.1007/BF02460220</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5548</v>
      </c>
      <c r="BT651" s="1" t="str">
        <f>HYPERLINK("https%3A%2F%2Fwww.webofscience.com%2Fwos%2Fwoscc%2Ffull-record%2FWOS:A1983RS39900013","View Full Record in Web of Science")</f>
        <v>View Full Record in Web of Science</v>
      </c>
    </row>
    <row r="652" ht="12.75" customHeight="1">
      <c r="A652" s="1" t="s">
        <v>72</v>
      </c>
      <c r="B652" s="1" t="s">
        <v>5549</v>
      </c>
      <c r="C652" s="1" t="s">
        <v>74</v>
      </c>
      <c r="D652" s="1" t="s">
        <v>74</v>
      </c>
      <c r="E652" s="1" t="s">
        <v>74</v>
      </c>
      <c r="F652" s="1" t="s">
        <v>5549</v>
      </c>
      <c r="G652" s="1" t="s">
        <v>74</v>
      </c>
      <c r="H652" s="1" t="s">
        <v>74</v>
      </c>
      <c r="I652" s="1" t="s">
        <v>5550</v>
      </c>
      <c r="J652" s="1" t="s">
        <v>5551</v>
      </c>
      <c r="K652" s="1" t="s">
        <v>74</v>
      </c>
      <c r="L652" s="1" t="s">
        <v>74</v>
      </c>
      <c r="M652" s="1" t="s">
        <v>74</v>
      </c>
      <c r="N652" s="1" t="s">
        <v>74</v>
      </c>
      <c r="O652" s="1" t="s">
        <v>74</v>
      </c>
      <c r="P652" s="1" t="s">
        <v>74</v>
      </c>
      <c r="Q652" s="1" t="s">
        <v>74</v>
      </c>
      <c r="R652" s="1" t="s">
        <v>74</v>
      </c>
      <c r="S652" s="1" t="s">
        <v>74</v>
      </c>
      <c r="T652" s="1" t="s">
        <v>74</v>
      </c>
      <c r="U652" s="1" t="s">
        <v>74</v>
      </c>
      <c r="V652" s="1" t="s">
        <v>74</v>
      </c>
      <c r="W652" s="1" t="s">
        <v>74</v>
      </c>
      <c r="X652" s="1" t="s">
        <v>74</v>
      </c>
      <c r="Y652" s="1" t="s">
        <v>74</v>
      </c>
      <c r="Z652" s="1" t="s">
        <v>74</v>
      </c>
      <c r="AA652" s="1" t="s">
        <v>74</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5552</v>
      </c>
      <c r="AP652" s="1" t="s">
        <v>74</v>
      </c>
      <c r="AQ652" s="1" t="s">
        <v>74</v>
      </c>
      <c r="AR652" s="1" t="s">
        <v>74</v>
      </c>
      <c r="AS652" s="1" t="s">
        <v>74</v>
      </c>
      <c r="AT652" s="1" t="s">
        <v>74</v>
      </c>
      <c r="AU652" s="1">
        <v>1981.0</v>
      </c>
      <c r="AV652" s="1">
        <v>126.0</v>
      </c>
      <c r="AW652" s="1">
        <v>1.0</v>
      </c>
      <c r="AX652" s="1" t="s">
        <v>74</v>
      </c>
      <c r="AY652" s="1" t="s">
        <v>74</v>
      </c>
      <c r="AZ652" s="1" t="s">
        <v>74</v>
      </c>
      <c r="BA652" s="1" t="s">
        <v>74</v>
      </c>
      <c r="BB652" s="1">
        <v>71.0</v>
      </c>
      <c r="BC652" s="1">
        <v>83.0</v>
      </c>
      <c r="BD652" s="1" t="s">
        <v>74</v>
      </c>
      <c r="BE652" s="1" t="s">
        <v>5553</v>
      </c>
      <c r="BF652" s="2" t="str">
        <f>HYPERLINK("http://dx.doi.org/10.1524/zpch.1981.126.1.071","http://dx.doi.org/10.1524/zpch.1981.126.1.071")</f>
        <v>http://dx.doi.org/10.1524/zpch.1981.126.1.071</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5554</v>
      </c>
      <c r="BT652" s="1" t="str">
        <f>HYPERLINK("https%3A%2F%2Fwww.webofscience.com%2Fwos%2Fwoscc%2Ffull-record%2FWOS:A1981MJ08400008","View Full Record in Web of Science")</f>
        <v>View Full Record in Web of Science</v>
      </c>
    </row>
    <row r="653" ht="12.75" customHeight="1">
      <c r="A653" s="1" t="s">
        <v>72</v>
      </c>
      <c r="B653" s="1" t="s">
        <v>5555</v>
      </c>
      <c r="C653" s="1" t="s">
        <v>74</v>
      </c>
      <c r="D653" s="1" t="s">
        <v>74</v>
      </c>
      <c r="E653" s="1" t="s">
        <v>74</v>
      </c>
      <c r="F653" s="1" t="s">
        <v>5555</v>
      </c>
      <c r="G653" s="1" t="s">
        <v>74</v>
      </c>
      <c r="H653" s="1" t="s">
        <v>74</v>
      </c>
      <c r="I653" s="1" t="s">
        <v>5556</v>
      </c>
      <c r="J653" s="1" t="s">
        <v>930</v>
      </c>
      <c r="K653" s="1" t="s">
        <v>74</v>
      </c>
      <c r="L653" s="1" t="s">
        <v>74</v>
      </c>
      <c r="M653" s="1" t="s">
        <v>74</v>
      </c>
      <c r="N653" s="1" t="s">
        <v>74</v>
      </c>
      <c r="O653" s="1" t="s">
        <v>74</v>
      </c>
      <c r="P653" s="1" t="s">
        <v>74</v>
      </c>
      <c r="Q653" s="1" t="s">
        <v>74</v>
      </c>
      <c r="R653" s="1" t="s">
        <v>74</v>
      </c>
      <c r="S653" s="1" t="s">
        <v>74</v>
      </c>
      <c r="T653" s="1" t="s">
        <v>74</v>
      </c>
      <c r="U653" s="1" t="s">
        <v>74</v>
      </c>
      <c r="V653" s="1" t="s">
        <v>74</v>
      </c>
      <c r="W653" s="1" t="s">
        <v>74</v>
      </c>
      <c r="X653" s="1" t="s">
        <v>74</v>
      </c>
      <c r="Y653" s="1" t="s">
        <v>74</v>
      </c>
      <c r="Z653" s="1" t="s">
        <v>74</v>
      </c>
      <c r="AA653" s="1" t="s">
        <v>74</v>
      </c>
      <c r="AB653" s="1" t="s">
        <v>74</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931</v>
      </c>
      <c r="AP653" s="1" t="s">
        <v>74</v>
      </c>
      <c r="AQ653" s="1" t="s">
        <v>74</v>
      </c>
      <c r="AR653" s="1" t="s">
        <v>74</v>
      </c>
      <c r="AS653" s="1" t="s">
        <v>74</v>
      </c>
      <c r="AT653" s="1" t="s">
        <v>74</v>
      </c>
      <c r="AU653" s="1">
        <v>1979.0</v>
      </c>
      <c r="AV653" s="1">
        <v>17.0</v>
      </c>
      <c r="AW653" s="1">
        <v>1.0</v>
      </c>
      <c r="AX653" s="1" t="s">
        <v>74</v>
      </c>
      <c r="AY653" s="1" t="s">
        <v>74</v>
      </c>
      <c r="AZ653" s="1" t="s">
        <v>74</v>
      </c>
      <c r="BA653" s="1" t="s">
        <v>74</v>
      </c>
      <c r="BB653" s="1">
        <v>19.0</v>
      </c>
      <c r="BC653" s="1">
        <v>26.0</v>
      </c>
      <c r="BD653" s="1" t="s">
        <v>74</v>
      </c>
      <c r="BE653" s="1" t="s">
        <v>5557</v>
      </c>
      <c r="BF653" s="2" t="str">
        <f>HYPERLINK("http://dx.doi.org/10.1002/pol.1979.170170103","http://dx.doi.org/10.1002/pol.1979.170170103")</f>
        <v>http://dx.doi.org/10.1002/pol.1979.170170103</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5558</v>
      </c>
      <c r="BT653" s="1" t="str">
        <f>HYPERLINK("https%3A%2F%2Fwww.webofscience.com%2Fwos%2Fwoscc%2Ffull-record%2FWOS:A1979GF00300003","View Full Record in Web of Science")</f>
        <v>View Full Record in Web of Science</v>
      </c>
    </row>
    <row r="654" ht="12.75" customHeight="1">
      <c r="A654" s="1" t="s">
        <v>72</v>
      </c>
      <c r="B654" s="1" t="s">
        <v>5559</v>
      </c>
      <c r="C654" s="1" t="s">
        <v>74</v>
      </c>
      <c r="D654" s="1" t="s">
        <v>74</v>
      </c>
      <c r="E654" s="1" t="s">
        <v>74</v>
      </c>
      <c r="F654" s="1" t="s">
        <v>5559</v>
      </c>
      <c r="G654" s="1" t="s">
        <v>74</v>
      </c>
      <c r="H654" s="1" t="s">
        <v>74</v>
      </c>
      <c r="I654" s="1" t="s">
        <v>5560</v>
      </c>
      <c r="J654" s="1" t="s">
        <v>5561</v>
      </c>
      <c r="K654" s="1" t="s">
        <v>74</v>
      </c>
      <c r="L654" s="1" t="s">
        <v>74</v>
      </c>
      <c r="M654" s="1" t="s">
        <v>74</v>
      </c>
      <c r="N654" s="1" t="s">
        <v>74</v>
      </c>
      <c r="O654" s="1" t="s">
        <v>74</v>
      </c>
      <c r="P654" s="1" t="s">
        <v>74</v>
      </c>
      <c r="Q654" s="1" t="s">
        <v>74</v>
      </c>
      <c r="R654" s="1" t="s">
        <v>74</v>
      </c>
      <c r="S654" s="1" t="s">
        <v>74</v>
      </c>
      <c r="T654" s="1" t="s">
        <v>74</v>
      </c>
      <c r="U654" s="1" t="s">
        <v>74</v>
      </c>
      <c r="V654" s="1" t="s">
        <v>74</v>
      </c>
      <c r="W654" s="1" t="s">
        <v>74</v>
      </c>
      <c r="X654" s="1" t="s">
        <v>74</v>
      </c>
      <c r="Y654" s="1" t="s">
        <v>74</v>
      </c>
      <c r="Z654" s="1" t="s">
        <v>74</v>
      </c>
      <c r="AA654" s="1" t="s">
        <v>943</v>
      </c>
      <c r="AB654" s="1" t="s">
        <v>701</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5562</v>
      </c>
      <c r="AP654" s="1" t="s">
        <v>74</v>
      </c>
      <c r="AQ654" s="1" t="s">
        <v>74</v>
      </c>
      <c r="AR654" s="1" t="s">
        <v>74</v>
      </c>
      <c r="AS654" s="1" t="s">
        <v>74</v>
      </c>
      <c r="AT654" s="1" t="s">
        <v>74</v>
      </c>
      <c r="AU654" s="1">
        <v>1978.0</v>
      </c>
      <c r="AV654" s="1" t="s">
        <v>74</v>
      </c>
      <c r="AW654" s="1">
        <v>30.0</v>
      </c>
      <c r="AX654" s="1" t="s">
        <v>74</v>
      </c>
      <c r="AY654" s="1" t="s">
        <v>74</v>
      </c>
      <c r="AZ654" s="1" t="s">
        <v>74</v>
      </c>
      <c r="BA654" s="1" t="s">
        <v>74</v>
      </c>
      <c r="BB654" s="1">
        <v>2649.0</v>
      </c>
      <c r="BC654" s="1">
        <v>2652.0</v>
      </c>
      <c r="BD654" s="1" t="s">
        <v>74</v>
      </c>
      <c r="BE654" s="1" t="s">
        <v>74</v>
      </c>
      <c r="BF654" s="1" t="s">
        <v>74</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5563</v>
      </c>
      <c r="BT654" s="1" t="str">
        <f>HYPERLINK("https%3A%2F%2Fwww.webofscience.com%2Fwos%2Fwoscc%2Ffull-record%2FWOS:A1978FH02900004","View Full Record in Web of Science")</f>
        <v>View Full Record in Web of Science</v>
      </c>
    </row>
    <row r="655" ht="12.75" customHeight="1">
      <c r="A655" s="1" t="s">
        <v>72</v>
      </c>
      <c r="B655" s="1" t="s">
        <v>5564</v>
      </c>
      <c r="C655" s="1" t="s">
        <v>74</v>
      </c>
      <c r="D655" s="1" t="s">
        <v>74</v>
      </c>
      <c r="E655" s="1" t="s">
        <v>74</v>
      </c>
      <c r="F655" s="1" t="s">
        <v>5564</v>
      </c>
      <c r="G655" s="1" t="s">
        <v>74</v>
      </c>
      <c r="H655" s="1" t="s">
        <v>74</v>
      </c>
      <c r="I655" s="1" t="s">
        <v>5565</v>
      </c>
      <c r="J655" s="1" t="s">
        <v>936</v>
      </c>
      <c r="K655" s="1" t="s">
        <v>74</v>
      </c>
      <c r="L655" s="1" t="s">
        <v>74</v>
      </c>
      <c r="M655" s="1" t="s">
        <v>74</v>
      </c>
      <c r="N655" s="1" t="s">
        <v>74</v>
      </c>
      <c r="O655" s="1" t="s">
        <v>74</v>
      </c>
      <c r="P655" s="1" t="s">
        <v>74</v>
      </c>
      <c r="Q655" s="1" t="s">
        <v>74</v>
      </c>
      <c r="R655" s="1" t="s">
        <v>74</v>
      </c>
      <c r="S655" s="1" t="s">
        <v>74</v>
      </c>
      <c r="T655" s="1" t="s">
        <v>74</v>
      </c>
      <c r="U655" s="1" t="s">
        <v>74</v>
      </c>
      <c r="V655" s="1" t="s">
        <v>74</v>
      </c>
      <c r="W655" s="1" t="s">
        <v>74</v>
      </c>
      <c r="X655" s="1" t="s">
        <v>74</v>
      </c>
      <c r="Y655" s="1" t="s">
        <v>74</v>
      </c>
      <c r="Z655" s="1" t="s">
        <v>74</v>
      </c>
      <c r="AA655" s="1" t="s">
        <v>74</v>
      </c>
      <c r="AB655" s="1" t="s">
        <v>74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937</v>
      </c>
      <c r="AP655" s="1" t="s">
        <v>74</v>
      </c>
      <c r="AQ655" s="1" t="s">
        <v>74</v>
      </c>
      <c r="AR655" s="1" t="s">
        <v>74</v>
      </c>
      <c r="AS655" s="1" t="s">
        <v>74</v>
      </c>
      <c r="AT655" s="1" t="s">
        <v>74</v>
      </c>
      <c r="AU655" s="1">
        <v>1975.0</v>
      </c>
      <c r="AV655" s="1">
        <v>3.0</v>
      </c>
      <c r="AW655" s="1">
        <v>6.0</v>
      </c>
      <c r="AX655" s="1" t="s">
        <v>74</v>
      </c>
      <c r="AY655" s="1" t="s">
        <v>74</v>
      </c>
      <c r="AZ655" s="1" t="s">
        <v>74</v>
      </c>
      <c r="BA655" s="1" t="s">
        <v>74</v>
      </c>
      <c r="BB655" s="1">
        <v>467.0</v>
      </c>
      <c r="BC655" s="1">
        <v>469.0</v>
      </c>
      <c r="BD655" s="1" t="s">
        <v>74</v>
      </c>
      <c r="BE655" s="1" t="s">
        <v>74</v>
      </c>
      <c r="BF655" s="1" t="s">
        <v>74</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5566</v>
      </c>
      <c r="BT655" s="1" t="str">
        <f>HYPERLINK("https%3A%2F%2Fwww.webofscience.com%2Fwos%2Fwoscc%2Ffull-record%2FWOS:A1975V708100005","View Full Record in Web of Science")</f>
        <v>View Full Record in Web of Science</v>
      </c>
    </row>
    <row r="656" ht="12.75" customHeight="1">
      <c r="A656" s="1" t="s">
        <v>72</v>
      </c>
      <c r="B656" s="1" t="s">
        <v>5567</v>
      </c>
      <c r="C656" s="1" t="s">
        <v>74</v>
      </c>
      <c r="D656" s="1" t="s">
        <v>74</v>
      </c>
      <c r="E656" s="1" t="s">
        <v>74</v>
      </c>
      <c r="F656" s="1" t="s">
        <v>5568</v>
      </c>
      <c r="G656" s="1" t="s">
        <v>74</v>
      </c>
      <c r="H656" s="1" t="s">
        <v>74</v>
      </c>
      <c r="I656" s="1" t="s">
        <v>5569</v>
      </c>
      <c r="J656" s="1" t="s">
        <v>3229</v>
      </c>
      <c r="K656" s="1" t="s">
        <v>74</v>
      </c>
      <c r="L656" s="1" t="s">
        <v>74</v>
      </c>
      <c r="M656" s="1" t="s">
        <v>74</v>
      </c>
      <c r="N656" s="1" t="s">
        <v>74</v>
      </c>
      <c r="O656" s="1" t="s">
        <v>74</v>
      </c>
      <c r="P656" s="1" t="s">
        <v>74</v>
      </c>
      <c r="Q656" s="1" t="s">
        <v>74</v>
      </c>
      <c r="R656" s="1" t="s">
        <v>74</v>
      </c>
      <c r="S656" s="1" t="s">
        <v>74</v>
      </c>
      <c r="T656" s="1" t="s">
        <v>74</v>
      </c>
      <c r="U656" s="1" t="s">
        <v>74</v>
      </c>
      <c r="V656" s="1" t="s">
        <v>5570</v>
      </c>
      <c r="W656" s="1" t="s">
        <v>74</v>
      </c>
      <c r="X656" s="1" t="s">
        <v>74</v>
      </c>
      <c r="Y656" s="1" t="s">
        <v>74</v>
      </c>
      <c r="Z656" s="1" t="s">
        <v>74</v>
      </c>
      <c r="AA656" s="1" t="s">
        <v>5571</v>
      </c>
      <c r="AB656" s="1" t="s">
        <v>5572</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3233</v>
      </c>
      <c r="AP656" s="1" t="s">
        <v>5573</v>
      </c>
      <c r="AQ656" s="1" t="s">
        <v>74</v>
      </c>
      <c r="AR656" s="1" t="s">
        <v>74</v>
      </c>
      <c r="AS656" s="1" t="s">
        <v>74</v>
      </c>
      <c r="AT656" s="1" t="s">
        <v>1769</v>
      </c>
      <c r="AU656" s="1">
        <v>2024.0</v>
      </c>
      <c r="AV656" s="1">
        <v>927.0</v>
      </c>
      <c r="AW656" s="1" t="s">
        <v>74</v>
      </c>
      <c r="AX656" s="1" t="s">
        <v>74</v>
      </c>
      <c r="AY656" s="1" t="s">
        <v>74</v>
      </c>
      <c r="AZ656" s="1" t="s">
        <v>74</v>
      </c>
      <c r="BA656" s="1" t="s">
        <v>74</v>
      </c>
      <c r="BB656" s="1" t="s">
        <v>74</v>
      </c>
      <c r="BC656" s="1" t="s">
        <v>74</v>
      </c>
      <c r="BD656" s="1">
        <v>172161.0</v>
      </c>
      <c r="BE656" s="1" t="s">
        <v>5574</v>
      </c>
      <c r="BF656" s="2" t="str">
        <f>HYPERLINK("http://dx.doi.org/10.1016/j.scitotenv.2024.172161","http://dx.doi.org/10.1016/j.scitotenv.2024.172161")</f>
        <v>http://dx.doi.org/10.1016/j.scitotenv.2024.172161</v>
      </c>
      <c r="BG656" s="1" t="s">
        <v>74</v>
      </c>
      <c r="BH656" s="1" t="s">
        <v>5575</v>
      </c>
      <c r="BI656" s="1" t="s">
        <v>74</v>
      </c>
      <c r="BJ656" s="1" t="s">
        <v>74</v>
      </c>
      <c r="BK656" s="1" t="s">
        <v>74</v>
      </c>
      <c r="BL656" s="1" t="s">
        <v>74</v>
      </c>
      <c r="BM656" s="1" t="s">
        <v>74</v>
      </c>
      <c r="BN656" s="1">
        <v>3.8599402E7</v>
      </c>
      <c r="BO656" s="1" t="s">
        <v>74</v>
      </c>
      <c r="BP656" s="1" t="s">
        <v>74</v>
      </c>
      <c r="BQ656" s="1" t="s">
        <v>74</v>
      </c>
      <c r="BR656" s="1" t="s">
        <v>74</v>
      </c>
      <c r="BS656" s="1" t="s">
        <v>5576</v>
      </c>
      <c r="BT656" s="1" t="str">
        <f>HYPERLINK("https%3A%2F%2Fwww.webofscience.com%2Fwos%2Fwoscc%2Ffull-record%2FWOS:001227504900001","View Full Record in Web of Science")</f>
        <v>View Full Record in Web of Science</v>
      </c>
    </row>
    <row r="657" ht="12.75" customHeight="1">
      <c r="A657" s="1" t="s">
        <v>72</v>
      </c>
      <c r="B657" s="1" t="s">
        <v>5577</v>
      </c>
      <c r="C657" s="1" t="s">
        <v>74</v>
      </c>
      <c r="D657" s="1" t="s">
        <v>74</v>
      </c>
      <c r="E657" s="1" t="s">
        <v>74</v>
      </c>
      <c r="F657" s="1" t="s">
        <v>5578</v>
      </c>
      <c r="G657" s="1" t="s">
        <v>74</v>
      </c>
      <c r="H657" s="1" t="s">
        <v>74</v>
      </c>
      <c r="I657" s="1" t="s">
        <v>5579</v>
      </c>
      <c r="J657" s="1" t="s">
        <v>2585</v>
      </c>
      <c r="K657" s="1" t="s">
        <v>74</v>
      </c>
      <c r="L657" s="1" t="s">
        <v>74</v>
      </c>
      <c r="M657" s="1" t="s">
        <v>74</v>
      </c>
      <c r="N657" s="1" t="s">
        <v>74</v>
      </c>
      <c r="O657" s="1" t="s">
        <v>74</v>
      </c>
      <c r="P657" s="1" t="s">
        <v>74</v>
      </c>
      <c r="Q657" s="1" t="s">
        <v>74</v>
      </c>
      <c r="R657" s="1" t="s">
        <v>74</v>
      </c>
      <c r="S657" s="1" t="s">
        <v>74</v>
      </c>
      <c r="T657" s="1" t="s">
        <v>74</v>
      </c>
      <c r="U657" s="1" t="s">
        <v>74</v>
      </c>
      <c r="V657" s="1" t="s">
        <v>5580</v>
      </c>
      <c r="W657" s="1" t="s">
        <v>74</v>
      </c>
      <c r="X657" s="1" t="s">
        <v>74</v>
      </c>
      <c r="Y657" s="1" t="s">
        <v>74</v>
      </c>
      <c r="Z657" s="1" t="s">
        <v>74</v>
      </c>
      <c r="AA657" s="1" t="s">
        <v>284</v>
      </c>
      <c r="AB657" s="1" t="s">
        <v>5581</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74</v>
      </c>
      <c r="AP657" s="1" t="s">
        <v>2588</v>
      </c>
      <c r="AQ657" s="1" t="s">
        <v>74</v>
      </c>
      <c r="AR657" s="1" t="s">
        <v>74</v>
      </c>
      <c r="AS657" s="1" t="s">
        <v>74</v>
      </c>
      <c r="AT657" s="1" t="s">
        <v>818</v>
      </c>
      <c r="AU657" s="1">
        <v>2024.0</v>
      </c>
      <c r="AV657" s="1">
        <v>12.0</v>
      </c>
      <c r="AW657" s="1">
        <v>2.0</v>
      </c>
      <c r="AX657" s="1" t="s">
        <v>74</v>
      </c>
      <c r="AY657" s="1" t="s">
        <v>74</v>
      </c>
      <c r="AZ657" s="1" t="s">
        <v>74</v>
      </c>
      <c r="BA657" s="1" t="s">
        <v>74</v>
      </c>
      <c r="BB657" s="1" t="s">
        <v>74</v>
      </c>
      <c r="BC657" s="1" t="s">
        <v>74</v>
      </c>
      <c r="BD657" s="1">
        <v>248.0</v>
      </c>
      <c r="BE657" s="1" t="s">
        <v>5582</v>
      </c>
      <c r="BF657" s="2" t="str">
        <f>HYPERLINK("http://dx.doi.org/10.3390/pr12020248","http://dx.doi.org/10.3390/pr12020248")</f>
        <v>http://dx.doi.org/10.3390/pr12020248</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5583</v>
      </c>
      <c r="BT657" s="1" t="str">
        <f>HYPERLINK("https%3A%2F%2Fwww.webofscience.com%2Fwos%2Fwoscc%2Ffull-record%2FWOS:001172618100001","View Full Record in Web of Science")</f>
        <v>View Full Record in Web of Science</v>
      </c>
    </row>
    <row r="658" ht="12.75" customHeight="1">
      <c r="A658" s="1" t="s">
        <v>72</v>
      </c>
      <c r="B658" s="1" t="s">
        <v>260</v>
      </c>
      <c r="C658" s="1" t="s">
        <v>74</v>
      </c>
      <c r="D658" s="1" t="s">
        <v>74</v>
      </c>
      <c r="E658" s="1" t="s">
        <v>74</v>
      </c>
      <c r="F658" s="1" t="s">
        <v>261</v>
      </c>
      <c r="G658" s="1" t="s">
        <v>74</v>
      </c>
      <c r="H658" s="1" t="s">
        <v>74</v>
      </c>
      <c r="I658" s="1" t="s">
        <v>5584</v>
      </c>
      <c r="J658" s="1" t="s">
        <v>5585</v>
      </c>
      <c r="K658" s="1" t="s">
        <v>74</v>
      </c>
      <c r="L658" s="1" t="s">
        <v>74</v>
      </c>
      <c r="M658" s="1" t="s">
        <v>74</v>
      </c>
      <c r="N658" s="1" t="s">
        <v>74</v>
      </c>
      <c r="O658" s="1" t="s">
        <v>74</v>
      </c>
      <c r="P658" s="1" t="s">
        <v>74</v>
      </c>
      <c r="Q658" s="1" t="s">
        <v>74</v>
      </c>
      <c r="R658" s="1" t="s">
        <v>74</v>
      </c>
      <c r="S658" s="1" t="s">
        <v>74</v>
      </c>
      <c r="T658" s="1" t="s">
        <v>74</v>
      </c>
      <c r="U658" s="1" t="s">
        <v>74</v>
      </c>
      <c r="V658" s="1" t="s">
        <v>5586</v>
      </c>
      <c r="W658" s="1" t="s">
        <v>74</v>
      </c>
      <c r="X658" s="1" t="s">
        <v>74</v>
      </c>
      <c r="Y658" s="1" t="s">
        <v>74</v>
      </c>
      <c r="Z658" s="1" t="s">
        <v>74</v>
      </c>
      <c r="AA658" s="1" t="s">
        <v>74</v>
      </c>
      <c r="AB658" s="1" t="s">
        <v>74</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5587</v>
      </c>
      <c r="AP658" s="1" t="s">
        <v>5588</v>
      </c>
      <c r="AQ658" s="1" t="s">
        <v>74</v>
      </c>
      <c r="AR658" s="1" t="s">
        <v>74</v>
      </c>
      <c r="AS658" s="1" t="s">
        <v>74</v>
      </c>
      <c r="AT658" s="1" t="s">
        <v>123</v>
      </c>
      <c r="AU658" s="1">
        <v>2024.0</v>
      </c>
      <c r="AV658" s="1">
        <v>29.0</v>
      </c>
      <c r="AW658" s="1">
        <v>1.0</v>
      </c>
      <c r="AX658" s="1" t="s">
        <v>74</v>
      </c>
      <c r="AY658" s="1" t="s">
        <v>74</v>
      </c>
      <c r="AZ658" s="1" t="s">
        <v>74</v>
      </c>
      <c r="BA658" s="1" t="s">
        <v>74</v>
      </c>
      <c r="BB658" s="1" t="s">
        <v>74</v>
      </c>
      <c r="BC658" s="1" t="s">
        <v>74</v>
      </c>
      <c r="BD658" s="1" t="s">
        <v>74</v>
      </c>
      <c r="BE658" s="1" t="s">
        <v>5589</v>
      </c>
      <c r="BF658" s="2" t="str">
        <f>HYPERLINK("http://dx.doi.org/10.46743/2160-3715/2024.6216","http://dx.doi.org/10.46743/2160-3715/2024.6216")</f>
        <v>http://dx.doi.org/10.46743/2160-3715/2024.6216</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5590</v>
      </c>
      <c r="BT658" s="1" t="str">
        <f>HYPERLINK("https%3A%2F%2Fwww.webofscience.com%2Fwos%2Fwoscc%2Ffull-record%2FWOS:001139414900002","View Full Record in Web of Science")</f>
        <v>View Full Record in Web of Science</v>
      </c>
    </row>
    <row r="659" ht="12.75" customHeight="1">
      <c r="A659" s="1" t="s">
        <v>72</v>
      </c>
      <c r="B659" s="1" t="s">
        <v>5591</v>
      </c>
      <c r="C659" s="1" t="s">
        <v>74</v>
      </c>
      <c r="D659" s="1" t="s">
        <v>74</v>
      </c>
      <c r="E659" s="1" t="s">
        <v>74</v>
      </c>
      <c r="F659" s="1" t="s">
        <v>5592</v>
      </c>
      <c r="G659" s="1" t="s">
        <v>74</v>
      </c>
      <c r="H659" s="1" t="s">
        <v>74</v>
      </c>
      <c r="I659" s="1" t="s">
        <v>5593</v>
      </c>
      <c r="J659" s="1" t="s">
        <v>5594</v>
      </c>
      <c r="K659" s="1" t="s">
        <v>74</v>
      </c>
      <c r="L659" s="1" t="s">
        <v>74</v>
      </c>
      <c r="M659" s="1" t="s">
        <v>74</v>
      </c>
      <c r="N659" s="1" t="s">
        <v>74</v>
      </c>
      <c r="O659" s="1" t="s">
        <v>74</v>
      </c>
      <c r="P659" s="1" t="s">
        <v>74</v>
      </c>
      <c r="Q659" s="1" t="s">
        <v>74</v>
      </c>
      <c r="R659" s="1" t="s">
        <v>74</v>
      </c>
      <c r="S659" s="1" t="s">
        <v>74</v>
      </c>
      <c r="T659" s="1" t="s">
        <v>74</v>
      </c>
      <c r="U659" s="1" t="s">
        <v>74</v>
      </c>
      <c r="V659" s="1" t="s">
        <v>74</v>
      </c>
      <c r="W659" s="1" t="s">
        <v>74</v>
      </c>
      <c r="X659" s="1" t="s">
        <v>74</v>
      </c>
      <c r="Y659" s="1" t="s">
        <v>74</v>
      </c>
      <c r="Z659" s="1" t="s">
        <v>74</v>
      </c>
      <c r="AA659" s="1" t="s">
        <v>74</v>
      </c>
      <c r="AB659" s="1" t="s">
        <v>74</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5595</v>
      </c>
      <c r="AP659" s="1" t="s">
        <v>74</v>
      </c>
      <c r="AQ659" s="1" t="s">
        <v>74</v>
      </c>
      <c r="AR659" s="1" t="s">
        <v>74</v>
      </c>
      <c r="AS659" s="1" t="s">
        <v>74</v>
      </c>
      <c r="AT659" s="1" t="s">
        <v>74</v>
      </c>
      <c r="AU659" s="1">
        <v>2024.0</v>
      </c>
      <c r="AV659" s="1">
        <v>23.0</v>
      </c>
      <c r="AW659" s="1" t="s">
        <v>74</v>
      </c>
      <c r="AX659" s="1" t="s">
        <v>74</v>
      </c>
      <c r="AY659" s="1" t="s">
        <v>74</v>
      </c>
      <c r="AZ659" s="1" t="s">
        <v>74</v>
      </c>
      <c r="BA659" s="1" t="s">
        <v>74</v>
      </c>
      <c r="BB659" s="1" t="s">
        <v>74</v>
      </c>
      <c r="BC659" s="1" t="s">
        <v>74</v>
      </c>
      <c r="BD659" s="1" t="s">
        <v>5596</v>
      </c>
      <c r="BE659" s="1" t="s">
        <v>5597</v>
      </c>
      <c r="BF659" s="2" t="str">
        <f>HYPERLINK("http://dx.doi.org/10.5209/meso.96230","http://dx.doi.org/10.5209/meso.96230")</f>
        <v>http://dx.doi.org/10.5209/meso.96230</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5598</v>
      </c>
      <c r="BT659" s="1" t="str">
        <f>HYPERLINK("https%3A%2F%2Fwww.webofscience.com%2Fwos%2Fwoscc%2Ffull-record%2FWOS:001247797800003","View Full Record in Web of Science")</f>
        <v>View Full Record in Web of Science</v>
      </c>
    </row>
    <row r="660" ht="12.75" customHeight="1">
      <c r="A660" s="1" t="s">
        <v>72</v>
      </c>
      <c r="B660" s="1" t="s">
        <v>5599</v>
      </c>
      <c r="C660" s="1" t="s">
        <v>74</v>
      </c>
      <c r="D660" s="1" t="s">
        <v>74</v>
      </c>
      <c r="E660" s="1" t="s">
        <v>74</v>
      </c>
      <c r="F660" s="1" t="s">
        <v>5600</v>
      </c>
      <c r="G660" s="1" t="s">
        <v>74</v>
      </c>
      <c r="H660" s="1" t="s">
        <v>74</v>
      </c>
      <c r="I660" s="1" t="s">
        <v>5601</v>
      </c>
      <c r="J660" s="1" t="s">
        <v>981</v>
      </c>
      <c r="K660" s="1" t="s">
        <v>74</v>
      </c>
      <c r="L660" s="1" t="s">
        <v>74</v>
      </c>
      <c r="M660" s="1" t="s">
        <v>74</v>
      </c>
      <c r="N660" s="1" t="s">
        <v>74</v>
      </c>
      <c r="O660" s="1" t="s">
        <v>74</v>
      </c>
      <c r="P660" s="1" t="s">
        <v>74</v>
      </c>
      <c r="Q660" s="1" t="s">
        <v>74</v>
      </c>
      <c r="R660" s="1" t="s">
        <v>74</v>
      </c>
      <c r="S660" s="1" t="s">
        <v>74</v>
      </c>
      <c r="T660" s="1" t="s">
        <v>74</v>
      </c>
      <c r="U660" s="1" t="s">
        <v>74</v>
      </c>
      <c r="V660" s="1" t="s">
        <v>5602</v>
      </c>
      <c r="W660" s="1" t="s">
        <v>74</v>
      </c>
      <c r="X660" s="1" t="s">
        <v>74</v>
      </c>
      <c r="Y660" s="1" t="s">
        <v>74</v>
      </c>
      <c r="Z660" s="1" t="s">
        <v>74</v>
      </c>
      <c r="AA660" s="1" t="s">
        <v>5603</v>
      </c>
      <c r="AB660" s="1" t="s">
        <v>5604</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74</v>
      </c>
      <c r="AP660" s="1" t="s">
        <v>985</v>
      </c>
      <c r="AQ660" s="1" t="s">
        <v>74</v>
      </c>
      <c r="AR660" s="1" t="s">
        <v>74</v>
      </c>
      <c r="AS660" s="1" t="s">
        <v>74</v>
      </c>
      <c r="AT660" s="1" t="s">
        <v>123</v>
      </c>
      <c r="AU660" s="1">
        <v>2024.0</v>
      </c>
      <c r="AV660" s="1">
        <v>16.0</v>
      </c>
      <c r="AW660" s="1">
        <v>1.0</v>
      </c>
      <c r="AX660" s="1" t="s">
        <v>74</v>
      </c>
      <c r="AY660" s="1" t="s">
        <v>74</v>
      </c>
      <c r="AZ660" s="1" t="s">
        <v>74</v>
      </c>
      <c r="BA660" s="1" t="s">
        <v>74</v>
      </c>
      <c r="BB660" s="1" t="s">
        <v>74</v>
      </c>
      <c r="BC660" s="1" t="s">
        <v>74</v>
      </c>
      <c r="BD660" s="1">
        <v>255.0</v>
      </c>
      <c r="BE660" s="1" t="s">
        <v>5605</v>
      </c>
      <c r="BF660" s="2" t="str">
        <f>HYPERLINK("http://dx.doi.org/10.3390/su16010255","http://dx.doi.org/10.3390/su16010255")</f>
        <v>http://dx.doi.org/10.3390/su16010255</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5606</v>
      </c>
      <c r="BT660" s="1" t="str">
        <f>HYPERLINK("https%3A%2F%2Fwww.webofscience.com%2Fwos%2Fwoscc%2Ffull-record%2FWOS:001140542300001","View Full Record in Web of Science")</f>
        <v>View Full Record in Web of Science</v>
      </c>
    </row>
    <row r="661" ht="12.75" customHeight="1">
      <c r="A661" s="1" t="s">
        <v>72</v>
      </c>
      <c r="B661" s="1" t="s">
        <v>4336</v>
      </c>
      <c r="C661" s="1" t="s">
        <v>74</v>
      </c>
      <c r="D661" s="1" t="s">
        <v>74</v>
      </c>
      <c r="E661" s="1" t="s">
        <v>74</v>
      </c>
      <c r="F661" s="1" t="s">
        <v>4337</v>
      </c>
      <c r="G661" s="1" t="s">
        <v>74</v>
      </c>
      <c r="H661" s="1" t="s">
        <v>74</v>
      </c>
      <c r="I661" s="1" t="s">
        <v>5607</v>
      </c>
      <c r="J661" s="1" t="s">
        <v>5608</v>
      </c>
      <c r="K661" s="1" t="s">
        <v>74</v>
      </c>
      <c r="L661" s="1" t="s">
        <v>74</v>
      </c>
      <c r="M661" s="1" t="s">
        <v>74</v>
      </c>
      <c r="N661" s="1" t="s">
        <v>74</v>
      </c>
      <c r="O661" s="1" t="s">
        <v>74</v>
      </c>
      <c r="P661" s="1" t="s">
        <v>74</v>
      </c>
      <c r="Q661" s="1" t="s">
        <v>74</v>
      </c>
      <c r="R661" s="1" t="s">
        <v>74</v>
      </c>
      <c r="S661" s="1" t="s">
        <v>74</v>
      </c>
      <c r="T661" s="1" t="s">
        <v>74</v>
      </c>
      <c r="U661" s="1" t="s">
        <v>74</v>
      </c>
      <c r="V661" s="1" t="s">
        <v>5609</v>
      </c>
      <c r="W661" s="1" t="s">
        <v>74</v>
      </c>
      <c r="X661" s="1" t="s">
        <v>74</v>
      </c>
      <c r="Y661" s="1" t="s">
        <v>74</v>
      </c>
      <c r="Z661" s="1" t="s">
        <v>74</v>
      </c>
      <c r="AA661" s="1" t="s">
        <v>74</v>
      </c>
      <c r="AB661" s="1" t="s">
        <v>4340</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74</v>
      </c>
      <c r="AP661" s="1" t="s">
        <v>5610</v>
      </c>
      <c r="AQ661" s="1" t="s">
        <v>74</v>
      </c>
      <c r="AR661" s="1" t="s">
        <v>74</v>
      </c>
      <c r="AS661" s="1" t="s">
        <v>74</v>
      </c>
      <c r="AT661" s="1" t="s">
        <v>276</v>
      </c>
      <c r="AU661" s="1">
        <v>2023.0</v>
      </c>
      <c r="AV661" s="1">
        <v>9.0</v>
      </c>
      <c r="AW661" s="1">
        <v>10.0</v>
      </c>
      <c r="AX661" s="1" t="s">
        <v>74</v>
      </c>
      <c r="AY661" s="1" t="s">
        <v>74</v>
      </c>
      <c r="AZ661" s="1" t="s">
        <v>74</v>
      </c>
      <c r="BA661" s="1" t="s">
        <v>74</v>
      </c>
      <c r="BB661" s="1" t="s">
        <v>74</v>
      </c>
      <c r="BC661" s="1" t="s">
        <v>74</v>
      </c>
      <c r="BD661" s="1">
        <v>429.0</v>
      </c>
      <c r="BE661" s="1" t="s">
        <v>5611</v>
      </c>
      <c r="BF661" s="2" t="str">
        <f>HYPERLINK("http://dx.doi.org/10.3390/universe9100429","http://dx.doi.org/10.3390/universe9100429")</f>
        <v>http://dx.doi.org/10.3390/universe9100429</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5612</v>
      </c>
      <c r="BT661" s="1" t="str">
        <f>HYPERLINK("https%3A%2F%2Fwww.webofscience.com%2Fwos%2Fwoscc%2Ffull-record%2FWOS:001119392800001","View Full Record in Web of Science")</f>
        <v>View Full Record in Web of Science</v>
      </c>
    </row>
    <row r="662" ht="12.75" customHeight="1">
      <c r="A662" s="1" t="s">
        <v>72</v>
      </c>
      <c r="B662" s="1" t="s">
        <v>5613</v>
      </c>
      <c r="C662" s="1" t="s">
        <v>74</v>
      </c>
      <c r="D662" s="1" t="s">
        <v>74</v>
      </c>
      <c r="E662" s="1" t="s">
        <v>74</v>
      </c>
      <c r="F662" s="1" t="s">
        <v>5614</v>
      </c>
      <c r="G662" s="1" t="s">
        <v>74</v>
      </c>
      <c r="H662" s="1" t="s">
        <v>74</v>
      </c>
      <c r="I662" s="1" t="s">
        <v>5615</v>
      </c>
      <c r="J662" s="1" t="s">
        <v>5616</v>
      </c>
      <c r="K662" s="1" t="s">
        <v>74</v>
      </c>
      <c r="L662" s="1" t="s">
        <v>74</v>
      </c>
      <c r="M662" s="1" t="s">
        <v>74</v>
      </c>
      <c r="N662" s="1" t="s">
        <v>74</v>
      </c>
      <c r="O662" s="1" t="s">
        <v>74</v>
      </c>
      <c r="P662" s="1" t="s">
        <v>74</v>
      </c>
      <c r="Q662" s="1" t="s">
        <v>74</v>
      </c>
      <c r="R662" s="1" t="s">
        <v>74</v>
      </c>
      <c r="S662" s="1" t="s">
        <v>74</v>
      </c>
      <c r="T662" s="1" t="s">
        <v>74</v>
      </c>
      <c r="U662" s="1" t="s">
        <v>74</v>
      </c>
      <c r="V662" s="1" t="s">
        <v>5617</v>
      </c>
      <c r="W662" s="1" t="s">
        <v>74</v>
      </c>
      <c r="X662" s="1" t="s">
        <v>74</v>
      </c>
      <c r="Y662" s="1" t="s">
        <v>74</v>
      </c>
      <c r="Z662" s="1" t="s">
        <v>74</v>
      </c>
      <c r="AA662" s="1" t="s">
        <v>74</v>
      </c>
      <c r="AB662" s="1" t="s">
        <v>74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5618</v>
      </c>
      <c r="AP662" s="1" t="s">
        <v>74</v>
      </c>
      <c r="AQ662" s="1" t="s">
        <v>74</v>
      </c>
      <c r="AR662" s="1" t="s">
        <v>74</v>
      </c>
      <c r="AS662" s="1" t="s">
        <v>74</v>
      </c>
      <c r="AT662" s="1" t="s">
        <v>148</v>
      </c>
      <c r="AU662" s="1">
        <v>2023.0</v>
      </c>
      <c r="AV662" s="1">
        <v>21.0</v>
      </c>
      <c r="AW662" s="1">
        <v>1.0</v>
      </c>
      <c r="AX662" s="1" t="s">
        <v>74</v>
      </c>
      <c r="AY662" s="1" t="s">
        <v>74</v>
      </c>
      <c r="AZ662" s="1" t="s">
        <v>74</v>
      </c>
      <c r="BA662" s="1" t="s">
        <v>74</v>
      </c>
      <c r="BB662" s="1" t="s">
        <v>74</v>
      </c>
      <c r="BC662" s="1" t="s">
        <v>74</v>
      </c>
      <c r="BD662" s="1">
        <v>52797.0</v>
      </c>
      <c r="BE662" s="1" t="s">
        <v>5619</v>
      </c>
      <c r="BF662" s="2" t="str">
        <f>HYPERLINK("http://dx.doi.org/10.15517/psm.v21i1.52797","http://dx.doi.org/10.15517/psm.v21i1.52797")</f>
        <v>http://dx.doi.org/10.15517/psm.v21i1.52797</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5620</v>
      </c>
      <c r="BT662" s="1" t="str">
        <f>HYPERLINK("https%3A%2F%2Fwww.webofscience.com%2Fwos%2Fwoscc%2Ffull-record%2FWOS:001024594600003","View Full Record in Web of Science")</f>
        <v>View Full Record in Web of Science</v>
      </c>
    </row>
    <row r="663" ht="12.75" customHeight="1">
      <c r="A663" s="1" t="s">
        <v>72</v>
      </c>
      <c r="B663" s="1" t="s">
        <v>5621</v>
      </c>
      <c r="C663" s="1" t="s">
        <v>74</v>
      </c>
      <c r="D663" s="1" t="s">
        <v>74</v>
      </c>
      <c r="E663" s="1" t="s">
        <v>74</v>
      </c>
      <c r="F663" s="1" t="s">
        <v>5622</v>
      </c>
      <c r="G663" s="1" t="s">
        <v>74</v>
      </c>
      <c r="H663" s="1" t="s">
        <v>74</v>
      </c>
      <c r="I663" s="1" t="s">
        <v>5623</v>
      </c>
      <c r="J663" s="1" t="s">
        <v>5624</v>
      </c>
      <c r="K663" s="1" t="s">
        <v>74</v>
      </c>
      <c r="L663" s="1" t="s">
        <v>74</v>
      </c>
      <c r="M663" s="1" t="s">
        <v>74</v>
      </c>
      <c r="N663" s="1" t="s">
        <v>74</v>
      </c>
      <c r="O663" s="1" t="s">
        <v>74</v>
      </c>
      <c r="P663" s="1" t="s">
        <v>74</v>
      </c>
      <c r="Q663" s="1" t="s">
        <v>74</v>
      </c>
      <c r="R663" s="1" t="s">
        <v>74</v>
      </c>
      <c r="S663" s="1" t="s">
        <v>74</v>
      </c>
      <c r="T663" s="1" t="s">
        <v>74</v>
      </c>
      <c r="U663" s="1" t="s">
        <v>74</v>
      </c>
      <c r="V663" s="1" t="s">
        <v>5625</v>
      </c>
      <c r="W663" s="1" t="s">
        <v>74</v>
      </c>
      <c r="X663" s="1" t="s">
        <v>74</v>
      </c>
      <c r="Y663" s="1" t="s">
        <v>74</v>
      </c>
      <c r="Z663" s="1" t="s">
        <v>74</v>
      </c>
      <c r="AA663" s="1" t="s">
        <v>5626</v>
      </c>
      <c r="AB663" s="1" t="s">
        <v>5627</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74</v>
      </c>
      <c r="AP663" s="1" t="s">
        <v>5628</v>
      </c>
      <c r="AQ663" s="1" t="s">
        <v>74</v>
      </c>
      <c r="AR663" s="1" t="s">
        <v>74</v>
      </c>
      <c r="AS663" s="1" t="s">
        <v>74</v>
      </c>
      <c r="AT663" s="1" t="s">
        <v>171</v>
      </c>
      <c r="AU663" s="1">
        <v>2023.0</v>
      </c>
      <c r="AV663" s="1">
        <v>3.0</v>
      </c>
      <c r="AW663" s="1">
        <v>1.0</v>
      </c>
      <c r="AX663" s="1" t="s">
        <v>74</v>
      </c>
      <c r="AY663" s="1" t="s">
        <v>74</v>
      </c>
      <c r="AZ663" s="1" t="s">
        <v>74</v>
      </c>
      <c r="BA663" s="1" t="s">
        <v>74</v>
      </c>
      <c r="BB663" s="1" t="s">
        <v>74</v>
      </c>
      <c r="BC663" s="1" t="s">
        <v>74</v>
      </c>
      <c r="BD663" s="1">
        <v>100055.0</v>
      </c>
      <c r="BE663" s="1" t="s">
        <v>5629</v>
      </c>
      <c r="BF663" s="2" t="str">
        <f>HYPERLINK("http://dx.doi.org/10.1016/j.jil.2023.100055","http://dx.doi.org/10.1016/j.jil.2023.100055")</f>
        <v>http://dx.doi.org/10.1016/j.jil.2023.100055</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5630</v>
      </c>
      <c r="BT663" s="1" t="str">
        <f>HYPERLINK("https%3A%2F%2Fwww.webofscience.com%2Fwos%2Fwoscc%2Ffull-record%2FWOS:001465453600005","View Full Record in Web of Science")</f>
        <v>View Full Record in Web of Science</v>
      </c>
    </row>
    <row r="664" ht="12.75" customHeight="1">
      <c r="A664" s="1" t="s">
        <v>72</v>
      </c>
      <c r="B664" s="1" t="s">
        <v>5631</v>
      </c>
      <c r="C664" s="1" t="s">
        <v>74</v>
      </c>
      <c r="D664" s="1" t="s">
        <v>74</v>
      </c>
      <c r="E664" s="1" t="s">
        <v>74</v>
      </c>
      <c r="F664" s="1" t="s">
        <v>5632</v>
      </c>
      <c r="G664" s="1" t="s">
        <v>74</v>
      </c>
      <c r="H664" s="1" t="s">
        <v>74</v>
      </c>
      <c r="I664" s="1" t="s">
        <v>5633</v>
      </c>
      <c r="J664" s="1" t="s">
        <v>5634</v>
      </c>
      <c r="K664" s="1" t="s">
        <v>74</v>
      </c>
      <c r="L664" s="1" t="s">
        <v>74</v>
      </c>
      <c r="M664" s="1" t="s">
        <v>74</v>
      </c>
      <c r="N664" s="1" t="s">
        <v>74</v>
      </c>
      <c r="O664" s="1" t="s">
        <v>74</v>
      </c>
      <c r="P664" s="1" t="s">
        <v>74</v>
      </c>
      <c r="Q664" s="1" t="s">
        <v>74</v>
      </c>
      <c r="R664" s="1" t="s">
        <v>74</v>
      </c>
      <c r="S664" s="1" t="s">
        <v>74</v>
      </c>
      <c r="T664" s="1" t="s">
        <v>74</v>
      </c>
      <c r="U664" s="1" t="s">
        <v>74</v>
      </c>
      <c r="V664" s="1" t="s">
        <v>5635</v>
      </c>
      <c r="W664" s="1" t="s">
        <v>74</v>
      </c>
      <c r="X664" s="1" t="s">
        <v>74</v>
      </c>
      <c r="Y664" s="1" t="s">
        <v>74</v>
      </c>
      <c r="Z664" s="1" t="s">
        <v>74</v>
      </c>
      <c r="AA664" s="1" t="s">
        <v>74</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5636</v>
      </c>
      <c r="AP664" s="1" t="s">
        <v>5637</v>
      </c>
      <c r="AQ664" s="1" t="s">
        <v>74</v>
      </c>
      <c r="AR664" s="1" t="s">
        <v>74</v>
      </c>
      <c r="AS664" s="1" t="s">
        <v>74</v>
      </c>
      <c r="AT664" s="1" t="s">
        <v>74</v>
      </c>
      <c r="AU664" s="1">
        <v>2023.0</v>
      </c>
      <c r="AV664" s="1">
        <v>23.0</v>
      </c>
      <c r="AW664" s="1">
        <v>2.0</v>
      </c>
      <c r="AX664" s="1" t="s">
        <v>74</v>
      </c>
      <c r="AY664" s="1" t="s">
        <v>74</v>
      </c>
      <c r="AZ664" s="1" t="s">
        <v>74</v>
      </c>
      <c r="BA664" s="1" t="s">
        <v>74</v>
      </c>
      <c r="BB664" s="1">
        <v>165.0</v>
      </c>
      <c r="BC664" s="1">
        <v>185.0</v>
      </c>
      <c r="BD664" s="1" t="s">
        <v>74</v>
      </c>
      <c r="BE664" s="1" t="s">
        <v>5638</v>
      </c>
      <c r="BF664" s="2" t="str">
        <f>HYPERLINK("http://dx.doi.org/10.14195/1645-2259_23-2_7","http://dx.doi.org/10.14195/1645-2259_23-2_7")</f>
        <v>http://dx.doi.org/10.14195/1645-2259_23-2_7</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5639</v>
      </c>
      <c r="BT664" s="1" t="str">
        <f>HYPERLINK("https%3A%2F%2Fwww.webofscience.com%2Fwos%2Fwoscc%2Ffull-record%2FWOS:001161487500001","View Full Record in Web of Science")</f>
        <v>View Full Record in Web of Science</v>
      </c>
    </row>
    <row r="665" ht="12.75" customHeight="1">
      <c r="A665" s="1" t="s">
        <v>72</v>
      </c>
      <c r="B665" s="1" t="s">
        <v>5640</v>
      </c>
      <c r="C665" s="1" t="s">
        <v>74</v>
      </c>
      <c r="D665" s="1" t="s">
        <v>74</v>
      </c>
      <c r="E665" s="1" t="s">
        <v>74</v>
      </c>
      <c r="F665" s="1" t="s">
        <v>5641</v>
      </c>
      <c r="G665" s="1" t="s">
        <v>74</v>
      </c>
      <c r="H665" s="1" t="s">
        <v>74</v>
      </c>
      <c r="I665" s="1" t="s">
        <v>5642</v>
      </c>
      <c r="J665" s="1" t="s">
        <v>5643</v>
      </c>
      <c r="K665" s="1" t="s">
        <v>74</v>
      </c>
      <c r="L665" s="1" t="s">
        <v>74</v>
      </c>
      <c r="M665" s="1" t="s">
        <v>74</v>
      </c>
      <c r="N665" s="1" t="s">
        <v>74</v>
      </c>
      <c r="O665" s="1" t="s">
        <v>74</v>
      </c>
      <c r="P665" s="1" t="s">
        <v>74</v>
      </c>
      <c r="Q665" s="1" t="s">
        <v>74</v>
      </c>
      <c r="R665" s="1" t="s">
        <v>74</v>
      </c>
      <c r="S665" s="1" t="s">
        <v>74</v>
      </c>
      <c r="T665" s="1" t="s">
        <v>74</v>
      </c>
      <c r="U665" s="1" t="s">
        <v>74</v>
      </c>
      <c r="V665" s="1" t="s">
        <v>5644</v>
      </c>
      <c r="W665" s="1" t="s">
        <v>74</v>
      </c>
      <c r="X665" s="1" t="s">
        <v>74</v>
      </c>
      <c r="Y665" s="1" t="s">
        <v>74</v>
      </c>
      <c r="Z665" s="1" t="s">
        <v>74</v>
      </c>
      <c r="AA665" s="1" t="s">
        <v>74</v>
      </c>
      <c r="AB665" s="1" t="s">
        <v>74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5645</v>
      </c>
      <c r="AP665" s="1" t="s">
        <v>5646</v>
      </c>
      <c r="AQ665" s="1" t="s">
        <v>74</v>
      </c>
      <c r="AR665" s="1" t="s">
        <v>74</v>
      </c>
      <c r="AS665" s="1" t="s">
        <v>74</v>
      </c>
      <c r="AT665" s="1" t="s">
        <v>382</v>
      </c>
      <c r="AU665" s="1">
        <v>2023.0</v>
      </c>
      <c r="AV665" s="1">
        <v>64.0</v>
      </c>
      <c r="AW665" s="1">
        <v>1.0</v>
      </c>
      <c r="AX665" s="1" t="s">
        <v>74</v>
      </c>
      <c r="AY665" s="1" t="s">
        <v>74</v>
      </c>
      <c r="AZ665" s="1" t="s">
        <v>74</v>
      </c>
      <c r="BA665" s="1" t="s">
        <v>74</v>
      </c>
      <c r="BB665" s="1">
        <v>85.0</v>
      </c>
      <c r="BC665" s="1">
        <v>95.0</v>
      </c>
      <c r="BD665" s="1" t="s">
        <v>74</v>
      </c>
      <c r="BE665" s="1" t="s">
        <v>74</v>
      </c>
      <c r="BF665" s="1" t="s">
        <v>74</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5647</v>
      </c>
      <c r="BT665" s="1" t="str">
        <f>HYPERLINK("https%3A%2F%2Fwww.webofscience.com%2Fwos%2Fwoscc%2Ffull-record%2FWOS:001043295200006","View Full Record in Web of Science")</f>
        <v>View Full Record in Web of Science</v>
      </c>
    </row>
    <row r="666" ht="12.75" customHeight="1">
      <c r="A666" s="1" t="s">
        <v>72</v>
      </c>
      <c r="B666" s="1" t="s">
        <v>5648</v>
      </c>
      <c r="C666" s="1" t="s">
        <v>74</v>
      </c>
      <c r="D666" s="1" t="s">
        <v>74</v>
      </c>
      <c r="E666" s="1" t="s">
        <v>74</v>
      </c>
      <c r="F666" s="1" t="s">
        <v>5649</v>
      </c>
      <c r="G666" s="1" t="s">
        <v>74</v>
      </c>
      <c r="H666" s="1" t="s">
        <v>74</v>
      </c>
      <c r="I666" s="1" t="s">
        <v>5650</v>
      </c>
      <c r="J666" s="1" t="s">
        <v>5651</v>
      </c>
      <c r="K666" s="1" t="s">
        <v>74</v>
      </c>
      <c r="L666" s="1" t="s">
        <v>74</v>
      </c>
      <c r="M666" s="1" t="s">
        <v>74</v>
      </c>
      <c r="N666" s="1" t="s">
        <v>74</v>
      </c>
      <c r="O666" s="1" t="s">
        <v>74</v>
      </c>
      <c r="P666" s="1" t="s">
        <v>74</v>
      </c>
      <c r="Q666" s="1" t="s">
        <v>74</v>
      </c>
      <c r="R666" s="1" t="s">
        <v>74</v>
      </c>
      <c r="S666" s="1" t="s">
        <v>74</v>
      </c>
      <c r="T666" s="1" t="s">
        <v>74</v>
      </c>
      <c r="U666" s="1" t="s">
        <v>74</v>
      </c>
      <c r="V666" s="1" t="s">
        <v>5652</v>
      </c>
      <c r="W666" s="1" t="s">
        <v>74</v>
      </c>
      <c r="X666" s="1" t="s">
        <v>74</v>
      </c>
      <c r="Y666" s="1" t="s">
        <v>74</v>
      </c>
      <c r="Z666" s="1" t="s">
        <v>74</v>
      </c>
      <c r="AA666" s="1" t="s">
        <v>74</v>
      </c>
      <c r="AB666" s="1" t="s">
        <v>74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5653</v>
      </c>
      <c r="AP666" s="1" t="s">
        <v>5654</v>
      </c>
      <c r="AQ666" s="1" t="s">
        <v>74</v>
      </c>
      <c r="AR666" s="1" t="s">
        <v>74</v>
      </c>
      <c r="AS666" s="1" t="s">
        <v>74</v>
      </c>
      <c r="AT666" s="1" t="s">
        <v>203</v>
      </c>
      <c r="AU666" s="1">
        <v>2023.0</v>
      </c>
      <c r="AV666" s="1">
        <v>23.0</v>
      </c>
      <c r="AW666" s="1">
        <v>1.0</v>
      </c>
      <c r="AX666" s="1" t="s">
        <v>74</v>
      </c>
      <c r="AY666" s="1" t="s">
        <v>74</v>
      </c>
      <c r="AZ666" s="1" t="s">
        <v>74</v>
      </c>
      <c r="BA666" s="1" t="s">
        <v>74</v>
      </c>
      <c r="BB666" s="1">
        <v>87.0</v>
      </c>
      <c r="BC666" s="1">
        <v>102.0</v>
      </c>
      <c r="BD666" s="1" t="s">
        <v>74</v>
      </c>
      <c r="BE666" s="1" t="s">
        <v>5655</v>
      </c>
      <c r="BF666" s="2" t="str">
        <f>HYPERLINK("http://dx.doi.org/10.5335/hdtv.23n.1.13921","http://dx.doi.org/10.5335/hdtv.23n.1.13921")</f>
        <v>http://dx.doi.org/10.5335/hdtv.23n.1.13921</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5656</v>
      </c>
      <c r="BT666" s="1" t="str">
        <f>HYPERLINK("https%3A%2F%2Fwww.webofscience.com%2Fwos%2Fwoscc%2Ffull-record%2FWOS:001152737300006","View Full Record in Web of Science")</f>
        <v>View Full Record in Web of Science</v>
      </c>
    </row>
    <row r="667" ht="12.75" customHeight="1">
      <c r="A667" s="1" t="s">
        <v>72</v>
      </c>
      <c r="B667" s="1" t="s">
        <v>5657</v>
      </c>
      <c r="C667" s="1" t="s">
        <v>74</v>
      </c>
      <c r="D667" s="1" t="s">
        <v>74</v>
      </c>
      <c r="E667" s="1" t="s">
        <v>74</v>
      </c>
      <c r="F667" s="1" t="s">
        <v>5658</v>
      </c>
      <c r="G667" s="1" t="s">
        <v>74</v>
      </c>
      <c r="H667" s="1" t="s">
        <v>74</v>
      </c>
      <c r="I667" s="1" t="s">
        <v>5659</v>
      </c>
      <c r="J667" s="1" t="s">
        <v>1296</v>
      </c>
      <c r="K667" s="1" t="s">
        <v>74</v>
      </c>
      <c r="L667" s="1" t="s">
        <v>74</v>
      </c>
      <c r="M667" s="1" t="s">
        <v>74</v>
      </c>
      <c r="N667" s="1" t="s">
        <v>74</v>
      </c>
      <c r="O667" s="1" t="s">
        <v>74</v>
      </c>
      <c r="P667" s="1" t="s">
        <v>74</v>
      </c>
      <c r="Q667" s="1" t="s">
        <v>74</v>
      </c>
      <c r="R667" s="1" t="s">
        <v>74</v>
      </c>
      <c r="S667" s="1" t="s">
        <v>74</v>
      </c>
      <c r="T667" s="1" t="s">
        <v>74</v>
      </c>
      <c r="U667" s="1" t="s">
        <v>74</v>
      </c>
      <c r="V667" s="1" t="s">
        <v>5660</v>
      </c>
      <c r="W667" s="1" t="s">
        <v>74</v>
      </c>
      <c r="X667" s="1" t="s">
        <v>74</v>
      </c>
      <c r="Y667" s="1" t="s">
        <v>74</v>
      </c>
      <c r="Z667" s="1" t="s">
        <v>74</v>
      </c>
      <c r="AA667" s="1" t="s">
        <v>74</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4002</v>
      </c>
      <c r="AP667" s="1" t="s">
        <v>1297</v>
      </c>
      <c r="AQ667" s="1" t="s">
        <v>74</v>
      </c>
      <c r="AR667" s="1" t="s">
        <v>74</v>
      </c>
      <c r="AS667" s="1" t="s">
        <v>74</v>
      </c>
      <c r="AT667" s="1" t="s">
        <v>82</v>
      </c>
      <c r="AU667" s="1">
        <v>2022.0</v>
      </c>
      <c r="AV667" s="1" t="s">
        <v>74</v>
      </c>
      <c r="AW667" s="1">
        <v>55.0</v>
      </c>
      <c r="AX667" s="1" t="s">
        <v>74</v>
      </c>
      <c r="AY667" s="1" t="s">
        <v>74</v>
      </c>
      <c r="AZ667" s="1" t="s">
        <v>74</v>
      </c>
      <c r="BA667" s="1" t="s">
        <v>74</v>
      </c>
      <c r="BB667" s="1">
        <v>31.0</v>
      </c>
      <c r="BC667" s="1">
        <v>51.0</v>
      </c>
      <c r="BD667" s="1" t="s">
        <v>74</v>
      </c>
      <c r="BE667" s="1" t="s">
        <v>5661</v>
      </c>
      <c r="BF667" s="2" t="str">
        <f>HYPERLINK("http://dx.doi.org/10.32735/S0718-22012022000551091","http://dx.doi.org/10.32735/S0718-22012022000551091")</f>
        <v>http://dx.doi.org/10.32735/S0718-22012022000551091</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5662</v>
      </c>
      <c r="BT667" s="1" t="str">
        <f>HYPERLINK("https%3A%2F%2Fwww.webofscience.com%2Fwos%2Fwoscc%2Ffull-record%2FWOS:000960013600003","View Full Record in Web of Science")</f>
        <v>View Full Record in Web of Science</v>
      </c>
    </row>
    <row r="668" ht="12.75" customHeight="1">
      <c r="A668" s="1" t="s">
        <v>72</v>
      </c>
      <c r="B668" s="1" t="s">
        <v>5663</v>
      </c>
      <c r="C668" s="1" t="s">
        <v>74</v>
      </c>
      <c r="D668" s="1" t="s">
        <v>74</v>
      </c>
      <c r="E668" s="1" t="s">
        <v>74</v>
      </c>
      <c r="F668" s="1" t="s">
        <v>5664</v>
      </c>
      <c r="G668" s="1" t="s">
        <v>74</v>
      </c>
      <c r="H668" s="1" t="s">
        <v>74</v>
      </c>
      <c r="I668" s="1" t="s">
        <v>5665</v>
      </c>
      <c r="J668" s="1" t="s">
        <v>5666</v>
      </c>
      <c r="K668" s="1" t="s">
        <v>74</v>
      </c>
      <c r="L668" s="1" t="s">
        <v>74</v>
      </c>
      <c r="M668" s="1" t="s">
        <v>74</v>
      </c>
      <c r="N668" s="1" t="s">
        <v>74</v>
      </c>
      <c r="O668" s="1" t="s">
        <v>74</v>
      </c>
      <c r="P668" s="1" t="s">
        <v>74</v>
      </c>
      <c r="Q668" s="1" t="s">
        <v>74</v>
      </c>
      <c r="R668" s="1" t="s">
        <v>74</v>
      </c>
      <c r="S668" s="1" t="s">
        <v>74</v>
      </c>
      <c r="T668" s="1" t="s">
        <v>74</v>
      </c>
      <c r="U668" s="1" t="s">
        <v>74</v>
      </c>
      <c r="V668" s="1" t="s">
        <v>5667</v>
      </c>
      <c r="W668" s="1" t="s">
        <v>74</v>
      </c>
      <c r="X668" s="1" t="s">
        <v>74</v>
      </c>
      <c r="Y668" s="1" t="s">
        <v>74</v>
      </c>
      <c r="Z668" s="1" t="s">
        <v>74</v>
      </c>
      <c r="AA668" s="1" t="s">
        <v>5668</v>
      </c>
      <c r="AB668" s="1" t="s">
        <v>5669</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5670</v>
      </c>
      <c r="AP668" s="1" t="s">
        <v>5671</v>
      </c>
      <c r="AQ668" s="1" t="s">
        <v>74</v>
      </c>
      <c r="AR668" s="1" t="s">
        <v>74</v>
      </c>
      <c r="AS668" s="1" t="s">
        <v>74</v>
      </c>
      <c r="AT668" s="1" t="s">
        <v>256</v>
      </c>
      <c r="AU668" s="1">
        <v>2023.0</v>
      </c>
      <c r="AV668" s="1">
        <v>60.0</v>
      </c>
      <c r="AW668" s="1">
        <v>1.0</v>
      </c>
      <c r="AX668" s="1" t="s">
        <v>74</v>
      </c>
      <c r="AY668" s="1" t="s">
        <v>74</v>
      </c>
      <c r="AZ668" s="1" t="s">
        <v>74</v>
      </c>
      <c r="BA668" s="1" t="s">
        <v>74</v>
      </c>
      <c r="BB668" s="1">
        <v>341.0</v>
      </c>
      <c r="BC668" s="1">
        <v>357.0</v>
      </c>
      <c r="BD668" s="1" t="s">
        <v>5672</v>
      </c>
      <c r="BE668" s="1" t="s">
        <v>5673</v>
      </c>
      <c r="BF668" s="2" t="str">
        <f>HYPERLINK("http://dx.doi.org/10.1017/jpr.2022.47","http://dx.doi.org/10.1017/jpr.2022.47")</f>
        <v>http://dx.doi.org/10.1017/jpr.2022.47</v>
      </c>
      <c r="BG668" s="1" t="s">
        <v>74</v>
      </c>
      <c r="BH668" s="1" t="s">
        <v>2669</v>
      </c>
      <c r="BI668" s="1" t="s">
        <v>74</v>
      </c>
      <c r="BJ668" s="1" t="s">
        <v>74</v>
      </c>
      <c r="BK668" s="1" t="s">
        <v>74</v>
      </c>
      <c r="BL668" s="1" t="s">
        <v>74</v>
      </c>
      <c r="BM668" s="1" t="s">
        <v>74</v>
      </c>
      <c r="BN668" s="1" t="s">
        <v>74</v>
      </c>
      <c r="BO668" s="1" t="s">
        <v>74</v>
      </c>
      <c r="BP668" s="1" t="s">
        <v>74</v>
      </c>
      <c r="BQ668" s="1" t="s">
        <v>74</v>
      </c>
      <c r="BR668" s="1" t="s">
        <v>74</v>
      </c>
      <c r="BS668" s="1" t="s">
        <v>5674</v>
      </c>
      <c r="BT668" s="1" t="str">
        <f>HYPERLINK("https%3A%2F%2Fwww.webofscience.com%2Fwos%2Fwoscc%2Ffull-record%2FWOS:000865612700001","View Full Record in Web of Science")</f>
        <v>View Full Record in Web of Science</v>
      </c>
    </row>
    <row r="669" ht="12.75" customHeight="1">
      <c r="A669" s="1" t="s">
        <v>72</v>
      </c>
      <c r="B669" s="1" t="s">
        <v>5675</v>
      </c>
      <c r="C669" s="1" t="s">
        <v>74</v>
      </c>
      <c r="D669" s="1" t="s">
        <v>74</v>
      </c>
      <c r="E669" s="1" t="s">
        <v>74</v>
      </c>
      <c r="F669" s="1" t="s">
        <v>5676</v>
      </c>
      <c r="G669" s="1" t="s">
        <v>74</v>
      </c>
      <c r="H669" s="1" t="s">
        <v>74</v>
      </c>
      <c r="I669" s="1" t="s">
        <v>5677</v>
      </c>
      <c r="J669" s="1" t="s">
        <v>3482</v>
      </c>
      <c r="K669" s="1" t="s">
        <v>74</v>
      </c>
      <c r="L669" s="1" t="s">
        <v>74</v>
      </c>
      <c r="M669" s="1" t="s">
        <v>74</v>
      </c>
      <c r="N669" s="1" t="s">
        <v>74</v>
      </c>
      <c r="O669" s="1" t="s">
        <v>74</v>
      </c>
      <c r="P669" s="1" t="s">
        <v>74</v>
      </c>
      <c r="Q669" s="1" t="s">
        <v>74</v>
      </c>
      <c r="R669" s="1" t="s">
        <v>74</v>
      </c>
      <c r="S669" s="1" t="s">
        <v>74</v>
      </c>
      <c r="T669" s="1" t="s">
        <v>74</v>
      </c>
      <c r="U669" s="1" t="s">
        <v>74</v>
      </c>
      <c r="V669" s="1" t="s">
        <v>5678</v>
      </c>
      <c r="W669" s="1" t="s">
        <v>74</v>
      </c>
      <c r="X669" s="1" t="s">
        <v>74</v>
      </c>
      <c r="Y669" s="1" t="s">
        <v>74</v>
      </c>
      <c r="Z669" s="1" t="s">
        <v>74</v>
      </c>
      <c r="AA669" s="1" t="s">
        <v>74</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3484</v>
      </c>
      <c r="AP669" s="1" t="s">
        <v>3485</v>
      </c>
      <c r="AQ669" s="1" t="s">
        <v>74</v>
      </c>
      <c r="AR669" s="1" t="s">
        <v>74</v>
      </c>
      <c r="AS669" s="1" t="s">
        <v>74</v>
      </c>
      <c r="AT669" s="1" t="s">
        <v>148</v>
      </c>
      <c r="AU669" s="1">
        <v>2022.0</v>
      </c>
      <c r="AV669" s="1">
        <v>12.0</v>
      </c>
      <c r="AW669" s="1">
        <v>2.0</v>
      </c>
      <c r="AX669" s="1" t="s">
        <v>74</v>
      </c>
      <c r="AY669" s="1" t="s">
        <v>74</v>
      </c>
      <c r="AZ669" s="1" t="s">
        <v>74</v>
      </c>
      <c r="BA669" s="1" t="s">
        <v>74</v>
      </c>
      <c r="BB669" s="1">
        <v>1.0</v>
      </c>
      <c r="BC669" s="1">
        <v>30.0</v>
      </c>
      <c r="BD669" s="1" t="s">
        <v>74</v>
      </c>
      <c r="BE669" s="1" t="s">
        <v>74</v>
      </c>
      <c r="BF669" s="1" t="s">
        <v>74</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5679</v>
      </c>
      <c r="BT669" s="1" t="str">
        <f>HYPERLINK("https%3A%2F%2Fwww.webofscience.com%2Fwos%2Fwoscc%2Ffull-record%2FWOS:000937012300001","View Full Record in Web of Science")</f>
        <v>View Full Record in Web of Science</v>
      </c>
    </row>
    <row r="670" ht="12.75" customHeight="1">
      <c r="A670" s="1" t="s">
        <v>72</v>
      </c>
      <c r="B670" s="1" t="s">
        <v>5680</v>
      </c>
      <c r="C670" s="1" t="s">
        <v>74</v>
      </c>
      <c r="D670" s="1" t="s">
        <v>74</v>
      </c>
      <c r="E670" s="1" t="s">
        <v>74</v>
      </c>
      <c r="F670" s="1" t="s">
        <v>5681</v>
      </c>
      <c r="G670" s="1" t="s">
        <v>74</v>
      </c>
      <c r="H670" s="1" t="s">
        <v>74</v>
      </c>
      <c r="I670" s="1" t="s">
        <v>5682</v>
      </c>
      <c r="J670" s="1" t="s">
        <v>5683</v>
      </c>
      <c r="K670" s="1" t="s">
        <v>74</v>
      </c>
      <c r="L670" s="1" t="s">
        <v>74</v>
      </c>
      <c r="M670" s="1" t="s">
        <v>74</v>
      </c>
      <c r="N670" s="1" t="s">
        <v>74</v>
      </c>
      <c r="O670" s="1" t="s">
        <v>74</v>
      </c>
      <c r="P670" s="1" t="s">
        <v>74</v>
      </c>
      <c r="Q670" s="1" t="s">
        <v>74</v>
      </c>
      <c r="R670" s="1" t="s">
        <v>74</v>
      </c>
      <c r="S670" s="1" t="s">
        <v>74</v>
      </c>
      <c r="T670" s="1" t="s">
        <v>74</v>
      </c>
      <c r="U670" s="1" t="s">
        <v>74</v>
      </c>
      <c r="V670" s="1" t="s">
        <v>5684</v>
      </c>
      <c r="W670" s="1" t="s">
        <v>74</v>
      </c>
      <c r="X670" s="1" t="s">
        <v>74</v>
      </c>
      <c r="Y670" s="1" t="s">
        <v>74</v>
      </c>
      <c r="Z670" s="1" t="s">
        <v>74</v>
      </c>
      <c r="AA670" s="1" t="s">
        <v>5685</v>
      </c>
      <c r="AB670" s="1" t="s">
        <v>5686</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5687</v>
      </c>
      <c r="AP670" s="1" t="s">
        <v>5688</v>
      </c>
      <c r="AQ670" s="1" t="s">
        <v>74</v>
      </c>
      <c r="AR670" s="1" t="s">
        <v>74</v>
      </c>
      <c r="AS670" s="1" t="s">
        <v>74</v>
      </c>
      <c r="AT670" s="1" t="s">
        <v>193</v>
      </c>
      <c r="AU670" s="1">
        <v>2022.0</v>
      </c>
      <c r="AV670" s="1">
        <v>48.0</v>
      </c>
      <c r="AW670" s="1" t="s">
        <v>74</v>
      </c>
      <c r="AX670" s="1" t="s">
        <v>74</v>
      </c>
      <c r="AY670" s="1" t="s">
        <v>74</v>
      </c>
      <c r="AZ670" s="1" t="s">
        <v>74</v>
      </c>
      <c r="BA670" s="1" t="s">
        <v>74</v>
      </c>
      <c r="BB670" s="1" t="s">
        <v>74</v>
      </c>
      <c r="BC670" s="1" t="s">
        <v>74</v>
      </c>
      <c r="BD670" s="1">
        <v>103881.0</v>
      </c>
      <c r="BE670" s="1" t="s">
        <v>5689</v>
      </c>
      <c r="BF670" s="2" t="str">
        <f>HYPERLINK("http://dx.doi.org/10.1016/j.est.2021.103881","http://dx.doi.org/10.1016/j.est.2021.103881")</f>
        <v>http://dx.doi.org/10.1016/j.est.2021.103881</v>
      </c>
      <c r="BG670" s="1" t="s">
        <v>74</v>
      </c>
      <c r="BH670" s="1" t="s">
        <v>5690</v>
      </c>
      <c r="BI670" s="1" t="s">
        <v>74</v>
      </c>
      <c r="BJ670" s="1" t="s">
        <v>74</v>
      </c>
      <c r="BK670" s="1" t="s">
        <v>74</v>
      </c>
      <c r="BL670" s="1" t="s">
        <v>74</v>
      </c>
      <c r="BM670" s="1" t="s">
        <v>74</v>
      </c>
      <c r="BN670" s="1" t="s">
        <v>74</v>
      </c>
      <c r="BO670" s="1" t="s">
        <v>74</v>
      </c>
      <c r="BP670" s="1" t="s">
        <v>74</v>
      </c>
      <c r="BQ670" s="1" t="s">
        <v>74</v>
      </c>
      <c r="BR670" s="1" t="s">
        <v>74</v>
      </c>
      <c r="BS670" s="1" t="s">
        <v>5691</v>
      </c>
      <c r="BT670" s="1" t="str">
        <f>HYPERLINK("https%3A%2F%2Fwww.webofscience.com%2Fwos%2Fwoscc%2Ffull-record%2FWOS:000780388500005","View Full Record in Web of Science")</f>
        <v>View Full Record in Web of Science</v>
      </c>
    </row>
    <row r="671" ht="12.75" customHeight="1">
      <c r="A671" s="1" t="s">
        <v>126</v>
      </c>
      <c r="B671" s="1" t="s">
        <v>5692</v>
      </c>
      <c r="C671" s="1" t="s">
        <v>74</v>
      </c>
      <c r="D671" s="1" t="s">
        <v>5693</v>
      </c>
      <c r="E671" s="1" t="s">
        <v>74</v>
      </c>
      <c r="F671" s="1" t="s">
        <v>5694</v>
      </c>
      <c r="G671" s="1" t="s">
        <v>74</v>
      </c>
      <c r="H671" s="1" t="s">
        <v>74</v>
      </c>
      <c r="I671" s="1" t="s">
        <v>5695</v>
      </c>
      <c r="J671" s="1" t="s">
        <v>5696</v>
      </c>
      <c r="K671" s="1" t="s">
        <v>74</v>
      </c>
      <c r="L671" s="1" t="s">
        <v>74</v>
      </c>
      <c r="M671" s="1" t="s">
        <v>74</v>
      </c>
      <c r="N671" s="1" t="s">
        <v>74</v>
      </c>
      <c r="O671" s="1" t="s">
        <v>5697</v>
      </c>
      <c r="P671" s="1" t="s">
        <v>5698</v>
      </c>
      <c r="Q671" s="1" t="s">
        <v>5699</v>
      </c>
      <c r="R671" s="1" t="s">
        <v>5700</v>
      </c>
      <c r="S671" s="1" t="s">
        <v>74</v>
      </c>
      <c r="T671" s="1" t="s">
        <v>74</v>
      </c>
      <c r="U671" s="1" t="s">
        <v>74</v>
      </c>
      <c r="V671" s="1" t="s">
        <v>5701</v>
      </c>
      <c r="W671" s="1" t="s">
        <v>74</v>
      </c>
      <c r="X671" s="1" t="s">
        <v>74</v>
      </c>
      <c r="Y671" s="1" t="s">
        <v>74</v>
      </c>
      <c r="Z671" s="1" t="s">
        <v>74</v>
      </c>
      <c r="AA671" s="1" t="s">
        <v>5702</v>
      </c>
      <c r="AB671" s="1" t="s">
        <v>74</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74</v>
      </c>
      <c r="AP671" s="1" t="s">
        <v>74</v>
      </c>
      <c r="AQ671" s="1" t="s">
        <v>5703</v>
      </c>
      <c r="AR671" s="1" t="s">
        <v>74</v>
      </c>
      <c r="AS671" s="1" t="s">
        <v>74</v>
      </c>
      <c r="AT671" s="1" t="s">
        <v>74</v>
      </c>
      <c r="AU671" s="1">
        <v>2022.0</v>
      </c>
      <c r="AV671" s="1" t="s">
        <v>74</v>
      </c>
      <c r="AW671" s="1" t="s">
        <v>74</v>
      </c>
      <c r="AX671" s="1" t="s">
        <v>74</v>
      </c>
      <c r="AY671" s="1" t="s">
        <v>74</v>
      </c>
      <c r="AZ671" s="1" t="s">
        <v>74</v>
      </c>
      <c r="BA671" s="1" t="s">
        <v>74</v>
      </c>
      <c r="BB671" s="1" t="s">
        <v>74</v>
      </c>
      <c r="BC671" s="1" t="s">
        <v>74</v>
      </c>
      <c r="BD671" s="1" t="s">
        <v>74</v>
      </c>
      <c r="BE671" s="1" t="s">
        <v>5704</v>
      </c>
      <c r="BF671" s="2" t="str">
        <f>HYPERLINK("http://dx.doi.org/10.1109/SGSMA51733.2022.9806015","http://dx.doi.org/10.1109/SGSMA51733.2022.9806015")</f>
        <v>http://dx.doi.org/10.1109/SGSMA51733.2022.9806015</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5705</v>
      </c>
      <c r="BT671" s="1" t="str">
        <f>HYPERLINK("https%3A%2F%2Fwww.webofscience.com%2Fwos%2Fwoscc%2Ffull-record%2FWOS:000865648500031","View Full Record in Web of Science")</f>
        <v>View Full Record in Web of Science</v>
      </c>
    </row>
    <row r="672" ht="12.75" customHeight="1">
      <c r="A672" s="1" t="s">
        <v>72</v>
      </c>
      <c r="B672" s="1" t="s">
        <v>5706</v>
      </c>
      <c r="C672" s="1" t="s">
        <v>74</v>
      </c>
      <c r="D672" s="1" t="s">
        <v>74</v>
      </c>
      <c r="E672" s="1" t="s">
        <v>74</v>
      </c>
      <c r="F672" s="1" t="s">
        <v>5707</v>
      </c>
      <c r="G672" s="1" t="s">
        <v>74</v>
      </c>
      <c r="H672" s="1" t="s">
        <v>74</v>
      </c>
      <c r="I672" s="1" t="s">
        <v>5708</v>
      </c>
      <c r="J672" s="1" t="s">
        <v>5709</v>
      </c>
      <c r="K672" s="1" t="s">
        <v>74</v>
      </c>
      <c r="L672" s="1" t="s">
        <v>74</v>
      </c>
      <c r="M672" s="1" t="s">
        <v>74</v>
      </c>
      <c r="N672" s="1" t="s">
        <v>74</v>
      </c>
      <c r="O672" s="1" t="s">
        <v>74</v>
      </c>
      <c r="P672" s="1" t="s">
        <v>74</v>
      </c>
      <c r="Q672" s="1" t="s">
        <v>74</v>
      </c>
      <c r="R672" s="1" t="s">
        <v>74</v>
      </c>
      <c r="S672" s="1" t="s">
        <v>74</v>
      </c>
      <c r="T672" s="1" t="s">
        <v>74</v>
      </c>
      <c r="U672" s="1" t="s">
        <v>74</v>
      </c>
      <c r="V672" s="1" t="s">
        <v>5710</v>
      </c>
      <c r="W672" s="1" t="s">
        <v>74</v>
      </c>
      <c r="X672" s="1" t="s">
        <v>74</v>
      </c>
      <c r="Y672" s="1" t="s">
        <v>74</v>
      </c>
      <c r="Z672" s="1" t="s">
        <v>74</v>
      </c>
      <c r="AA672" s="1" t="s">
        <v>74</v>
      </c>
      <c r="AB672" s="1" t="s">
        <v>74</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5711</v>
      </c>
      <c r="AP672" s="1" t="s">
        <v>74</v>
      </c>
      <c r="AQ672" s="1" t="s">
        <v>74</v>
      </c>
      <c r="AR672" s="1" t="s">
        <v>74</v>
      </c>
      <c r="AS672" s="1" t="s">
        <v>74</v>
      </c>
      <c r="AT672" s="1" t="s">
        <v>1113</v>
      </c>
      <c r="AU672" s="1">
        <v>2022.0</v>
      </c>
      <c r="AV672" s="1">
        <v>15.0</v>
      </c>
      <c r="AW672" s="1">
        <v>1.0</v>
      </c>
      <c r="AX672" s="1" t="s">
        <v>74</v>
      </c>
      <c r="AY672" s="1" t="s">
        <v>74</v>
      </c>
      <c r="AZ672" s="1" t="s">
        <v>74</v>
      </c>
      <c r="BA672" s="1" t="s">
        <v>74</v>
      </c>
      <c r="BB672" s="1" t="s">
        <v>74</v>
      </c>
      <c r="BC672" s="1" t="s">
        <v>74</v>
      </c>
      <c r="BD672" s="1" t="s">
        <v>74</v>
      </c>
      <c r="BE672" s="1" t="s">
        <v>5712</v>
      </c>
      <c r="BF672" s="2" t="str">
        <f>HYPERLINK("http://dx.doi.org/10.30827/revpaz.15.18138","http://dx.doi.org/10.30827/revpaz.15.18138")</f>
        <v>http://dx.doi.org/10.30827/revpaz.15.18138</v>
      </c>
      <c r="BG672" s="1" t="s">
        <v>74</v>
      </c>
      <c r="BH672" s="1" t="s">
        <v>74</v>
      </c>
      <c r="BI672" s="1" t="s">
        <v>74</v>
      </c>
      <c r="BJ672" s="1" t="s">
        <v>74</v>
      </c>
      <c r="BK672" s="1" t="s">
        <v>74</v>
      </c>
      <c r="BL672" s="1" t="s">
        <v>74</v>
      </c>
      <c r="BM672" s="1" t="s">
        <v>74</v>
      </c>
      <c r="BN672" s="1" t="s">
        <v>74</v>
      </c>
      <c r="BO672" s="1" t="s">
        <v>74</v>
      </c>
      <c r="BP672" s="1" t="s">
        <v>74</v>
      </c>
      <c r="BQ672" s="1" t="s">
        <v>74</v>
      </c>
      <c r="BR672" s="1" t="s">
        <v>74</v>
      </c>
      <c r="BS672" s="1" t="s">
        <v>5713</v>
      </c>
      <c r="BT672" s="1" t="str">
        <f>HYPERLINK("https%3A%2F%2Fwww.webofscience.com%2Fwos%2Fwoscc%2Ffull-record%2FWOS:001279176000001","View Full Record in Web of Science")</f>
        <v>View Full Record in Web of Science</v>
      </c>
    </row>
    <row r="673" ht="12.75" customHeight="1">
      <c r="A673" s="1" t="s">
        <v>72</v>
      </c>
      <c r="B673" s="1" t="s">
        <v>5714</v>
      </c>
      <c r="C673" s="1" t="s">
        <v>74</v>
      </c>
      <c r="D673" s="1" t="s">
        <v>74</v>
      </c>
      <c r="E673" s="1" t="s">
        <v>74</v>
      </c>
      <c r="F673" s="1" t="s">
        <v>5715</v>
      </c>
      <c r="G673" s="1" t="s">
        <v>74</v>
      </c>
      <c r="H673" s="1" t="s">
        <v>74</v>
      </c>
      <c r="I673" s="1" t="s">
        <v>5716</v>
      </c>
      <c r="J673" s="1" t="s">
        <v>5717</v>
      </c>
      <c r="K673" s="1" t="s">
        <v>74</v>
      </c>
      <c r="L673" s="1" t="s">
        <v>74</v>
      </c>
      <c r="M673" s="1" t="s">
        <v>74</v>
      </c>
      <c r="N673" s="1" t="s">
        <v>74</v>
      </c>
      <c r="O673" s="1" t="s">
        <v>74</v>
      </c>
      <c r="P673" s="1" t="s">
        <v>74</v>
      </c>
      <c r="Q673" s="1" t="s">
        <v>74</v>
      </c>
      <c r="R673" s="1" t="s">
        <v>74</v>
      </c>
      <c r="S673" s="1" t="s">
        <v>74</v>
      </c>
      <c r="T673" s="1" t="s">
        <v>74</v>
      </c>
      <c r="U673" s="1" t="s">
        <v>74</v>
      </c>
      <c r="V673" s="1" t="s">
        <v>5718</v>
      </c>
      <c r="W673" s="1" t="s">
        <v>74</v>
      </c>
      <c r="X673" s="1" t="s">
        <v>74</v>
      </c>
      <c r="Y673" s="1" t="s">
        <v>74</v>
      </c>
      <c r="Z673" s="1" t="s">
        <v>74</v>
      </c>
      <c r="AA673" s="1" t="s">
        <v>5719</v>
      </c>
      <c r="AB673" s="1" t="s">
        <v>5720</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5721</v>
      </c>
      <c r="AP673" s="1" t="s">
        <v>5722</v>
      </c>
      <c r="AQ673" s="1" t="s">
        <v>74</v>
      </c>
      <c r="AR673" s="1" t="s">
        <v>74</v>
      </c>
      <c r="AS673" s="1" t="s">
        <v>74</v>
      </c>
      <c r="AT673" s="1" t="s">
        <v>2249</v>
      </c>
      <c r="AU673" s="1">
        <v>2021.0</v>
      </c>
      <c r="AV673" s="1">
        <v>174.0</v>
      </c>
      <c r="AW673" s="1" t="s">
        <v>74</v>
      </c>
      <c r="AX673" s="1" t="s">
        <v>74</v>
      </c>
      <c r="AY673" s="1" t="s">
        <v>74</v>
      </c>
      <c r="AZ673" s="1" t="s">
        <v>74</v>
      </c>
      <c r="BA673" s="1" t="s">
        <v>74</v>
      </c>
      <c r="BB673" s="1" t="s">
        <v>74</v>
      </c>
      <c r="BC673" s="1" t="s">
        <v>74</v>
      </c>
      <c r="BD673" s="1">
        <v>114219.0</v>
      </c>
      <c r="BE673" s="1" t="s">
        <v>5723</v>
      </c>
      <c r="BF673" s="2" t="str">
        <f>HYPERLINK("http://dx.doi.org/10.1016/j.indcrop.2021.114219","http://dx.doi.org/10.1016/j.indcrop.2021.114219")</f>
        <v>http://dx.doi.org/10.1016/j.indcrop.2021.114219</v>
      </c>
      <c r="BG673" s="1" t="s">
        <v>74</v>
      </c>
      <c r="BH673" s="1" t="s">
        <v>5724</v>
      </c>
      <c r="BI673" s="1" t="s">
        <v>74</v>
      </c>
      <c r="BJ673" s="1" t="s">
        <v>74</v>
      </c>
      <c r="BK673" s="1" t="s">
        <v>74</v>
      </c>
      <c r="BL673" s="1" t="s">
        <v>74</v>
      </c>
      <c r="BM673" s="1" t="s">
        <v>74</v>
      </c>
      <c r="BN673" s="1" t="s">
        <v>74</v>
      </c>
      <c r="BO673" s="1" t="s">
        <v>74</v>
      </c>
      <c r="BP673" s="1" t="s">
        <v>74</v>
      </c>
      <c r="BQ673" s="1" t="s">
        <v>74</v>
      </c>
      <c r="BR673" s="1" t="s">
        <v>74</v>
      </c>
      <c r="BS673" s="1" t="s">
        <v>5725</v>
      </c>
      <c r="BT673" s="1" t="str">
        <f>HYPERLINK("https%3A%2F%2Fwww.webofscience.com%2Fwos%2Fwoscc%2Ffull-record%2FWOS:000717966800006","View Full Record in Web of Science")</f>
        <v>View Full Record in Web of Science</v>
      </c>
    </row>
    <row r="674" ht="12.75" customHeight="1">
      <c r="A674" s="1" t="s">
        <v>72</v>
      </c>
      <c r="B674" s="1" t="s">
        <v>5714</v>
      </c>
      <c r="C674" s="1" t="s">
        <v>74</v>
      </c>
      <c r="D674" s="1" t="s">
        <v>74</v>
      </c>
      <c r="E674" s="1" t="s">
        <v>74</v>
      </c>
      <c r="F674" s="1" t="s">
        <v>5715</v>
      </c>
      <c r="G674" s="1" t="s">
        <v>74</v>
      </c>
      <c r="H674" s="1" t="s">
        <v>74</v>
      </c>
      <c r="I674" s="1" t="s">
        <v>5726</v>
      </c>
      <c r="J674" s="1" t="s">
        <v>5727</v>
      </c>
      <c r="K674" s="1" t="s">
        <v>74</v>
      </c>
      <c r="L674" s="1" t="s">
        <v>74</v>
      </c>
      <c r="M674" s="1" t="s">
        <v>74</v>
      </c>
      <c r="N674" s="1" t="s">
        <v>74</v>
      </c>
      <c r="O674" s="1" t="s">
        <v>74</v>
      </c>
      <c r="P674" s="1" t="s">
        <v>74</v>
      </c>
      <c r="Q674" s="1" t="s">
        <v>74</v>
      </c>
      <c r="R674" s="1" t="s">
        <v>74</v>
      </c>
      <c r="S674" s="1" t="s">
        <v>74</v>
      </c>
      <c r="T674" s="1" t="s">
        <v>74</v>
      </c>
      <c r="U674" s="1" t="s">
        <v>74</v>
      </c>
      <c r="V674" s="1" t="s">
        <v>5728</v>
      </c>
      <c r="W674" s="1" t="s">
        <v>74</v>
      </c>
      <c r="X674" s="1" t="s">
        <v>74</v>
      </c>
      <c r="Y674" s="1" t="s">
        <v>74</v>
      </c>
      <c r="Z674" s="1" t="s">
        <v>74</v>
      </c>
      <c r="AA674" s="1" t="s">
        <v>74</v>
      </c>
      <c r="AB674" s="1" t="s">
        <v>5720</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5729</v>
      </c>
      <c r="AP674" s="1" t="s">
        <v>5730</v>
      </c>
      <c r="AQ674" s="1" t="s">
        <v>74</v>
      </c>
      <c r="AR674" s="1" t="s">
        <v>74</v>
      </c>
      <c r="AS674" s="1" t="s">
        <v>74</v>
      </c>
      <c r="AT674" s="1" t="s">
        <v>974</v>
      </c>
      <c r="AU674" s="1">
        <v>2021.0</v>
      </c>
      <c r="AV674" s="1">
        <v>151.0</v>
      </c>
      <c r="AW674" s="1" t="s">
        <v>74</v>
      </c>
      <c r="AX674" s="1" t="s">
        <v>74</v>
      </c>
      <c r="AY674" s="1" t="s">
        <v>74</v>
      </c>
      <c r="AZ674" s="1" t="s">
        <v>74</v>
      </c>
      <c r="BA674" s="1" t="s">
        <v>74</v>
      </c>
      <c r="BB674" s="1" t="s">
        <v>74</v>
      </c>
      <c r="BC674" s="1" t="s">
        <v>74</v>
      </c>
      <c r="BD674" s="1">
        <v>106153.0</v>
      </c>
      <c r="BE674" s="1" t="s">
        <v>5731</v>
      </c>
      <c r="BF674" s="2" t="str">
        <f>HYPERLINK("http://dx.doi.org/10.1016/j.biombioe.2021.106153","http://dx.doi.org/10.1016/j.biombioe.2021.106153")</f>
        <v>http://dx.doi.org/10.1016/j.biombioe.2021.106153</v>
      </c>
      <c r="BG674" s="1" t="s">
        <v>74</v>
      </c>
      <c r="BH674" s="1" t="s">
        <v>5732</v>
      </c>
      <c r="BI674" s="1" t="s">
        <v>74</v>
      </c>
      <c r="BJ674" s="1" t="s">
        <v>74</v>
      </c>
      <c r="BK674" s="1" t="s">
        <v>74</v>
      </c>
      <c r="BL674" s="1" t="s">
        <v>74</v>
      </c>
      <c r="BM674" s="1" t="s">
        <v>74</v>
      </c>
      <c r="BN674" s="1" t="s">
        <v>74</v>
      </c>
      <c r="BO674" s="1" t="s">
        <v>74</v>
      </c>
      <c r="BP674" s="1" t="s">
        <v>74</v>
      </c>
      <c r="BQ674" s="1" t="s">
        <v>74</v>
      </c>
      <c r="BR674" s="1" t="s">
        <v>74</v>
      </c>
      <c r="BS674" s="1" t="s">
        <v>5733</v>
      </c>
      <c r="BT674" s="1" t="str">
        <f>HYPERLINK("https%3A%2F%2Fwww.webofscience.com%2Fwos%2Fwoscc%2Ffull-record%2FWOS:000677477700002","View Full Record in Web of Science")</f>
        <v>View Full Record in Web of Science</v>
      </c>
    </row>
    <row r="675" ht="12.75" customHeight="1">
      <c r="A675" s="1" t="s">
        <v>72</v>
      </c>
      <c r="B675" s="1" t="s">
        <v>5734</v>
      </c>
      <c r="C675" s="1" t="s">
        <v>74</v>
      </c>
      <c r="D675" s="1" t="s">
        <v>74</v>
      </c>
      <c r="E675" s="1" t="s">
        <v>74</v>
      </c>
      <c r="F675" s="1" t="s">
        <v>5735</v>
      </c>
      <c r="G675" s="1" t="s">
        <v>74</v>
      </c>
      <c r="H675" s="1" t="s">
        <v>74</v>
      </c>
      <c r="I675" s="1" t="s">
        <v>5736</v>
      </c>
      <c r="J675" s="1" t="s">
        <v>5737</v>
      </c>
      <c r="K675" s="1" t="s">
        <v>74</v>
      </c>
      <c r="L675" s="1" t="s">
        <v>74</v>
      </c>
      <c r="M675" s="1" t="s">
        <v>74</v>
      </c>
      <c r="N675" s="1" t="s">
        <v>74</v>
      </c>
      <c r="O675" s="1" t="s">
        <v>74</v>
      </c>
      <c r="P675" s="1" t="s">
        <v>74</v>
      </c>
      <c r="Q675" s="1" t="s">
        <v>74</v>
      </c>
      <c r="R675" s="1" t="s">
        <v>74</v>
      </c>
      <c r="S675" s="1" t="s">
        <v>74</v>
      </c>
      <c r="T675" s="1" t="s">
        <v>74</v>
      </c>
      <c r="U675" s="1" t="s">
        <v>74</v>
      </c>
      <c r="V675" s="1" t="s">
        <v>5738</v>
      </c>
      <c r="W675" s="1" t="s">
        <v>74</v>
      </c>
      <c r="X675" s="1" t="s">
        <v>74</v>
      </c>
      <c r="Y675" s="1" t="s">
        <v>74</v>
      </c>
      <c r="Z675" s="1" t="s">
        <v>74</v>
      </c>
      <c r="AA675" s="1" t="s">
        <v>5739</v>
      </c>
      <c r="AB675" s="1" t="s">
        <v>5740</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5741</v>
      </c>
      <c r="AP675" s="1" t="s">
        <v>5742</v>
      </c>
      <c r="AQ675" s="1" t="s">
        <v>74</v>
      </c>
      <c r="AR675" s="1" t="s">
        <v>74</v>
      </c>
      <c r="AS675" s="1" t="s">
        <v>74</v>
      </c>
      <c r="AT675" s="1" t="s">
        <v>5743</v>
      </c>
      <c r="AU675" s="1">
        <v>2022.0</v>
      </c>
      <c r="AV675" s="1">
        <v>62.0</v>
      </c>
      <c r="AW675" s="1">
        <v>20.0</v>
      </c>
      <c r="AX675" s="1" t="s">
        <v>74</v>
      </c>
      <c r="AY675" s="1" t="s">
        <v>74</v>
      </c>
      <c r="AZ675" s="1" t="s">
        <v>74</v>
      </c>
      <c r="BA675" s="1" t="s">
        <v>74</v>
      </c>
      <c r="BB675" s="1">
        <v>5495.0</v>
      </c>
      <c r="BC675" s="1">
        <v>5510.0</v>
      </c>
      <c r="BD675" s="1" t="s">
        <v>74</v>
      </c>
      <c r="BE675" s="1" t="s">
        <v>5744</v>
      </c>
      <c r="BF675" s="2" t="str">
        <f>HYPERLINK("http://dx.doi.org/10.1080/10408398.2021.1886038","http://dx.doi.org/10.1080/10408398.2021.1886038")</f>
        <v>http://dx.doi.org/10.1080/10408398.2021.1886038</v>
      </c>
      <c r="BG675" s="1" t="s">
        <v>74</v>
      </c>
      <c r="BH675" s="1" t="s">
        <v>5745</v>
      </c>
      <c r="BI675" s="1" t="s">
        <v>74</v>
      </c>
      <c r="BJ675" s="1" t="s">
        <v>74</v>
      </c>
      <c r="BK675" s="1" t="s">
        <v>74</v>
      </c>
      <c r="BL675" s="1" t="s">
        <v>74</v>
      </c>
      <c r="BM675" s="1" t="s">
        <v>74</v>
      </c>
      <c r="BN675" s="1">
        <v>3.3605809E7</v>
      </c>
      <c r="BO675" s="1" t="s">
        <v>74</v>
      </c>
      <c r="BP675" s="1" t="s">
        <v>74</v>
      </c>
      <c r="BQ675" s="1" t="s">
        <v>74</v>
      </c>
      <c r="BR675" s="1" t="s">
        <v>74</v>
      </c>
      <c r="BS675" s="1" t="s">
        <v>5746</v>
      </c>
      <c r="BT675" s="1" t="str">
        <f>HYPERLINK("https%3A%2F%2Fwww.webofscience.com%2Fwos%2Fwoscc%2Ffull-record%2FWOS:000619742000001","View Full Record in Web of Science")</f>
        <v>View Full Record in Web of Science</v>
      </c>
    </row>
    <row r="676" ht="12.75" customHeight="1">
      <c r="A676" s="1" t="s">
        <v>126</v>
      </c>
      <c r="B676" s="1" t="s">
        <v>5747</v>
      </c>
      <c r="C676" s="1" t="s">
        <v>74</v>
      </c>
      <c r="D676" s="1" t="s">
        <v>74</v>
      </c>
      <c r="E676" s="1" t="s">
        <v>128</v>
      </c>
      <c r="F676" s="1" t="s">
        <v>5748</v>
      </c>
      <c r="G676" s="1" t="s">
        <v>74</v>
      </c>
      <c r="H676" s="1" t="s">
        <v>74</v>
      </c>
      <c r="I676" s="1" t="s">
        <v>5749</v>
      </c>
      <c r="J676" s="1" t="s">
        <v>5750</v>
      </c>
      <c r="K676" s="1" t="s">
        <v>74</v>
      </c>
      <c r="L676" s="1" t="s">
        <v>74</v>
      </c>
      <c r="M676" s="1" t="s">
        <v>74</v>
      </c>
      <c r="N676" s="1" t="s">
        <v>74</v>
      </c>
      <c r="O676" s="1" t="s">
        <v>5751</v>
      </c>
      <c r="P676" s="1" t="s">
        <v>5752</v>
      </c>
      <c r="Q676" s="1" t="s">
        <v>1073</v>
      </c>
      <c r="R676" s="1" t="s">
        <v>74</v>
      </c>
      <c r="S676" s="1" t="s">
        <v>74</v>
      </c>
      <c r="T676" s="1" t="s">
        <v>74</v>
      </c>
      <c r="U676" s="1" t="s">
        <v>74</v>
      </c>
      <c r="V676" s="1" t="s">
        <v>5753</v>
      </c>
      <c r="W676" s="1" t="s">
        <v>74</v>
      </c>
      <c r="X676" s="1" t="s">
        <v>74</v>
      </c>
      <c r="Y676" s="1" t="s">
        <v>74</v>
      </c>
      <c r="Z676" s="1" t="s">
        <v>74</v>
      </c>
      <c r="AA676" s="1" t="s">
        <v>74</v>
      </c>
      <c r="AB676" s="1" t="s">
        <v>505</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74</v>
      </c>
      <c r="AP676" s="1" t="s">
        <v>74</v>
      </c>
      <c r="AQ676" s="1" t="s">
        <v>5754</v>
      </c>
      <c r="AR676" s="1" t="s">
        <v>74</v>
      </c>
      <c r="AS676" s="1" t="s">
        <v>74</v>
      </c>
      <c r="AT676" s="1" t="s">
        <v>74</v>
      </c>
      <c r="AU676" s="1">
        <v>2021.0</v>
      </c>
      <c r="AV676" s="1" t="s">
        <v>74</v>
      </c>
      <c r="AW676" s="1" t="s">
        <v>74</v>
      </c>
      <c r="AX676" s="1" t="s">
        <v>74</v>
      </c>
      <c r="AY676" s="1" t="s">
        <v>74</v>
      </c>
      <c r="AZ676" s="1" t="s">
        <v>74</v>
      </c>
      <c r="BA676" s="1" t="s">
        <v>74</v>
      </c>
      <c r="BB676" s="1">
        <v>20.0</v>
      </c>
      <c r="BC676" s="1">
        <v>26.0</v>
      </c>
      <c r="BD676" s="1" t="s">
        <v>74</v>
      </c>
      <c r="BE676" s="1" t="s">
        <v>5755</v>
      </c>
      <c r="BF676" s="2" t="str">
        <f>HYPERLINK("http://dx.doi.org/10.1109/CLEI52000.2020.00008","http://dx.doi.org/10.1109/CLEI52000.2020.00008")</f>
        <v>http://dx.doi.org/10.1109/CLEI52000.2020.00008</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5756</v>
      </c>
      <c r="BT676" s="1" t="str">
        <f>HYPERLINK("https%3A%2F%2Fwww.webofscience.com%2Fwos%2Fwoscc%2Ffull-record%2FWOS:000923740800003","View Full Record in Web of Science")</f>
        <v>View Full Record in Web of Science</v>
      </c>
    </row>
    <row r="677" ht="12.75" customHeight="1">
      <c r="A677" s="1" t="s">
        <v>105</v>
      </c>
      <c r="B677" s="1" t="s">
        <v>5757</v>
      </c>
      <c r="C677" s="1" t="s">
        <v>74</v>
      </c>
      <c r="D677" s="1" t="s">
        <v>1969</v>
      </c>
      <c r="E677" s="1" t="s">
        <v>74</v>
      </c>
      <c r="F677" s="1" t="s">
        <v>5758</v>
      </c>
      <c r="G677" s="1" t="s">
        <v>74</v>
      </c>
      <c r="H677" s="1" t="s">
        <v>74</v>
      </c>
      <c r="I677" s="1" t="s">
        <v>5759</v>
      </c>
      <c r="J677" s="1" t="s">
        <v>1972</v>
      </c>
      <c r="K677" s="1" t="s">
        <v>74</v>
      </c>
      <c r="L677" s="1" t="s">
        <v>74</v>
      </c>
      <c r="M677" s="1" t="s">
        <v>74</v>
      </c>
      <c r="N677" s="1" t="s">
        <v>74</v>
      </c>
      <c r="O677" s="1" t="s">
        <v>74</v>
      </c>
      <c r="P677" s="1" t="s">
        <v>74</v>
      </c>
      <c r="Q677" s="1" t="s">
        <v>74</v>
      </c>
      <c r="R677" s="1" t="s">
        <v>74</v>
      </c>
      <c r="S677" s="1" t="s">
        <v>74</v>
      </c>
      <c r="T677" s="1" t="s">
        <v>74</v>
      </c>
      <c r="U677" s="1" t="s">
        <v>74</v>
      </c>
      <c r="V677" s="1" t="s">
        <v>74</v>
      </c>
      <c r="W677" s="1" t="s">
        <v>74</v>
      </c>
      <c r="X677" s="1" t="s">
        <v>74</v>
      </c>
      <c r="Y677" s="1" t="s">
        <v>74</v>
      </c>
      <c r="Z677" s="1" t="s">
        <v>74</v>
      </c>
      <c r="AA677" s="1" t="s">
        <v>74</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74</v>
      </c>
      <c r="AP677" s="1" t="s">
        <v>74</v>
      </c>
      <c r="AQ677" s="1" t="s">
        <v>1974</v>
      </c>
      <c r="AR677" s="1" t="s">
        <v>74</v>
      </c>
      <c r="AS677" s="1" t="s">
        <v>74</v>
      </c>
      <c r="AT677" s="1" t="s">
        <v>74</v>
      </c>
      <c r="AU677" s="1">
        <v>2021.0</v>
      </c>
      <c r="AV677" s="1" t="s">
        <v>74</v>
      </c>
      <c r="AW677" s="1" t="s">
        <v>74</v>
      </c>
      <c r="AX677" s="1" t="s">
        <v>74</v>
      </c>
      <c r="AY677" s="1" t="s">
        <v>74</v>
      </c>
      <c r="AZ677" s="1" t="s">
        <v>74</v>
      </c>
      <c r="BA677" s="1" t="s">
        <v>74</v>
      </c>
      <c r="BB677" s="1">
        <v>141.0</v>
      </c>
      <c r="BC677" s="1">
        <v>160.0</v>
      </c>
      <c r="BD677" s="1" t="s">
        <v>74</v>
      </c>
      <c r="BE677" s="1" t="s">
        <v>74</v>
      </c>
      <c r="BF677" s="1" t="s">
        <v>74</v>
      </c>
      <c r="BG677" s="1" t="s">
        <v>74</v>
      </c>
      <c r="BH677" s="1" t="s">
        <v>74</v>
      </c>
      <c r="BI677" s="1" t="s">
        <v>74</v>
      </c>
      <c r="BJ677" s="1" t="s">
        <v>74</v>
      </c>
      <c r="BK677" s="1" t="s">
        <v>74</v>
      </c>
      <c r="BL677" s="1" t="s">
        <v>74</v>
      </c>
      <c r="BM677" s="1" t="s">
        <v>74</v>
      </c>
      <c r="BN677" s="1" t="s">
        <v>74</v>
      </c>
      <c r="BO677" s="1" t="s">
        <v>74</v>
      </c>
      <c r="BP677" s="1" t="s">
        <v>74</v>
      </c>
      <c r="BQ677" s="1" t="s">
        <v>74</v>
      </c>
      <c r="BR677" s="1" t="s">
        <v>74</v>
      </c>
      <c r="BS677" s="1" t="s">
        <v>5760</v>
      </c>
      <c r="BT677" s="1" t="str">
        <f>HYPERLINK("https%3A%2F%2Fwww.webofscience.com%2Fwos%2Fwoscc%2Ffull-record%2FWOS:000651158400008","View Full Record in Web of Science")</f>
        <v>View Full Record in Web of Science</v>
      </c>
    </row>
    <row r="678" ht="12.75" customHeight="1">
      <c r="A678" s="1" t="s">
        <v>105</v>
      </c>
      <c r="B678" s="1" t="s">
        <v>5761</v>
      </c>
      <c r="C678" s="1" t="s">
        <v>74</v>
      </c>
      <c r="D678" s="1" t="s">
        <v>1969</v>
      </c>
      <c r="E678" s="1" t="s">
        <v>74</v>
      </c>
      <c r="F678" s="1" t="s">
        <v>5762</v>
      </c>
      <c r="G678" s="1" t="s">
        <v>74</v>
      </c>
      <c r="H678" s="1" t="s">
        <v>74</v>
      </c>
      <c r="I678" s="1" t="s">
        <v>5763</v>
      </c>
      <c r="J678" s="1" t="s">
        <v>1972</v>
      </c>
      <c r="K678" s="1" t="s">
        <v>74</v>
      </c>
      <c r="L678" s="1" t="s">
        <v>74</v>
      </c>
      <c r="M678" s="1" t="s">
        <v>74</v>
      </c>
      <c r="N678" s="1" t="s">
        <v>74</v>
      </c>
      <c r="O678" s="1" t="s">
        <v>74</v>
      </c>
      <c r="P678" s="1" t="s">
        <v>74</v>
      </c>
      <c r="Q678" s="1" t="s">
        <v>74</v>
      </c>
      <c r="R678" s="1" t="s">
        <v>74</v>
      </c>
      <c r="S678" s="1" t="s">
        <v>74</v>
      </c>
      <c r="T678" s="1" t="s">
        <v>74</v>
      </c>
      <c r="U678" s="1" t="s">
        <v>74</v>
      </c>
      <c r="V678" s="1" t="s">
        <v>74</v>
      </c>
      <c r="W678" s="1" t="s">
        <v>74</v>
      </c>
      <c r="X678" s="1" t="s">
        <v>74</v>
      </c>
      <c r="Y678" s="1" t="s">
        <v>74</v>
      </c>
      <c r="Z678" s="1" t="s">
        <v>74</v>
      </c>
      <c r="AA678" s="1" t="s">
        <v>74</v>
      </c>
      <c r="AB678" s="1" t="s">
        <v>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74</v>
      </c>
      <c r="AP678" s="1" t="s">
        <v>74</v>
      </c>
      <c r="AQ678" s="1" t="s">
        <v>1974</v>
      </c>
      <c r="AR678" s="1" t="s">
        <v>74</v>
      </c>
      <c r="AS678" s="1" t="s">
        <v>74</v>
      </c>
      <c r="AT678" s="1" t="s">
        <v>74</v>
      </c>
      <c r="AU678" s="1">
        <v>2021.0</v>
      </c>
      <c r="AV678" s="1" t="s">
        <v>74</v>
      </c>
      <c r="AW678" s="1" t="s">
        <v>74</v>
      </c>
      <c r="AX678" s="1" t="s">
        <v>74</v>
      </c>
      <c r="AY678" s="1" t="s">
        <v>74</v>
      </c>
      <c r="AZ678" s="1" t="s">
        <v>74</v>
      </c>
      <c r="BA678" s="1" t="s">
        <v>74</v>
      </c>
      <c r="BB678" s="1">
        <v>299.0</v>
      </c>
      <c r="BC678" s="1">
        <v>310.0</v>
      </c>
      <c r="BD678" s="1" t="s">
        <v>74</v>
      </c>
      <c r="BE678" s="1" t="s">
        <v>74</v>
      </c>
      <c r="BF678" s="1" t="s">
        <v>74</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5764</v>
      </c>
      <c r="BT678" s="1" t="str">
        <f>HYPERLINK("https%3A%2F%2Fwww.webofscience.com%2Fwos%2Fwoscc%2Ffull-record%2FWOS:000651158400015","View Full Record in Web of Science")</f>
        <v>View Full Record in Web of Science</v>
      </c>
    </row>
    <row r="679" ht="12.75" customHeight="1">
      <c r="A679" s="1" t="s">
        <v>72</v>
      </c>
      <c r="B679" s="1" t="s">
        <v>5765</v>
      </c>
      <c r="C679" s="1" t="s">
        <v>74</v>
      </c>
      <c r="D679" s="1" t="s">
        <v>74</v>
      </c>
      <c r="E679" s="1" t="s">
        <v>74</v>
      </c>
      <c r="F679" s="1" t="s">
        <v>5766</v>
      </c>
      <c r="G679" s="1" t="s">
        <v>74</v>
      </c>
      <c r="H679" s="1" t="s">
        <v>74</v>
      </c>
      <c r="I679" s="1" t="s">
        <v>5767</v>
      </c>
      <c r="J679" s="1" t="s">
        <v>5768</v>
      </c>
      <c r="K679" s="1" t="s">
        <v>74</v>
      </c>
      <c r="L679" s="1" t="s">
        <v>74</v>
      </c>
      <c r="M679" s="1" t="s">
        <v>74</v>
      </c>
      <c r="N679" s="1" t="s">
        <v>74</v>
      </c>
      <c r="O679" s="1" t="s">
        <v>74</v>
      </c>
      <c r="P679" s="1" t="s">
        <v>74</v>
      </c>
      <c r="Q679" s="1" t="s">
        <v>74</v>
      </c>
      <c r="R679" s="1" t="s">
        <v>74</v>
      </c>
      <c r="S679" s="1" t="s">
        <v>74</v>
      </c>
      <c r="T679" s="1" t="s">
        <v>74</v>
      </c>
      <c r="U679" s="1" t="s">
        <v>74</v>
      </c>
      <c r="V679" s="1" t="s">
        <v>5769</v>
      </c>
      <c r="W679" s="1" t="s">
        <v>74</v>
      </c>
      <c r="X679" s="1" t="s">
        <v>74</v>
      </c>
      <c r="Y679" s="1" t="s">
        <v>74</v>
      </c>
      <c r="Z679" s="1" t="s">
        <v>74</v>
      </c>
      <c r="AA679" s="1" t="s">
        <v>5770</v>
      </c>
      <c r="AB679" s="1" t="s">
        <v>398</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5771</v>
      </c>
      <c r="AP679" s="1" t="s">
        <v>5772</v>
      </c>
      <c r="AQ679" s="1" t="s">
        <v>74</v>
      </c>
      <c r="AR679" s="1" t="s">
        <v>74</v>
      </c>
      <c r="AS679" s="1" t="s">
        <v>74</v>
      </c>
      <c r="AT679" s="1" t="s">
        <v>82</v>
      </c>
      <c r="AU679" s="1">
        <v>2020.0</v>
      </c>
      <c r="AV679" s="1">
        <v>26.0</v>
      </c>
      <c r="AW679" s="1">
        <v>4.0</v>
      </c>
      <c r="AX679" s="1" t="s">
        <v>74</v>
      </c>
      <c r="AY679" s="1" t="s">
        <v>74</v>
      </c>
      <c r="AZ679" s="1" t="s">
        <v>74</v>
      </c>
      <c r="BA679" s="1" t="s">
        <v>74</v>
      </c>
      <c r="BB679" s="1">
        <v>2625.0</v>
      </c>
      <c r="BC679" s="1">
        <v>2636.0</v>
      </c>
      <c r="BD679" s="1">
        <v>1.460458219900446E15</v>
      </c>
      <c r="BE679" s="1" t="s">
        <v>5773</v>
      </c>
      <c r="BF679" s="2" t="str">
        <f>HYPERLINK("http://dx.doi.org/10.1177/1460458219900446","http://dx.doi.org/10.1177/1460458219900446")</f>
        <v>http://dx.doi.org/10.1177/1460458219900446</v>
      </c>
      <c r="BG679" s="1" t="s">
        <v>74</v>
      </c>
      <c r="BH679" s="1" t="s">
        <v>5774</v>
      </c>
      <c r="BI679" s="1" t="s">
        <v>74</v>
      </c>
      <c r="BJ679" s="1" t="s">
        <v>74</v>
      </c>
      <c r="BK679" s="1" t="s">
        <v>74</v>
      </c>
      <c r="BL679" s="1" t="s">
        <v>74</v>
      </c>
      <c r="BM679" s="1" t="s">
        <v>74</v>
      </c>
      <c r="BN679" s="1">
        <v>3.2339053E7</v>
      </c>
      <c r="BO679" s="1" t="s">
        <v>74</v>
      </c>
      <c r="BP679" s="1" t="s">
        <v>74</v>
      </c>
      <c r="BQ679" s="1" t="s">
        <v>74</v>
      </c>
      <c r="BR679" s="1" t="s">
        <v>74</v>
      </c>
      <c r="BS679" s="1" t="s">
        <v>5775</v>
      </c>
      <c r="BT679" s="1" t="str">
        <f>HYPERLINK("https%3A%2F%2Fwww.webofscience.com%2Fwos%2Fwoscc%2Ffull-record%2FWOS:000532780800001","View Full Record in Web of Science")</f>
        <v>View Full Record in Web of Science</v>
      </c>
    </row>
    <row r="680" ht="12.75" customHeight="1">
      <c r="A680" s="1" t="s">
        <v>72</v>
      </c>
      <c r="B680" s="1" t="s">
        <v>5776</v>
      </c>
      <c r="C680" s="1" t="s">
        <v>74</v>
      </c>
      <c r="D680" s="1" t="s">
        <v>74</v>
      </c>
      <c r="E680" s="1" t="s">
        <v>74</v>
      </c>
      <c r="F680" s="1" t="s">
        <v>5777</v>
      </c>
      <c r="G680" s="1" t="s">
        <v>74</v>
      </c>
      <c r="H680" s="1" t="s">
        <v>74</v>
      </c>
      <c r="I680" s="1" t="s">
        <v>5778</v>
      </c>
      <c r="J680" s="1" t="s">
        <v>1889</v>
      </c>
      <c r="K680" s="1" t="s">
        <v>74</v>
      </c>
      <c r="L680" s="1" t="s">
        <v>74</v>
      </c>
      <c r="M680" s="1" t="s">
        <v>74</v>
      </c>
      <c r="N680" s="1" t="s">
        <v>74</v>
      </c>
      <c r="O680" s="1" t="s">
        <v>74</v>
      </c>
      <c r="P680" s="1" t="s">
        <v>74</v>
      </c>
      <c r="Q680" s="1" t="s">
        <v>74</v>
      </c>
      <c r="R680" s="1" t="s">
        <v>74</v>
      </c>
      <c r="S680" s="1" t="s">
        <v>74</v>
      </c>
      <c r="T680" s="1" t="s">
        <v>74</v>
      </c>
      <c r="U680" s="1" t="s">
        <v>74</v>
      </c>
      <c r="V680" s="1" t="s">
        <v>5779</v>
      </c>
      <c r="W680" s="1" t="s">
        <v>74</v>
      </c>
      <c r="X680" s="1" t="s">
        <v>74</v>
      </c>
      <c r="Y680" s="1" t="s">
        <v>74</v>
      </c>
      <c r="Z680" s="1" t="s">
        <v>74</v>
      </c>
      <c r="AA680" s="1" t="s">
        <v>74</v>
      </c>
      <c r="AB680" s="1" t="s">
        <v>74</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1891</v>
      </c>
      <c r="AP680" s="1" t="s">
        <v>1892</v>
      </c>
      <c r="AQ680" s="1" t="s">
        <v>74</v>
      </c>
      <c r="AR680" s="1" t="s">
        <v>74</v>
      </c>
      <c r="AS680" s="1" t="s">
        <v>74</v>
      </c>
      <c r="AT680" s="1" t="s">
        <v>74</v>
      </c>
      <c r="AU680" s="1">
        <v>2020.0</v>
      </c>
      <c r="AV680" s="1">
        <v>30.0</v>
      </c>
      <c r="AW680" s="1">
        <v>2.0</v>
      </c>
      <c r="AX680" s="1" t="s">
        <v>74</v>
      </c>
      <c r="AY680" s="1" t="s">
        <v>74</v>
      </c>
      <c r="AZ680" s="1" t="s">
        <v>74</v>
      </c>
      <c r="BA680" s="1" t="s">
        <v>74</v>
      </c>
      <c r="BB680" s="1">
        <v>224.0</v>
      </c>
      <c r="BC680" s="1">
        <v>235.0</v>
      </c>
      <c r="BD680" s="1" t="s">
        <v>74</v>
      </c>
      <c r="BE680" s="1" t="s">
        <v>5780</v>
      </c>
      <c r="BF680" s="2" t="str">
        <f>HYPERLINK("http://dx.doi.org/10.15443/RL3018","http://dx.doi.org/10.15443/RL3018")</f>
        <v>http://dx.doi.org/10.15443/RL3018</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5781</v>
      </c>
      <c r="BT680" s="1" t="str">
        <f>HYPERLINK("https%3A%2F%2Fwww.webofscience.com%2Fwos%2Fwoscc%2Ffull-record%2FWOS:000599863100003","View Full Record in Web of Science")</f>
        <v>View Full Record in Web of Science</v>
      </c>
    </row>
    <row r="681" ht="12.75" customHeight="1">
      <c r="A681" s="1" t="s">
        <v>72</v>
      </c>
      <c r="B681" s="1" t="s">
        <v>5782</v>
      </c>
      <c r="C681" s="1" t="s">
        <v>74</v>
      </c>
      <c r="D681" s="1" t="s">
        <v>74</v>
      </c>
      <c r="E681" s="1" t="s">
        <v>74</v>
      </c>
      <c r="F681" s="1" t="s">
        <v>5783</v>
      </c>
      <c r="G681" s="1" t="s">
        <v>74</v>
      </c>
      <c r="H681" s="1" t="s">
        <v>74</v>
      </c>
      <c r="I681" s="1" t="s">
        <v>5784</v>
      </c>
      <c r="J681" s="1" t="s">
        <v>5785</v>
      </c>
      <c r="K681" s="1" t="s">
        <v>74</v>
      </c>
      <c r="L681" s="1" t="s">
        <v>74</v>
      </c>
      <c r="M681" s="1" t="s">
        <v>74</v>
      </c>
      <c r="N681" s="1" t="s">
        <v>74</v>
      </c>
      <c r="O681" s="1" t="s">
        <v>74</v>
      </c>
      <c r="P681" s="1" t="s">
        <v>74</v>
      </c>
      <c r="Q681" s="1" t="s">
        <v>74</v>
      </c>
      <c r="R681" s="1" t="s">
        <v>74</v>
      </c>
      <c r="S681" s="1" t="s">
        <v>74</v>
      </c>
      <c r="T681" s="1" t="s">
        <v>74</v>
      </c>
      <c r="U681" s="1" t="s">
        <v>74</v>
      </c>
      <c r="V681" s="1" t="s">
        <v>5786</v>
      </c>
      <c r="W681" s="1" t="s">
        <v>74</v>
      </c>
      <c r="X681" s="1" t="s">
        <v>74</v>
      </c>
      <c r="Y681" s="1" t="s">
        <v>74</v>
      </c>
      <c r="Z681" s="1" t="s">
        <v>74</v>
      </c>
      <c r="AA681" s="1" t="s">
        <v>74</v>
      </c>
      <c r="AB681" s="1" t="s">
        <v>5787</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5788</v>
      </c>
      <c r="AP681" s="1" t="s">
        <v>5789</v>
      </c>
      <c r="AQ681" s="1" t="s">
        <v>74</v>
      </c>
      <c r="AR681" s="1" t="s">
        <v>74</v>
      </c>
      <c r="AS681" s="1" t="s">
        <v>74</v>
      </c>
      <c r="AT681" s="1" t="s">
        <v>382</v>
      </c>
      <c r="AU681" s="1">
        <v>2020.0</v>
      </c>
      <c r="AV681" s="1">
        <v>25.0</v>
      </c>
      <c r="AW681" s="1">
        <v>1.0</v>
      </c>
      <c r="AX681" s="1" t="s">
        <v>74</v>
      </c>
      <c r="AY681" s="1" t="s">
        <v>74</v>
      </c>
      <c r="AZ681" s="1" t="s">
        <v>74</v>
      </c>
      <c r="BA681" s="1" t="s">
        <v>74</v>
      </c>
      <c r="BB681" s="1">
        <v>122.0</v>
      </c>
      <c r="BC681" s="1">
        <v>146.0</v>
      </c>
      <c r="BD681" s="1" t="s">
        <v>74</v>
      </c>
      <c r="BE681" s="1" t="s">
        <v>5790</v>
      </c>
      <c r="BF681" s="2" t="str">
        <f>HYPERLINK("http://dx.doi.org/10.22380/20274688.844","http://dx.doi.org/10.22380/20274688.844")</f>
        <v>http://dx.doi.org/10.22380/20274688.844</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5791</v>
      </c>
      <c r="BT681" s="1" t="str">
        <f>HYPERLINK("https%3A%2F%2Fwww.webofscience.com%2Fwos%2Fwoscc%2Ffull-record%2FWOS:000553252900005","View Full Record in Web of Science")</f>
        <v>View Full Record in Web of Science</v>
      </c>
    </row>
    <row r="682" ht="12.75" customHeight="1">
      <c r="A682" s="1" t="s">
        <v>126</v>
      </c>
      <c r="B682" s="1" t="s">
        <v>5792</v>
      </c>
      <c r="C682" s="1" t="s">
        <v>74</v>
      </c>
      <c r="D682" s="1" t="s">
        <v>74</v>
      </c>
      <c r="E682" s="1" t="s">
        <v>128</v>
      </c>
      <c r="F682" s="1" t="s">
        <v>5793</v>
      </c>
      <c r="G682" s="1" t="s">
        <v>74</v>
      </c>
      <c r="H682" s="1" t="s">
        <v>74</v>
      </c>
      <c r="I682" s="1" t="s">
        <v>5794</v>
      </c>
      <c r="J682" s="1" t="s">
        <v>5795</v>
      </c>
      <c r="K682" s="1" t="s">
        <v>5796</v>
      </c>
      <c r="L682" s="1" t="s">
        <v>74</v>
      </c>
      <c r="M682" s="1" t="s">
        <v>74</v>
      </c>
      <c r="N682" s="1" t="s">
        <v>74</v>
      </c>
      <c r="O682" s="1" t="s">
        <v>5797</v>
      </c>
      <c r="P682" s="1" t="s">
        <v>5798</v>
      </c>
      <c r="Q682" s="1" t="s">
        <v>5799</v>
      </c>
      <c r="R682" s="1" t="s">
        <v>2139</v>
      </c>
      <c r="S682" s="1" t="s">
        <v>74</v>
      </c>
      <c r="T682" s="1" t="s">
        <v>74</v>
      </c>
      <c r="U682" s="1" t="s">
        <v>74</v>
      </c>
      <c r="V682" s="1" t="s">
        <v>5800</v>
      </c>
      <c r="W682" s="1" t="s">
        <v>74</v>
      </c>
      <c r="X682" s="1" t="s">
        <v>74</v>
      </c>
      <c r="Y682" s="1" t="s">
        <v>74</v>
      </c>
      <c r="Z682" s="1" t="s">
        <v>74</v>
      </c>
      <c r="AA682" s="1" t="s">
        <v>5702</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5801</v>
      </c>
      <c r="AP682" s="1" t="s">
        <v>74</v>
      </c>
      <c r="AQ682" s="1" t="s">
        <v>5802</v>
      </c>
      <c r="AR682" s="1" t="s">
        <v>74</v>
      </c>
      <c r="AS682" s="1" t="s">
        <v>74</v>
      </c>
      <c r="AT682" s="1" t="s">
        <v>74</v>
      </c>
      <c r="AU682" s="1">
        <v>2020.0</v>
      </c>
      <c r="AV682" s="1" t="s">
        <v>74</v>
      </c>
      <c r="AW682" s="1" t="s">
        <v>74</v>
      </c>
      <c r="AX682" s="1" t="s">
        <v>74</v>
      </c>
      <c r="AY682" s="1" t="s">
        <v>74</v>
      </c>
      <c r="AZ682" s="1" t="s">
        <v>74</v>
      </c>
      <c r="BA682" s="1" t="s">
        <v>74</v>
      </c>
      <c r="BB682" s="1" t="s">
        <v>74</v>
      </c>
      <c r="BC682" s="1" t="s">
        <v>74</v>
      </c>
      <c r="BD682" s="1" t="s">
        <v>74</v>
      </c>
      <c r="BE682" s="1" t="s">
        <v>5803</v>
      </c>
      <c r="BF682" s="2" t="str">
        <f>HYPERLINK("http://dx.doi.org/10.1109/TDLA47668.2020.9326180","http://dx.doi.org/10.1109/TDLA47668.2020.9326180")</f>
        <v>http://dx.doi.org/10.1109/TDLA47668.2020.9326180</v>
      </c>
      <c r="BG682" s="1" t="s">
        <v>74</v>
      </c>
      <c r="BH682" s="1" t="s">
        <v>74</v>
      </c>
      <c r="BI682" s="1" t="s">
        <v>74</v>
      </c>
      <c r="BJ682" s="1" t="s">
        <v>74</v>
      </c>
      <c r="BK682" s="1" t="s">
        <v>74</v>
      </c>
      <c r="BL682" s="1" t="s">
        <v>74</v>
      </c>
      <c r="BM682" s="1" t="s">
        <v>74</v>
      </c>
      <c r="BN682" s="1" t="s">
        <v>74</v>
      </c>
      <c r="BO682" s="1" t="s">
        <v>74</v>
      </c>
      <c r="BP682" s="1" t="s">
        <v>74</v>
      </c>
      <c r="BQ682" s="1" t="s">
        <v>74</v>
      </c>
      <c r="BR682" s="1" t="s">
        <v>74</v>
      </c>
      <c r="BS682" s="1" t="s">
        <v>5804</v>
      </c>
      <c r="BT682" s="1" t="str">
        <f>HYPERLINK("https%3A%2F%2Fwww.webofscience.com%2Fwos%2Fwoscc%2Ffull-record%2FWOS:000666965600125","View Full Record in Web of Science")</f>
        <v>View Full Record in Web of Science</v>
      </c>
    </row>
    <row r="683" ht="12.75" customHeight="1">
      <c r="A683" s="1" t="s">
        <v>72</v>
      </c>
      <c r="B683" s="1" t="s">
        <v>5805</v>
      </c>
      <c r="C683" s="1" t="s">
        <v>74</v>
      </c>
      <c r="D683" s="1" t="s">
        <v>74</v>
      </c>
      <c r="E683" s="1" t="s">
        <v>74</v>
      </c>
      <c r="F683" s="1" t="s">
        <v>5806</v>
      </c>
      <c r="G683" s="1" t="s">
        <v>74</v>
      </c>
      <c r="H683" s="1" t="s">
        <v>74</v>
      </c>
      <c r="I683" s="1" t="s">
        <v>5807</v>
      </c>
      <c r="J683" s="1" t="s">
        <v>5033</v>
      </c>
      <c r="K683" s="1" t="s">
        <v>74</v>
      </c>
      <c r="L683" s="1" t="s">
        <v>74</v>
      </c>
      <c r="M683" s="1" t="s">
        <v>74</v>
      </c>
      <c r="N683" s="1" t="s">
        <v>74</v>
      </c>
      <c r="O683" s="1" t="s">
        <v>74</v>
      </c>
      <c r="P683" s="1" t="s">
        <v>74</v>
      </c>
      <c r="Q683" s="1" t="s">
        <v>74</v>
      </c>
      <c r="R683" s="1" t="s">
        <v>74</v>
      </c>
      <c r="S683" s="1" t="s">
        <v>74</v>
      </c>
      <c r="T683" s="1" t="s">
        <v>74</v>
      </c>
      <c r="U683" s="1" t="s">
        <v>74</v>
      </c>
      <c r="V683" s="1" t="s">
        <v>5808</v>
      </c>
      <c r="W683" s="1" t="s">
        <v>74</v>
      </c>
      <c r="X683" s="1" t="s">
        <v>74</v>
      </c>
      <c r="Y683" s="1" t="s">
        <v>74</v>
      </c>
      <c r="Z683" s="1" t="s">
        <v>74</v>
      </c>
      <c r="AA683" s="1" t="s">
        <v>5809</v>
      </c>
      <c r="AB683" s="1" t="s">
        <v>5810</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5037</v>
      </c>
      <c r="AP683" s="1" t="s">
        <v>5811</v>
      </c>
      <c r="AQ683" s="1" t="s">
        <v>74</v>
      </c>
      <c r="AR683" s="1" t="s">
        <v>74</v>
      </c>
      <c r="AS683" s="1" t="s">
        <v>74</v>
      </c>
      <c r="AT683" s="1" t="s">
        <v>974</v>
      </c>
      <c r="AU683" s="1">
        <v>2019.0</v>
      </c>
      <c r="AV683" s="1">
        <v>139.0</v>
      </c>
      <c r="AW683" s="1" t="s">
        <v>74</v>
      </c>
      <c r="AX683" s="1" t="s">
        <v>74</v>
      </c>
      <c r="AY683" s="1" t="s">
        <v>74</v>
      </c>
      <c r="AZ683" s="1" t="s">
        <v>74</v>
      </c>
      <c r="BA683" s="1" t="s">
        <v>74</v>
      </c>
      <c r="BB683" s="1">
        <v>1375.0</v>
      </c>
      <c r="BC683" s="1">
        <v>1390.0</v>
      </c>
      <c r="BD683" s="1" t="s">
        <v>74</v>
      </c>
      <c r="BE683" s="1" t="s">
        <v>5812</v>
      </c>
      <c r="BF683" s="2" t="str">
        <f>HYPERLINK("http://dx.doi.org/10.1016/j.renene.2019.02.085","http://dx.doi.org/10.1016/j.renene.2019.02.085")</f>
        <v>http://dx.doi.org/10.1016/j.renene.2019.02.085</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5813</v>
      </c>
      <c r="BT683" s="1" t="str">
        <f>HYPERLINK("https%3A%2F%2Fwww.webofscience.com%2Fwos%2Fwoscc%2Ffull-record%2FWOS:000466249700117","View Full Record in Web of Science")</f>
        <v>View Full Record in Web of Science</v>
      </c>
    </row>
    <row r="684" ht="12.75" customHeight="1">
      <c r="A684" s="1" t="s">
        <v>72</v>
      </c>
      <c r="B684" s="1" t="s">
        <v>5814</v>
      </c>
      <c r="C684" s="1" t="s">
        <v>74</v>
      </c>
      <c r="D684" s="1" t="s">
        <v>74</v>
      </c>
      <c r="E684" s="1" t="s">
        <v>74</v>
      </c>
      <c r="F684" s="1" t="s">
        <v>5815</v>
      </c>
      <c r="G684" s="1" t="s">
        <v>74</v>
      </c>
      <c r="H684" s="1" t="s">
        <v>74</v>
      </c>
      <c r="I684" s="1" t="s">
        <v>5816</v>
      </c>
      <c r="J684" s="1" t="s">
        <v>2079</v>
      </c>
      <c r="K684" s="1" t="s">
        <v>74</v>
      </c>
      <c r="L684" s="1" t="s">
        <v>74</v>
      </c>
      <c r="M684" s="1" t="s">
        <v>74</v>
      </c>
      <c r="N684" s="1" t="s">
        <v>74</v>
      </c>
      <c r="O684" s="1" t="s">
        <v>74</v>
      </c>
      <c r="P684" s="1" t="s">
        <v>74</v>
      </c>
      <c r="Q684" s="1" t="s">
        <v>74</v>
      </c>
      <c r="R684" s="1" t="s">
        <v>74</v>
      </c>
      <c r="S684" s="1" t="s">
        <v>74</v>
      </c>
      <c r="T684" s="1" t="s">
        <v>74</v>
      </c>
      <c r="U684" s="1" t="s">
        <v>74</v>
      </c>
      <c r="V684" s="1" t="s">
        <v>74</v>
      </c>
      <c r="W684" s="1" t="s">
        <v>74</v>
      </c>
      <c r="X684" s="1" t="s">
        <v>74</v>
      </c>
      <c r="Y684" s="1" t="s">
        <v>74</v>
      </c>
      <c r="Z684" s="1" t="s">
        <v>74</v>
      </c>
      <c r="AA684" s="1" t="s">
        <v>3022</v>
      </c>
      <c r="AB684" s="1" t="s">
        <v>4963</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2083</v>
      </c>
      <c r="AP684" s="1" t="s">
        <v>2084</v>
      </c>
      <c r="AQ684" s="1" t="s">
        <v>74</v>
      </c>
      <c r="AR684" s="1" t="s">
        <v>74</v>
      </c>
      <c r="AS684" s="1" t="s">
        <v>74</v>
      </c>
      <c r="AT684" s="1" t="s">
        <v>974</v>
      </c>
      <c r="AU684" s="1">
        <v>2019.0</v>
      </c>
      <c r="AV684" s="1">
        <v>91.0</v>
      </c>
      <c r="AW684" s="1" t="s">
        <v>74</v>
      </c>
      <c r="AX684" s="1" t="s">
        <v>74</v>
      </c>
      <c r="AY684" s="1" t="s">
        <v>74</v>
      </c>
      <c r="AZ684" s="1" t="s">
        <v>74</v>
      </c>
      <c r="BA684" s="1" t="s">
        <v>5817</v>
      </c>
      <c r="BB684" s="1">
        <v>415.0</v>
      </c>
      <c r="BC684" s="1">
        <v>416.0</v>
      </c>
      <c r="BD684" s="1" t="s">
        <v>74</v>
      </c>
      <c r="BE684" s="1" t="s">
        <v>5818</v>
      </c>
      <c r="BF684" s="2" t="str">
        <f>HYPERLINK("http://dx.doi.org/10.1016/j.fsi.2019.04.142","http://dx.doi.org/10.1016/j.fsi.2019.04.142")</f>
        <v>http://dx.doi.org/10.1016/j.fsi.2019.04.142</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5819</v>
      </c>
      <c r="BT684" s="1" t="str">
        <f>HYPERLINK("https%3A%2F%2Fwww.webofscience.com%2Fwos%2Fwoscc%2Ffull-record%2FWOS:000474676700115","View Full Record in Web of Science")</f>
        <v>View Full Record in Web of Science</v>
      </c>
    </row>
    <row r="685" ht="12.75" customHeight="1">
      <c r="A685" s="1" t="s">
        <v>72</v>
      </c>
      <c r="B685" s="1" t="s">
        <v>5820</v>
      </c>
      <c r="C685" s="1" t="s">
        <v>74</v>
      </c>
      <c r="D685" s="1" t="s">
        <v>74</v>
      </c>
      <c r="E685" s="1" t="s">
        <v>74</v>
      </c>
      <c r="F685" s="1" t="s">
        <v>5821</v>
      </c>
      <c r="G685" s="1" t="s">
        <v>74</v>
      </c>
      <c r="H685" s="1" t="s">
        <v>74</v>
      </c>
      <c r="I685" s="1" t="s">
        <v>5822</v>
      </c>
      <c r="J685" s="1" t="s">
        <v>5823</v>
      </c>
      <c r="K685" s="1" t="s">
        <v>74</v>
      </c>
      <c r="L685" s="1" t="s">
        <v>74</v>
      </c>
      <c r="M685" s="1" t="s">
        <v>74</v>
      </c>
      <c r="N685" s="1" t="s">
        <v>74</v>
      </c>
      <c r="O685" s="1" t="s">
        <v>74</v>
      </c>
      <c r="P685" s="1" t="s">
        <v>74</v>
      </c>
      <c r="Q685" s="1" t="s">
        <v>74</v>
      </c>
      <c r="R685" s="1" t="s">
        <v>74</v>
      </c>
      <c r="S685" s="1" t="s">
        <v>74</v>
      </c>
      <c r="T685" s="1" t="s">
        <v>74</v>
      </c>
      <c r="U685" s="1" t="s">
        <v>74</v>
      </c>
      <c r="V685" s="1" t="s">
        <v>5824</v>
      </c>
      <c r="W685" s="1" t="s">
        <v>74</v>
      </c>
      <c r="X685" s="1" t="s">
        <v>74</v>
      </c>
      <c r="Y685" s="1" t="s">
        <v>74</v>
      </c>
      <c r="Z685" s="1" t="s">
        <v>74</v>
      </c>
      <c r="AA685" s="1" t="s">
        <v>74</v>
      </c>
      <c r="AB685" s="1" t="s">
        <v>5825</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5826</v>
      </c>
      <c r="AP685" s="1" t="s">
        <v>74</v>
      </c>
      <c r="AQ685" s="1" t="s">
        <v>74</v>
      </c>
      <c r="AR685" s="1" t="s">
        <v>74</v>
      </c>
      <c r="AS685" s="1" t="s">
        <v>74</v>
      </c>
      <c r="AT685" s="1" t="s">
        <v>256</v>
      </c>
      <c r="AU685" s="1">
        <v>2019.0</v>
      </c>
      <c r="AV685" s="1">
        <v>52.0</v>
      </c>
      <c r="AW685" s="1">
        <v>99.0</v>
      </c>
      <c r="AX685" s="1" t="s">
        <v>74</v>
      </c>
      <c r="AY685" s="1" t="s">
        <v>74</v>
      </c>
      <c r="AZ685" s="1" t="s">
        <v>74</v>
      </c>
      <c r="BA685" s="1" t="s">
        <v>74</v>
      </c>
      <c r="BB685" s="1">
        <v>158.0</v>
      </c>
      <c r="BC685" s="1">
        <v>180.0</v>
      </c>
      <c r="BD685" s="1" t="s">
        <v>74</v>
      </c>
      <c r="BE685" s="1" t="s">
        <v>5827</v>
      </c>
      <c r="BF685" s="2" t="str">
        <f>HYPERLINK("http://dx.doi.org/10.4067/S0718-09342019000100158","http://dx.doi.org/10.4067/S0718-09342019000100158")</f>
        <v>http://dx.doi.org/10.4067/S0718-09342019000100158</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5828</v>
      </c>
      <c r="BT685" s="1" t="str">
        <f>HYPERLINK("https%3A%2F%2Fwww.webofscience.com%2Fwos%2Fwoscc%2Ffull-record%2FWOS:000457687300007","View Full Record in Web of Science")</f>
        <v>View Full Record in Web of Science</v>
      </c>
    </row>
    <row r="686" ht="12.75" customHeight="1">
      <c r="A686" s="1" t="s">
        <v>72</v>
      </c>
      <c r="B686" s="1" t="s">
        <v>1299</v>
      </c>
      <c r="C686" s="1" t="s">
        <v>74</v>
      </c>
      <c r="D686" s="1" t="s">
        <v>74</v>
      </c>
      <c r="E686" s="1" t="s">
        <v>74</v>
      </c>
      <c r="F686" s="1" t="s">
        <v>1300</v>
      </c>
      <c r="G686" s="1" t="s">
        <v>74</v>
      </c>
      <c r="H686" s="1" t="s">
        <v>74</v>
      </c>
      <c r="I686" s="1" t="s">
        <v>5829</v>
      </c>
      <c r="J686" s="1" t="s">
        <v>3849</v>
      </c>
      <c r="K686" s="1" t="s">
        <v>74</v>
      </c>
      <c r="L686" s="1" t="s">
        <v>74</v>
      </c>
      <c r="M686" s="1" t="s">
        <v>74</v>
      </c>
      <c r="N686" s="1" t="s">
        <v>74</v>
      </c>
      <c r="O686" s="1" t="s">
        <v>74</v>
      </c>
      <c r="P686" s="1" t="s">
        <v>74</v>
      </c>
      <c r="Q686" s="1" t="s">
        <v>74</v>
      </c>
      <c r="R686" s="1" t="s">
        <v>74</v>
      </c>
      <c r="S686" s="1" t="s">
        <v>74</v>
      </c>
      <c r="T686" s="1" t="s">
        <v>74</v>
      </c>
      <c r="U686" s="1" t="s">
        <v>74</v>
      </c>
      <c r="V686" s="1" t="s">
        <v>5830</v>
      </c>
      <c r="W686" s="1" t="s">
        <v>74</v>
      </c>
      <c r="X686" s="1" t="s">
        <v>74</v>
      </c>
      <c r="Y686" s="1" t="s">
        <v>74</v>
      </c>
      <c r="Z686" s="1" t="s">
        <v>74</v>
      </c>
      <c r="AA686" s="1" t="s">
        <v>74</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3850</v>
      </c>
      <c r="AP686" s="1" t="s">
        <v>74</v>
      </c>
      <c r="AQ686" s="1" t="s">
        <v>74</v>
      </c>
      <c r="AR686" s="1" t="s">
        <v>74</v>
      </c>
      <c r="AS686" s="1" t="s">
        <v>74</v>
      </c>
      <c r="AT686" s="1" t="s">
        <v>74</v>
      </c>
      <c r="AU686" s="1">
        <v>2019.0</v>
      </c>
      <c r="AV686" s="1" t="s">
        <v>74</v>
      </c>
      <c r="AW686" s="1">
        <v>64.0</v>
      </c>
      <c r="AX686" s="1" t="s">
        <v>74</v>
      </c>
      <c r="AY686" s="1" t="s">
        <v>74</v>
      </c>
      <c r="AZ686" s="1" t="s">
        <v>74</v>
      </c>
      <c r="BA686" s="1" t="s">
        <v>74</v>
      </c>
      <c r="BB686" s="1">
        <v>61.0</v>
      </c>
      <c r="BC686" s="1">
        <v>75.0</v>
      </c>
      <c r="BD686" s="1" t="s">
        <v>74</v>
      </c>
      <c r="BE686" s="1" t="s">
        <v>74</v>
      </c>
      <c r="BF686" s="1" t="s">
        <v>74</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5831</v>
      </c>
      <c r="BT686" s="1" t="str">
        <f>HYPERLINK("https%3A%2F%2Fwww.webofscience.com%2Fwos%2Fwoscc%2Ffull-record%2FWOS:000497139300004","View Full Record in Web of Science")</f>
        <v>View Full Record in Web of Science</v>
      </c>
    </row>
    <row r="687" ht="12.75" customHeight="1">
      <c r="A687" s="1" t="s">
        <v>72</v>
      </c>
      <c r="B687" s="1" t="s">
        <v>5832</v>
      </c>
      <c r="C687" s="1" t="s">
        <v>74</v>
      </c>
      <c r="D687" s="1" t="s">
        <v>74</v>
      </c>
      <c r="E687" s="1" t="s">
        <v>74</v>
      </c>
      <c r="F687" s="1" t="s">
        <v>5833</v>
      </c>
      <c r="G687" s="1" t="s">
        <v>74</v>
      </c>
      <c r="H687" s="1" t="s">
        <v>74</v>
      </c>
      <c r="I687" s="1" t="s">
        <v>5834</v>
      </c>
      <c r="J687" s="1" t="s">
        <v>1302</v>
      </c>
      <c r="K687" s="1" t="s">
        <v>74</v>
      </c>
      <c r="L687" s="1" t="s">
        <v>74</v>
      </c>
      <c r="M687" s="1" t="s">
        <v>74</v>
      </c>
      <c r="N687" s="1" t="s">
        <v>74</v>
      </c>
      <c r="O687" s="1" t="s">
        <v>74</v>
      </c>
      <c r="P687" s="1" t="s">
        <v>74</v>
      </c>
      <c r="Q687" s="1" t="s">
        <v>74</v>
      </c>
      <c r="R687" s="1" t="s">
        <v>74</v>
      </c>
      <c r="S687" s="1" t="s">
        <v>74</v>
      </c>
      <c r="T687" s="1" t="s">
        <v>74</v>
      </c>
      <c r="U687" s="1" t="s">
        <v>74</v>
      </c>
      <c r="V687" s="1" t="s">
        <v>5835</v>
      </c>
      <c r="W687" s="1" t="s">
        <v>74</v>
      </c>
      <c r="X687" s="1" t="s">
        <v>74</v>
      </c>
      <c r="Y687" s="1" t="s">
        <v>74</v>
      </c>
      <c r="Z687" s="1" t="s">
        <v>74</v>
      </c>
      <c r="AA687" s="1" t="s">
        <v>74</v>
      </c>
      <c r="AB687" s="1" t="s">
        <v>74</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1304</v>
      </c>
      <c r="AP687" s="1" t="s">
        <v>1305</v>
      </c>
      <c r="AQ687" s="1" t="s">
        <v>74</v>
      </c>
      <c r="AR687" s="1" t="s">
        <v>74</v>
      </c>
      <c r="AS687" s="1" t="s">
        <v>74</v>
      </c>
      <c r="AT687" s="1" t="s">
        <v>74</v>
      </c>
      <c r="AU687" s="1">
        <v>2019.0</v>
      </c>
      <c r="AV687" s="1" t="s">
        <v>74</v>
      </c>
      <c r="AW687" s="1">
        <v>63.0</v>
      </c>
      <c r="AX687" s="1" t="s">
        <v>74</v>
      </c>
      <c r="AY687" s="1" t="s">
        <v>74</v>
      </c>
      <c r="AZ687" s="1" t="s">
        <v>74</v>
      </c>
      <c r="BA687" s="1" t="s">
        <v>74</v>
      </c>
      <c r="BB687" s="1">
        <v>121.0</v>
      </c>
      <c r="BC687" s="1">
        <v>135.0</v>
      </c>
      <c r="BD687" s="1" t="s">
        <v>74</v>
      </c>
      <c r="BE687" s="1" t="s">
        <v>74</v>
      </c>
      <c r="BF687" s="1" t="s">
        <v>74</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5836</v>
      </c>
      <c r="BT687" s="1" t="str">
        <f>HYPERLINK("https%3A%2F%2Fwww.webofscience.com%2Fwos%2Fwoscc%2Ffull-record%2FWOS:000480433800006","View Full Record in Web of Science")</f>
        <v>View Full Record in Web of Science</v>
      </c>
    </row>
    <row r="688" ht="12.75" customHeight="1">
      <c r="A688" s="1" t="s">
        <v>72</v>
      </c>
      <c r="B688" s="1" t="s">
        <v>5837</v>
      </c>
      <c r="C688" s="1" t="s">
        <v>74</v>
      </c>
      <c r="D688" s="1" t="s">
        <v>74</v>
      </c>
      <c r="E688" s="1" t="s">
        <v>74</v>
      </c>
      <c r="F688" s="1" t="s">
        <v>5838</v>
      </c>
      <c r="G688" s="1" t="s">
        <v>74</v>
      </c>
      <c r="H688" s="1" t="s">
        <v>74</v>
      </c>
      <c r="I688" s="1" t="s">
        <v>5839</v>
      </c>
      <c r="J688" s="1" t="s">
        <v>5840</v>
      </c>
      <c r="K688" s="1" t="s">
        <v>74</v>
      </c>
      <c r="L688" s="1" t="s">
        <v>74</v>
      </c>
      <c r="M688" s="1" t="s">
        <v>74</v>
      </c>
      <c r="N688" s="1" t="s">
        <v>74</v>
      </c>
      <c r="O688" s="1" t="s">
        <v>74</v>
      </c>
      <c r="P688" s="1" t="s">
        <v>74</v>
      </c>
      <c r="Q688" s="1" t="s">
        <v>74</v>
      </c>
      <c r="R688" s="1" t="s">
        <v>74</v>
      </c>
      <c r="S688" s="1" t="s">
        <v>74</v>
      </c>
      <c r="T688" s="1" t="s">
        <v>74</v>
      </c>
      <c r="U688" s="1" t="s">
        <v>74</v>
      </c>
      <c r="V688" s="1" t="s">
        <v>5841</v>
      </c>
      <c r="W688" s="1" t="s">
        <v>74</v>
      </c>
      <c r="X688" s="1" t="s">
        <v>74</v>
      </c>
      <c r="Y688" s="1" t="s">
        <v>74</v>
      </c>
      <c r="Z688" s="1" t="s">
        <v>74</v>
      </c>
      <c r="AA688" s="1" t="s">
        <v>5842</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5843</v>
      </c>
      <c r="AP688" s="1" t="s">
        <v>5844</v>
      </c>
      <c r="AQ688" s="1" t="s">
        <v>74</v>
      </c>
      <c r="AR688" s="1" t="s">
        <v>74</v>
      </c>
      <c r="AS688" s="1" t="s">
        <v>74</v>
      </c>
      <c r="AT688" s="1" t="s">
        <v>158</v>
      </c>
      <c r="AU688" s="1">
        <v>2018.0</v>
      </c>
      <c r="AV688" s="1">
        <v>128.0</v>
      </c>
      <c r="AW688" s="1">
        <v>614.0</v>
      </c>
      <c r="AX688" s="1" t="s">
        <v>74</v>
      </c>
      <c r="AY688" s="1" t="s">
        <v>74</v>
      </c>
      <c r="AZ688" s="1" t="s">
        <v>74</v>
      </c>
      <c r="BA688" s="1" t="s">
        <v>74</v>
      </c>
      <c r="BB688" s="1">
        <v>2321.0</v>
      </c>
      <c r="BC688" s="1">
        <v>2352.0</v>
      </c>
      <c r="BD688" s="1" t="s">
        <v>74</v>
      </c>
      <c r="BE688" s="1" t="s">
        <v>5845</v>
      </c>
      <c r="BF688" s="2" t="str">
        <f>HYPERLINK("http://dx.doi.org/10.1111/ecoj.12505","http://dx.doi.org/10.1111/ecoj.12505")</f>
        <v>http://dx.doi.org/10.1111/ecoj.12505</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5846</v>
      </c>
      <c r="BT688" s="1" t="str">
        <f>HYPERLINK("https%3A%2F%2Fwww.webofscience.com%2Fwos%2Fwoscc%2Ffull-record%2FWOS:000443948700006","View Full Record in Web of Science")</f>
        <v>View Full Record in Web of Science</v>
      </c>
    </row>
    <row r="689" ht="12.75" customHeight="1">
      <c r="A689" s="1" t="s">
        <v>72</v>
      </c>
      <c r="B689" s="1" t="s">
        <v>1925</v>
      </c>
      <c r="C689" s="1" t="s">
        <v>74</v>
      </c>
      <c r="D689" s="1" t="s">
        <v>74</v>
      </c>
      <c r="E689" s="1" t="s">
        <v>74</v>
      </c>
      <c r="F689" s="1" t="s">
        <v>5847</v>
      </c>
      <c r="G689" s="1" t="s">
        <v>74</v>
      </c>
      <c r="H689" s="1" t="s">
        <v>74</v>
      </c>
      <c r="I689" s="1" t="s">
        <v>5848</v>
      </c>
      <c r="J689" s="1" t="s">
        <v>5849</v>
      </c>
      <c r="K689" s="1" t="s">
        <v>74</v>
      </c>
      <c r="L689" s="1" t="s">
        <v>74</v>
      </c>
      <c r="M689" s="1" t="s">
        <v>74</v>
      </c>
      <c r="N689" s="1" t="s">
        <v>74</v>
      </c>
      <c r="O689" s="1" t="s">
        <v>74</v>
      </c>
      <c r="P689" s="1" t="s">
        <v>74</v>
      </c>
      <c r="Q689" s="1" t="s">
        <v>74</v>
      </c>
      <c r="R689" s="1" t="s">
        <v>74</v>
      </c>
      <c r="S689" s="1" t="s">
        <v>74</v>
      </c>
      <c r="T689" s="1" t="s">
        <v>74</v>
      </c>
      <c r="U689" s="1" t="s">
        <v>74</v>
      </c>
      <c r="V689" s="1" t="s">
        <v>5850</v>
      </c>
      <c r="W689" s="1" t="s">
        <v>74</v>
      </c>
      <c r="X689" s="1" t="s">
        <v>74</v>
      </c>
      <c r="Y689" s="1" t="s">
        <v>74</v>
      </c>
      <c r="Z689" s="1" t="s">
        <v>74</v>
      </c>
      <c r="AA689" s="1" t="s">
        <v>1930</v>
      </c>
      <c r="AB689" s="1" t="s">
        <v>4599</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5851</v>
      </c>
      <c r="AP689" s="1" t="s">
        <v>5852</v>
      </c>
      <c r="AQ689" s="1" t="s">
        <v>74</v>
      </c>
      <c r="AR689" s="1" t="s">
        <v>74</v>
      </c>
      <c r="AS689" s="1" t="s">
        <v>74</v>
      </c>
      <c r="AT689" s="1" t="s">
        <v>158</v>
      </c>
      <c r="AU689" s="1">
        <v>2018.0</v>
      </c>
      <c r="AV689" s="1">
        <v>20.0</v>
      </c>
      <c r="AW689" s="1">
        <v>3.0</v>
      </c>
      <c r="AX689" s="1" t="s">
        <v>74</v>
      </c>
      <c r="AY689" s="1" t="s">
        <v>74</v>
      </c>
      <c r="AZ689" s="1" t="s">
        <v>74</v>
      </c>
      <c r="BA689" s="1" t="s">
        <v>74</v>
      </c>
      <c r="BB689" s="1">
        <v>869.0</v>
      </c>
      <c r="BC689" s="1">
        <v>888.0</v>
      </c>
      <c r="BD689" s="1" t="s">
        <v>74</v>
      </c>
      <c r="BE689" s="1" t="s">
        <v>5853</v>
      </c>
      <c r="BF689" s="2" t="str">
        <f>HYPERLINK("http://dx.doi.org/10.1007/s00021-018-0382-5","http://dx.doi.org/10.1007/s00021-018-0382-5")</f>
        <v>http://dx.doi.org/10.1007/s00021-018-0382-5</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5854</v>
      </c>
      <c r="BT689" s="1" t="str">
        <f>HYPERLINK("https%3A%2F%2Fwww.webofscience.com%2Fwos%2Fwoscc%2Ffull-record%2FWOS:000441287600001","View Full Record in Web of Science")</f>
        <v>View Full Record in Web of Science</v>
      </c>
    </row>
    <row r="690" ht="12.75" customHeight="1">
      <c r="A690" s="1" t="s">
        <v>72</v>
      </c>
      <c r="B690" s="1" t="s">
        <v>5855</v>
      </c>
      <c r="C690" s="1" t="s">
        <v>74</v>
      </c>
      <c r="D690" s="1" t="s">
        <v>74</v>
      </c>
      <c r="E690" s="1" t="s">
        <v>74</v>
      </c>
      <c r="F690" s="1" t="s">
        <v>5856</v>
      </c>
      <c r="G690" s="1" t="s">
        <v>74</v>
      </c>
      <c r="H690" s="1" t="s">
        <v>74</v>
      </c>
      <c r="I690" s="1" t="s">
        <v>5857</v>
      </c>
      <c r="J690" s="1" t="s">
        <v>3731</v>
      </c>
      <c r="K690" s="1" t="s">
        <v>74</v>
      </c>
      <c r="L690" s="1" t="s">
        <v>74</v>
      </c>
      <c r="M690" s="1" t="s">
        <v>74</v>
      </c>
      <c r="N690" s="1" t="s">
        <v>74</v>
      </c>
      <c r="O690" s="1" t="s">
        <v>74</v>
      </c>
      <c r="P690" s="1" t="s">
        <v>74</v>
      </c>
      <c r="Q690" s="1" t="s">
        <v>74</v>
      </c>
      <c r="R690" s="1" t="s">
        <v>74</v>
      </c>
      <c r="S690" s="1" t="s">
        <v>74</v>
      </c>
      <c r="T690" s="1" t="s">
        <v>74</v>
      </c>
      <c r="U690" s="1" t="s">
        <v>74</v>
      </c>
      <c r="V690" s="1" t="s">
        <v>5858</v>
      </c>
      <c r="W690" s="1" t="s">
        <v>74</v>
      </c>
      <c r="X690" s="1" t="s">
        <v>74</v>
      </c>
      <c r="Y690" s="1" t="s">
        <v>74</v>
      </c>
      <c r="Z690" s="1" t="s">
        <v>74</v>
      </c>
      <c r="AA690" s="1" t="s">
        <v>5859</v>
      </c>
      <c r="AB690" s="1" t="s">
        <v>5860</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3733</v>
      </c>
      <c r="AP690" s="1" t="s">
        <v>3734</v>
      </c>
      <c r="AQ690" s="1" t="s">
        <v>74</v>
      </c>
      <c r="AR690" s="1" t="s">
        <v>74</v>
      </c>
      <c r="AS690" s="1" t="s">
        <v>74</v>
      </c>
      <c r="AT690" s="1" t="s">
        <v>3519</v>
      </c>
      <c r="AU690" s="1">
        <v>2018.0</v>
      </c>
      <c r="AV690" s="1">
        <v>254.0</v>
      </c>
      <c r="AW690" s="1" t="s">
        <v>74</v>
      </c>
      <c r="AX690" s="1" t="s">
        <v>74</v>
      </c>
      <c r="AY690" s="1" t="s">
        <v>74</v>
      </c>
      <c r="AZ690" s="1" t="s">
        <v>74</v>
      </c>
      <c r="BA690" s="1" t="s">
        <v>74</v>
      </c>
      <c r="BB690" s="1">
        <v>87.0</v>
      </c>
      <c r="BC690" s="1">
        <v>94.0</v>
      </c>
      <c r="BD690" s="1" t="s">
        <v>74</v>
      </c>
      <c r="BE690" s="1" t="s">
        <v>5861</v>
      </c>
      <c r="BF690" s="2" t="str">
        <f>HYPERLINK("http://dx.doi.org/10.1016/j.foodchem.2018.01.179","http://dx.doi.org/10.1016/j.foodchem.2018.01.179")</f>
        <v>http://dx.doi.org/10.1016/j.foodchem.2018.01.179</v>
      </c>
      <c r="BG690" s="1" t="s">
        <v>74</v>
      </c>
      <c r="BH690" s="1" t="s">
        <v>74</v>
      </c>
      <c r="BI690" s="1" t="s">
        <v>74</v>
      </c>
      <c r="BJ690" s="1" t="s">
        <v>74</v>
      </c>
      <c r="BK690" s="1" t="s">
        <v>74</v>
      </c>
      <c r="BL690" s="1" t="s">
        <v>74</v>
      </c>
      <c r="BM690" s="1" t="s">
        <v>74</v>
      </c>
      <c r="BN690" s="1">
        <v>2.9548477E7</v>
      </c>
      <c r="BO690" s="1" t="s">
        <v>74</v>
      </c>
      <c r="BP690" s="1" t="s">
        <v>74</v>
      </c>
      <c r="BQ690" s="1" t="s">
        <v>74</v>
      </c>
      <c r="BR690" s="1" t="s">
        <v>74</v>
      </c>
      <c r="BS690" s="1" t="s">
        <v>5862</v>
      </c>
      <c r="BT690" s="1" t="str">
        <f>HYPERLINK("https%3A%2F%2Fwww.webofscience.com%2Fwos%2Fwoscc%2Ffull-record%2FWOS:000428396500013","View Full Record in Web of Science")</f>
        <v>View Full Record in Web of Science</v>
      </c>
    </row>
    <row r="691" ht="12.75" customHeight="1">
      <c r="A691" s="1" t="s">
        <v>126</v>
      </c>
      <c r="B691" s="1" t="s">
        <v>5863</v>
      </c>
      <c r="C691" s="1" t="s">
        <v>74</v>
      </c>
      <c r="D691" s="1" t="s">
        <v>5864</v>
      </c>
      <c r="E691" s="1" t="s">
        <v>74</v>
      </c>
      <c r="F691" s="1" t="s">
        <v>5865</v>
      </c>
      <c r="G691" s="1" t="s">
        <v>74</v>
      </c>
      <c r="H691" s="1" t="s">
        <v>74</v>
      </c>
      <c r="I691" s="1" t="s">
        <v>5866</v>
      </c>
      <c r="J691" s="1" t="s">
        <v>5867</v>
      </c>
      <c r="K691" s="1" t="s">
        <v>74</v>
      </c>
      <c r="L691" s="1" t="s">
        <v>74</v>
      </c>
      <c r="M691" s="1" t="s">
        <v>74</v>
      </c>
      <c r="N691" s="1" t="s">
        <v>74</v>
      </c>
      <c r="O691" s="1" t="s">
        <v>5868</v>
      </c>
      <c r="P691" s="1" t="s">
        <v>5869</v>
      </c>
      <c r="Q691" s="1" t="s">
        <v>2094</v>
      </c>
      <c r="R691" s="1" t="s">
        <v>5870</v>
      </c>
      <c r="S691" s="1" t="s">
        <v>74</v>
      </c>
      <c r="T691" s="1" t="s">
        <v>74</v>
      </c>
      <c r="U691" s="1" t="s">
        <v>74</v>
      </c>
      <c r="V691" s="1" t="s">
        <v>5871</v>
      </c>
      <c r="W691" s="1" t="s">
        <v>74</v>
      </c>
      <c r="X691" s="1" t="s">
        <v>74</v>
      </c>
      <c r="Y691" s="1" t="s">
        <v>74</v>
      </c>
      <c r="Z691" s="1" t="s">
        <v>74</v>
      </c>
      <c r="AA691" s="1" t="s">
        <v>4529</v>
      </c>
      <c r="AB691" s="1" t="s">
        <v>1883</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74</v>
      </c>
      <c r="AP691" s="1" t="s">
        <v>74</v>
      </c>
      <c r="AQ691" s="1" t="s">
        <v>5872</v>
      </c>
      <c r="AR691" s="1" t="s">
        <v>74</v>
      </c>
      <c r="AS691" s="1" t="s">
        <v>74</v>
      </c>
      <c r="AT691" s="1" t="s">
        <v>74</v>
      </c>
      <c r="AU691" s="1">
        <v>2018.0</v>
      </c>
      <c r="AV691" s="1" t="s">
        <v>74</v>
      </c>
      <c r="AW691" s="1" t="s">
        <v>74</v>
      </c>
      <c r="AX691" s="1" t="s">
        <v>74</v>
      </c>
      <c r="AY691" s="1" t="s">
        <v>74</v>
      </c>
      <c r="AZ691" s="1" t="s">
        <v>74</v>
      </c>
      <c r="BA691" s="1" t="s">
        <v>74</v>
      </c>
      <c r="BB691" s="1">
        <v>295.0</v>
      </c>
      <c r="BC691" s="1">
        <v>301.0</v>
      </c>
      <c r="BD691" s="1" t="s">
        <v>74</v>
      </c>
      <c r="BE691" s="1" t="s">
        <v>74</v>
      </c>
      <c r="BF691" s="1" t="s">
        <v>74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5873</v>
      </c>
      <c r="BT691" s="1" t="str">
        <f>HYPERLINK("https%3A%2F%2Fwww.webofscience.com%2Fwos%2Fwoscc%2Ffull-record%2FWOS:000437157500045","View Full Record in Web of Science")</f>
        <v>View Full Record in Web of Science</v>
      </c>
    </row>
    <row r="692" ht="12.75" customHeight="1">
      <c r="A692" s="1" t="s">
        <v>72</v>
      </c>
      <c r="B692" s="1" t="s">
        <v>2650</v>
      </c>
      <c r="C692" s="1" t="s">
        <v>74</v>
      </c>
      <c r="D692" s="1" t="s">
        <v>74</v>
      </c>
      <c r="E692" s="1" t="s">
        <v>74</v>
      </c>
      <c r="F692" s="1" t="s">
        <v>2651</v>
      </c>
      <c r="G692" s="1" t="s">
        <v>74</v>
      </c>
      <c r="H692" s="1" t="s">
        <v>74</v>
      </c>
      <c r="I692" s="1" t="s">
        <v>5874</v>
      </c>
      <c r="J692" s="1" t="s">
        <v>5236</v>
      </c>
      <c r="K692" s="1" t="s">
        <v>74</v>
      </c>
      <c r="L692" s="1" t="s">
        <v>74</v>
      </c>
      <c r="M692" s="1" t="s">
        <v>74</v>
      </c>
      <c r="N692" s="1" t="s">
        <v>74</v>
      </c>
      <c r="O692" s="1" t="s">
        <v>74</v>
      </c>
      <c r="P692" s="1" t="s">
        <v>74</v>
      </c>
      <c r="Q692" s="1" t="s">
        <v>74</v>
      </c>
      <c r="R692" s="1" t="s">
        <v>74</v>
      </c>
      <c r="S692" s="1" t="s">
        <v>74</v>
      </c>
      <c r="T692" s="1" t="s">
        <v>74</v>
      </c>
      <c r="U692" s="1" t="s">
        <v>74</v>
      </c>
      <c r="V692" s="1" t="s">
        <v>5875</v>
      </c>
      <c r="W692" s="1" t="s">
        <v>74</v>
      </c>
      <c r="X692" s="1" t="s">
        <v>74</v>
      </c>
      <c r="Y692" s="1" t="s">
        <v>74</v>
      </c>
      <c r="Z692" s="1" t="s">
        <v>74</v>
      </c>
      <c r="AA692" s="1" t="s">
        <v>74</v>
      </c>
      <c r="AB692" s="1" t="s">
        <v>4622</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5238</v>
      </c>
      <c r="AP692" s="1" t="s">
        <v>5239</v>
      </c>
      <c r="AQ692" s="1" t="s">
        <v>74</v>
      </c>
      <c r="AR692" s="1" t="s">
        <v>74</v>
      </c>
      <c r="AS692" s="1" t="s">
        <v>74</v>
      </c>
      <c r="AT692" s="1" t="s">
        <v>5240</v>
      </c>
      <c r="AU692" s="1">
        <v>2016.0</v>
      </c>
      <c r="AV692" s="1">
        <v>17.0</v>
      </c>
      <c r="AW692" s="1">
        <v>3.0</v>
      </c>
      <c r="AX692" s="1" t="s">
        <v>74</v>
      </c>
      <c r="AY692" s="1" t="s">
        <v>74</v>
      </c>
      <c r="AZ692" s="1" t="s">
        <v>74</v>
      </c>
      <c r="BA692" s="1" t="s">
        <v>74</v>
      </c>
      <c r="BB692" s="1">
        <v>271.0</v>
      </c>
      <c r="BC692" s="1">
        <v>282.0</v>
      </c>
      <c r="BD692" s="1" t="s">
        <v>74</v>
      </c>
      <c r="BE692" s="1" t="s">
        <v>5876</v>
      </c>
      <c r="BF692" s="2" t="str">
        <f>HYPERLINK("http://dx.doi.org/10.4013/fsu.2016.173.03","http://dx.doi.org/10.4013/fsu.2016.173.03")</f>
        <v>http://dx.doi.org/10.4013/fsu.2016.173.03</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5877</v>
      </c>
      <c r="BT692" s="1" t="str">
        <f>HYPERLINK("https%3A%2F%2Fwww.webofscience.com%2Fwos%2Fwoscc%2Ffull-record%2FWOS:000403795300003","View Full Record in Web of Science")</f>
        <v>View Full Record in Web of Science</v>
      </c>
    </row>
    <row r="693" ht="12.75" customHeight="1">
      <c r="A693" s="1" t="s">
        <v>72</v>
      </c>
      <c r="B693" s="1" t="s">
        <v>5878</v>
      </c>
      <c r="C693" s="1" t="s">
        <v>74</v>
      </c>
      <c r="D693" s="1" t="s">
        <v>74</v>
      </c>
      <c r="E693" s="1" t="s">
        <v>74</v>
      </c>
      <c r="F693" s="1" t="s">
        <v>5879</v>
      </c>
      <c r="G693" s="1" t="s">
        <v>74</v>
      </c>
      <c r="H693" s="1" t="s">
        <v>74</v>
      </c>
      <c r="I693" s="1" t="s">
        <v>5880</v>
      </c>
      <c r="J693" s="1" t="s">
        <v>2736</v>
      </c>
      <c r="K693" s="1" t="s">
        <v>74</v>
      </c>
      <c r="L693" s="1" t="s">
        <v>74</v>
      </c>
      <c r="M693" s="1" t="s">
        <v>74</v>
      </c>
      <c r="N693" s="1" t="s">
        <v>74</v>
      </c>
      <c r="O693" s="1" t="s">
        <v>74</v>
      </c>
      <c r="P693" s="1" t="s">
        <v>74</v>
      </c>
      <c r="Q693" s="1" t="s">
        <v>74</v>
      </c>
      <c r="R693" s="1" t="s">
        <v>74</v>
      </c>
      <c r="S693" s="1" t="s">
        <v>74</v>
      </c>
      <c r="T693" s="1" t="s">
        <v>74</v>
      </c>
      <c r="U693" s="1" t="s">
        <v>74</v>
      </c>
      <c r="V693" s="1" t="s">
        <v>5881</v>
      </c>
      <c r="W693" s="1" t="s">
        <v>74</v>
      </c>
      <c r="X693" s="1" t="s">
        <v>74</v>
      </c>
      <c r="Y693" s="1" t="s">
        <v>74</v>
      </c>
      <c r="Z693" s="1" t="s">
        <v>74</v>
      </c>
      <c r="AA693" s="1" t="s">
        <v>74</v>
      </c>
      <c r="AB693" s="1" t="s">
        <v>5882</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2739</v>
      </c>
      <c r="AP693" s="1" t="s">
        <v>2740</v>
      </c>
      <c r="AQ693" s="1" t="s">
        <v>74</v>
      </c>
      <c r="AR693" s="1" t="s">
        <v>74</v>
      </c>
      <c r="AS693" s="1" t="s">
        <v>74</v>
      </c>
      <c r="AT693" s="1" t="s">
        <v>5883</v>
      </c>
      <c r="AU693" s="1">
        <v>2016.0</v>
      </c>
      <c r="AV693" s="1">
        <v>14.0</v>
      </c>
      <c r="AW693" s="1">
        <v>2.0</v>
      </c>
      <c r="AX693" s="1" t="s">
        <v>74</v>
      </c>
      <c r="AY693" s="1" t="s">
        <v>74</v>
      </c>
      <c r="AZ693" s="1" t="s">
        <v>74</v>
      </c>
      <c r="BA693" s="1" t="s">
        <v>74</v>
      </c>
      <c r="BB693" s="1">
        <v>219.0</v>
      </c>
      <c r="BC693" s="1">
        <v>226.0</v>
      </c>
      <c r="BD693" s="1" t="s">
        <v>74</v>
      </c>
      <c r="BE693" s="1" t="s">
        <v>5884</v>
      </c>
      <c r="BF693" s="2" t="str">
        <f>HYPERLINK("http://dx.doi.org/10.1080/19476337.2015.1086440","http://dx.doi.org/10.1080/19476337.2015.1086440")</f>
        <v>http://dx.doi.org/10.1080/19476337.2015.1086440</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5885</v>
      </c>
      <c r="BT693" s="1" t="str">
        <f>HYPERLINK("https%3A%2F%2Fwww.webofscience.com%2Fwos%2Fwoscc%2Ffull-record%2FWOS:000372132500009","View Full Record in Web of Science")</f>
        <v>View Full Record in Web of Science</v>
      </c>
    </row>
    <row r="694" ht="12.75" customHeight="1">
      <c r="A694" s="1" t="s">
        <v>72</v>
      </c>
      <c r="B694" s="1" t="s">
        <v>2936</v>
      </c>
      <c r="C694" s="1" t="s">
        <v>74</v>
      </c>
      <c r="D694" s="1" t="s">
        <v>74</v>
      </c>
      <c r="E694" s="1" t="s">
        <v>74</v>
      </c>
      <c r="F694" s="1" t="s">
        <v>2937</v>
      </c>
      <c r="G694" s="1" t="s">
        <v>74</v>
      </c>
      <c r="H694" s="1" t="s">
        <v>74</v>
      </c>
      <c r="I694" s="1" t="s">
        <v>5886</v>
      </c>
      <c r="J694" s="1" t="s">
        <v>3207</v>
      </c>
      <c r="K694" s="1" t="s">
        <v>74</v>
      </c>
      <c r="L694" s="1" t="s">
        <v>74</v>
      </c>
      <c r="M694" s="1" t="s">
        <v>74</v>
      </c>
      <c r="N694" s="1" t="s">
        <v>74</v>
      </c>
      <c r="O694" s="1" t="s">
        <v>74</v>
      </c>
      <c r="P694" s="1" t="s">
        <v>74</v>
      </c>
      <c r="Q694" s="1" t="s">
        <v>74</v>
      </c>
      <c r="R694" s="1" t="s">
        <v>74</v>
      </c>
      <c r="S694" s="1" t="s">
        <v>74</v>
      </c>
      <c r="T694" s="1" t="s">
        <v>74</v>
      </c>
      <c r="U694" s="1" t="s">
        <v>74</v>
      </c>
      <c r="V694" s="1" t="s">
        <v>5887</v>
      </c>
      <c r="W694" s="1" t="s">
        <v>74</v>
      </c>
      <c r="X694" s="1" t="s">
        <v>74</v>
      </c>
      <c r="Y694" s="1" t="s">
        <v>74</v>
      </c>
      <c r="Z694" s="1" t="s">
        <v>74</v>
      </c>
      <c r="AA694" s="1" t="s">
        <v>74</v>
      </c>
      <c r="AB694" s="1" t="s">
        <v>74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3211</v>
      </c>
      <c r="AP694" s="1" t="s">
        <v>3212</v>
      </c>
      <c r="AQ694" s="1" t="s">
        <v>74</v>
      </c>
      <c r="AR694" s="1" t="s">
        <v>74</v>
      </c>
      <c r="AS694" s="1" t="s">
        <v>74</v>
      </c>
      <c r="AT694" s="1" t="s">
        <v>256</v>
      </c>
      <c r="AU694" s="1">
        <v>2016.0</v>
      </c>
      <c r="AV694" s="1">
        <v>144.0</v>
      </c>
      <c r="AW694" s="1">
        <v>3.0</v>
      </c>
      <c r="AX694" s="1" t="s">
        <v>74</v>
      </c>
      <c r="AY694" s="1" t="s">
        <v>74</v>
      </c>
      <c r="AZ694" s="1" t="s">
        <v>74</v>
      </c>
      <c r="BA694" s="1" t="s">
        <v>74</v>
      </c>
      <c r="BB694" s="1">
        <v>1277.0</v>
      </c>
      <c r="BC694" s="1">
        <v>1288.0</v>
      </c>
      <c r="BD694" s="1" t="s">
        <v>74</v>
      </c>
      <c r="BE694" s="1" t="s">
        <v>5888</v>
      </c>
      <c r="BF694" s="2" t="str">
        <f>HYPERLINK("http://dx.doi.org/10.1090/proc/12790","http://dx.doi.org/10.1090/proc/12790")</f>
        <v>http://dx.doi.org/10.1090/proc/12790</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5889</v>
      </c>
      <c r="BT694" s="1" t="str">
        <f>HYPERLINK("https%3A%2F%2Fwww.webofscience.com%2Fwos%2Fwoscc%2Ffull-record%2FWOS:000369093700034","View Full Record in Web of Science")</f>
        <v>View Full Record in Web of Science</v>
      </c>
    </row>
    <row r="695" ht="12.75" customHeight="1">
      <c r="A695" s="1" t="s">
        <v>72</v>
      </c>
      <c r="B695" s="1" t="s">
        <v>5890</v>
      </c>
      <c r="C695" s="1" t="s">
        <v>74</v>
      </c>
      <c r="D695" s="1" t="s">
        <v>74</v>
      </c>
      <c r="E695" s="1" t="s">
        <v>74</v>
      </c>
      <c r="F695" s="1" t="s">
        <v>5891</v>
      </c>
      <c r="G695" s="1" t="s">
        <v>74</v>
      </c>
      <c r="H695" s="1" t="s">
        <v>74</v>
      </c>
      <c r="I695" s="1" t="s">
        <v>5892</v>
      </c>
      <c r="J695" s="1" t="s">
        <v>574</v>
      </c>
      <c r="K695" s="1" t="s">
        <v>74</v>
      </c>
      <c r="L695" s="1" t="s">
        <v>74</v>
      </c>
      <c r="M695" s="1" t="s">
        <v>74</v>
      </c>
      <c r="N695" s="1" t="s">
        <v>74</v>
      </c>
      <c r="O695" s="1" t="s">
        <v>74</v>
      </c>
      <c r="P695" s="1" t="s">
        <v>74</v>
      </c>
      <c r="Q695" s="1" t="s">
        <v>74</v>
      </c>
      <c r="R695" s="1" t="s">
        <v>74</v>
      </c>
      <c r="S695" s="1" t="s">
        <v>74</v>
      </c>
      <c r="T695" s="1" t="s">
        <v>74</v>
      </c>
      <c r="U695" s="1" t="s">
        <v>74</v>
      </c>
      <c r="V695" s="1" t="s">
        <v>5893</v>
      </c>
      <c r="W695" s="1" t="s">
        <v>74</v>
      </c>
      <c r="X695" s="1" t="s">
        <v>74</v>
      </c>
      <c r="Y695" s="1" t="s">
        <v>74</v>
      </c>
      <c r="Z695" s="1" t="s">
        <v>74</v>
      </c>
      <c r="AA695" s="1" t="s">
        <v>5894</v>
      </c>
      <c r="AB695" s="1" t="s">
        <v>5895</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578</v>
      </c>
      <c r="AP695" s="1" t="s">
        <v>579</v>
      </c>
      <c r="AQ695" s="1" t="s">
        <v>74</v>
      </c>
      <c r="AR695" s="1" t="s">
        <v>74</v>
      </c>
      <c r="AS695" s="1" t="s">
        <v>74</v>
      </c>
      <c r="AT695" s="1" t="s">
        <v>5896</v>
      </c>
      <c r="AU695" s="1">
        <v>2015.0</v>
      </c>
      <c r="AV695" s="1">
        <v>92.0</v>
      </c>
      <c r="AW695" s="1">
        <v>10.0</v>
      </c>
      <c r="AX695" s="1" t="s">
        <v>74</v>
      </c>
      <c r="AY695" s="1" t="s">
        <v>74</v>
      </c>
      <c r="AZ695" s="1" t="s">
        <v>74</v>
      </c>
      <c r="BA695" s="1" t="s">
        <v>74</v>
      </c>
      <c r="BB695" s="1" t="s">
        <v>74</v>
      </c>
      <c r="BC695" s="1" t="s">
        <v>74</v>
      </c>
      <c r="BD695" s="1">
        <v>105009.0</v>
      </c>
      <c r="BE695" s="1" t="s">
        <v>5897</v>
      </c>
      <c r="BF695" s="2" t="str">
        <f>HYPERLINK("http://dx.doi.org/10.1103/PhysRevD.92.105009","http://dx.doi.org/10.1103/PhysRevD.92.105009")</f>
        <v>http://dx.doi.org/10.1103/PhysRevD.92.105009</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5898</v>
      </c>
      <c r="BT695" s="1" t="str">
        <f>HYPERLINK("https%3A%2F%2Fwww.webofscience.com%2Fwos%2Fwoscc%2Ffull-record%2FWOS:000364161600005","View Full Record in Web of Science")</f>
        <v>View Full Record in Web of Science</v>
      </c>
    </row>
    <row r="696" ht="12.75" customHeight="1">
      <c r="A696" s="1" t="s">
        <v>72</v>
      </c>
      <c r="B696" s="1" t="s">
        <v>5899</v>
      </c>
      <c r="C696" s="1" t="s">
        <v>74</v>
      </c>
      <c r="D696" s="1" t="s">
        <v>74</v>
      </c>
      <c r="E696" s="1" t="s">
        <v>74</v>
      </c>
      <c r="F696" s="1" t="s">
        <v>5900</v>
      </c>
      <c r="G696" s="1" t="s">
        <v>74</v>
      </c>
      <c r="H696" s="1" t="s">
        <v>74</v>
      </c>
      <c r="I696" s="1" t="s">
        <v>5901</v>
      </c>
      <c r="J696" s="1" t="s">
        <v>2632</v>
      </c>
      <c r="K696" s="1" t="s">
        <v>74</v>
      </c>
      <c r="L696" s="1" t="s">
        <v>74</v>
      </c>
      <c r="M696" s="1" t="s">
        <v>74</v>
      </c>
      <c r="N696" s="1" t="s">
        <v>74</v>
      </c>
      <c r="O696" s="1" t="s">
        <v>74</v>
      </c>
      <c r="P696" s="1" t="s">
        <v>74</v>
      </c>
      <c r="Q696" s="1" t="s">
        <v>74</v>
      </c>
      <c r="R696" s="1" t="s">
        <v>74</v>
      </c>
      <c r="S696" s="1" t="s">
        <v>74</v>
      </c>
      <c r="T696" s="1" t="s">
        <v>74</v>
      </c>
      <c r="U696" s="1" t="s">
        <v>74</v>
      </c>
      <c r="V696" s="1" t="s">
        <v>5902</v>
      </c>
      <c r="W696" s="1" t="s">
        <v>74</v>
      </c>
      <c r="X696" s="1" t="s">
        <v>74</v>
      </c>
      <c r="Y696" s="1" t="s">
        <v>74</v>
      </c>
      <c r="Z696" s="1" t="s">
        <v>74</v>
      </c>
      <c r="AA696" s="1" t="s">
        <v>5903</v>
      </c>
      <c r="AB696" s="1" t="s">
        <v>5904</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2636</v>
      </c>
      <c r="AP696" s="1" t="s">
        <v>2637</v>
      </c>
      <c r="AQ696" s="1" t="s">
        <v>74</v>
      </c>
      <c r="AR696" s="1" t="s">
        <v>74</v>
      </c>
      <c r="AS696" s="1" t="s">
        <v>74</v>
      </c>
      <c r="AT696" s="1" t="s">
        <v>158</v>
      </c>
      <c r="AU696" s="1">
        <v>2015.0</v>
      </c>
      <c r="AV696" s="1">
        <v>104.0</v>
      </c>
      <c r="AW696" s="1" t="s">
        <v>74</v>
      </c>
      <c r="AX696" s="1" t="s">
        <v>74</v>
      </c>
      <c r="AY696" s="1" t="s">
        <v>74</v>
      </c>
      <c r="AZ696" s="1" t="s">
        <v>74</v>
      </c>
      <c r="BA696" s="1" t="s">
        <v>74</v>
      </c>
      <c r="BB696" s="1">
        <v>76.0</v>
      </c>
      <c r="BC696" s="1">
        <v>84.0</v>
      </c>
      <c r="BD696" s="1" t="s">
        <v>74</v>
      </c>
      <c r="BE696" s="1" t="s">
        <v>5905</v>
      </c>
      <c r="BF696" s="2" t="str">
        <f>HYPERLINK("http://dx.doi.org/10.1016/j.supflu.2015.04.031","http://dx.doi.org/10.1016/j.supflu.2015.04.031")</f>
        <v>http://dx.doi.org/10.1016/j.supflu.2015.04.031</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5906</v>
      </c>
      <c r="BT696" s="1" t="str">
        <f>HYPERLINK("https%3A%2F%2Fwww.webofscience.com%2Fwos%2Fwoscc%2Ffull-record%2FWOS:000361776000010","View Full Record in Web of Science")</f>
        <v>View Full Record in Web of Science</v>
      </c>
    </row>
    <row r="697" ht="12.75" customHeight="1">
      <c r="A697" s="1" t="s">
        <v>72</v>
      </c>
      <c r="B697" s="1" t="s">
        <v>5907</v>
      </c>
      <c r="C697" s="1" t="s">
        <v>74</v>
      </c>
      <c r="D697" s="1" t="s">
        <v>74</v>
      </c>
      <c r="E697" s="1" t="s">
        <v>74</v>
      </c>
      <c r="F697" s="1" t="s">
        <v>5908</v>
      </c>
      <c r="G697" s="1" t="s">
        <v>74</v>
      </c>
      <c r="H697" s="1" t="s">
        <v>74</v>
      </c>
      <c r="I697" s="1" t="s">
        <v>5909</v>
      </c>
      <c r="J697" s="1" t="s">
        <v>656</v>
      </c>
      <c r="K697" s="1" t="s">
        <v>74</v>
      </c>
      <c r="L697" s="1" t="s">
        <v>74</v>
      </c>
      <c r="M697" s="1" t="s">
        <v>74</v>
      </c>
      <c r="N697" s="1" t="s">
        <v>74</v>
      </c>
      <c r="O697" s="1" t="s">
        <v>74</v>
      </c>
      <c r="P697" s="1" t="s">
        <v>74</v>
      </c>
      <c r="Q697" s="1" t="s">
        <v>74</v>
      </c>
      <c r="R697" s="1" t="s">
        <v>74</v>
      </c>
      <c r="S697" s="1" t="s">
        <v>74</v>
      </c>
      <c r="T697" s="1" t="s">
        <v>74</v>
      </c>
      <c r="U697" s="1" t="s">
        <v>74</v>
      </c>
      <c r="V697" s="1" t="s">
        <v>74</v>
      </c>
      <c r="W697" s="1" t="s">
        <v>74</v>
      </c>
      <c r="X697" s="1" t="s">
        <v>74</v>
      </c>
      <c r="Y697" s="1" t="s">
        <v>74</v>
      </c>
      <c r="Z697" s="1" t="s">
        <v>74</v>
      </c>
      <c r="AA697" s="1" t="s">
        <v>74</v>
      </c>
      <c r="AB697" s="1" t="s">
        <v>74</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657</v>
      </c>
      <c r="AP697" s="1" t="s">
        <v>74</v>
      </c>
      <c r="AQ697" s="1" t="s">
        <v>74</v>
      </c>
      <c r="AR697" s="1" t="s">
        <v>74</v>
      </c>
      <c r="AS697" s="1" t="s">
        <v>74</v>
      </c>
      <c r="AT697" s="1" t="s">
        <v>3865</v>
      </c>
      <c r="AU697" s="1">
        <v>2015.0</v>
      </c>
      <c r="AV697" s="1">
        <v>250.0</v>
      </c>
      <c r="AW697" s="1" t="s">
        <v>74</v>
      </c>
      <c r="AX697" s="1" t="s">
        <v>74</v>
      </c>
      <c r="AY697" s="1" t="s">
        <v>74</v>
      </c>
      <c r="AZ697" s="1" t="s">
        <v>74</v>
      </c>
      <c r="BA697" s="1">
        <v>452.0</v>
      </c>
      <c r="BB697" s="1" t="s">
        <v>74</v>
      </c>
      <c r="BC697" s="1" t="s">
        <v>74</v>
      </c>
      <c r="BD697" s="1" t="s">
        <v>74</v>
      </c>
      <c r="BE697" s="1" t="s">
        <v>74</v>
      </c>
      <c r="BF697" s="1" t="s">
        <v>74</v>
      </c>
      <c r="BG697" s="1" t="s">
        <v>74</v>
      </c>
      <c r="BH697" s="1" t="s">
        <v>74</v>
      </c>
      <c r="BI697" s="1" t="s">
        <v>74</v>
      </c>
      <c r="BJ697" s="1" t="s">
        <v>74</v>
      </c>
      <c r="BK697" s="1" t="s">
        <v>74</v>
      </c>
      <c r="BL697" s="1" t="s">
        <v>74</v>
      </c>
      <c r="BM697" s="1" t="s">
        <v>74</v>
      </c>
      <c r="BN697" s="1" t="s">
        <v>74</v>
      </c>
      <c r="BO697" s="1" t="s">
        <v>74</v>
      </c>
      <c r="BP697" s="1" t="s">
        <v>74</v>
      </c>
      <c r="BQ697" s="1" t="s">
        <v>74</v>
      </c>
      <c r="BR697" s="1" t="s">
        <v>74</v>
      </c>
      <c r="BS697" s="1" t="s">
        <v>5910</v>
      </c>
      <c r="BT697" s="1" t="str">
        <f>HYPERLINK("https%3A%2F%2Fwww.webofscience.com%2Fwos%2Fwoscc%2Ffull-record%2FWOS:000432475505078","View Full Record in Web of Science")</f>
        <v>View Full Record in Web of Science</v>
      </c>
    </row>
    <row r="698" ht="12.75" customHeight="1">
      <c r="A698" s="1" t="s">
        <v>72</v>
      </c>
      <c r="B698" s="1" t="s">
        <v>5911</v>
      </c>
      <c r="C698" s="1" t="s">
        <v>74</v>
      </c>
      <c r="D698" s="1" t="s">
        <v>74</v>
      </c>
      <c r="E698" s="1" t="s">
        <v>74</v>
      </c>
      <c r="F698" s="1" t="s">
        <v>5912</v>
      </c>
      <c r="G698" s="1" t="s">
        <v>74</v>
      </c>
      <c r="H698" s="1" t="s">
        <v>74</v>
      </c>
      <c r="I698" s="1" t="s">
        <v>5913</v>
      </c>
      <c r="J698" s="1" t="s">
        <v>3947</v>
      </c>
      <c r="K698" s="1" t="s">
        <v>74</v>
      </c>
      <c r="L698" s="1" t="s">
        <v>74</v>
      </c>
      <c r="M698" s="1" t="s">
        <v>74</v>
      </c>
      <c r="N698" s="1" t="s">
        <v>74</v>
      </c>
      <c r="O698" s="1" t="s">
        <v>74</v>
      </c>
      <c r="P698" s="1" t="s">
        <v>74</v>
      </c>
      <c r="Q698" s="1" t="s">
        <v>74</v>
      </c>
      <c r="R698" s="1" t="s">
        <v>74</v>
      </c>
      <c r="S698" s="1" t="s">
        <v>74</v>
      </c>
      <c r="T698" s="1" t="s">
        <v>74</v>
      </c>
      <c r="U698" s="1" t="s">
        <v>74</v>
      </c>
      <c r="V698" s="1" t="s">
        <v>5914</v>
      </c>
      <c r="W698" s="1" t="s">
        <v>74</v>
      </c>
      <c r="X698" s="1" t="s">
        <v>74</v>
      </c>
      <c r="Y698" s="1" t="s">
        <v>74</v>
      </c>
      <c r="Z698" s="1" t="s">
        <v>74</v>
      </c>
      <c r="AA698" s="1" t="s">
        <v>5915</v>
      </c>
      <c r="AB698" s="1" t="s">
        <v>5916</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3950</v>
      </c>
      <c r="AP698" s="1" t="s">
        <v>3951</v>
      </c>
      <c r="AQ698" s="1" t="s">
        <v>74</v>
      </c>
      <c r="AR698" s="1" t="s">
        <v>74</v>
      </c>
      <c r="AS698" s="1" t="s">
        <v>74</v>
      </c>
      <c r="AT698" s="1" t="s">
        <v>974</v>
      </c>
      <c r="AU698" s="1">
        <v>2015.0</v>
      </c>
      <c r="AV698" s="1">
        <v>21.0</v>
      </c>
      <c r="AW698" s="1">
        <v>8.0</v>
      </c>
      <c r="AX698" s="1" t="s">
        <v>74</v>
      </c>
      <c r="AY698" s="1" t="s">
        <v>74</v>
      </c>
      <c r="AZ698" s="1" t="s">
        <v>74</v>
      </c>
      <c r="BA698" s="1" t="s">
        <v>74</v>
      </c>
      <c r="BB698" s="1" t="s">
        <v>74</v>
      </c>
      <c r="BC698" s="1" t="s">
        <v>74</v>
      </c>
      <c r="BD698" s="1">
        <v>212.0</v>
      </c>
      <c r="BE698" s="1" t="s">
        <v>5917</v>
      </c>
      <c r="BF698" s="2" t="str">
        <f>HYPERLINK("http://dx.doi.org/10.1007/s00894-015-2769-z","http://dx.doi.org/10.1007/s00894-015-2769-z")</f>
        <v>http://dx.doi.org/10.1007/s00894-015-2769-z</v>
      </c>
      <c r="BG698" s="1" t="s">
        <v>74</v>
      </c>
      <c r="BH698" s="1" t="s">
        <v>74</v>
      </c>
      <c r="BI698" s="1" t="s">
        <v>74</v>
      </c>
      <c r="BJ698" s="1" t="s">
        <v>74</v>
      </c>
      <c r="BK698" s="1" t="s">
        <v>74</v>
      </c>
      <c r="BL698" s="1" t="s">
        <v>74</v>
      </c>
      <c r="BM698" s="1" t="s">
        <v>74</v>
      </c>
      <c r="BN698" s="1">
        <v>2.6224604E7</v>
      </c>
      <c r="BO698" s="1" t="s">
        <v>74</v>
      </c>
      <c r="BP698" s="1" t="s">
        <v>74</v>
      </c>
      <c r="BQ698" s="1" t="s">
        <v>74</v>
      </c>
      <c r="BR698" s="1" t="s">
        <v>74</v>
      </c>
      <c r="BS698" s="1" t="s">
        <v>5918</v>
      </c>
      <c r="BT698" s="1" t="str">
        <f>HYPERLINK("https%3A%2F%2Fwww.webofscience.com%2Fwos%2Fwoscc%2Ffull-record%2FWOS:000359539700001","View Full Record in Web of Science")</f>
        <v>View Full Record in Web of Science</v>
      </c>
    </row>
    <row r="699" ht="12.75" customHeight="1">
      <c r="A699" s="1" t="s">
        <v>72</v>
      </c>
      <c r="B699" s="1" t="s">
        <v>5919</v>
      </c>
      <c r="C699" s="1" t="s">
        <v>74</v>
      </c>
      <c r="D699" s="1" t="s">
        <v>74</v>
      </c>
      <c r="E699" s="1" t="s">
        <v>74</v>
      </c>
      <c r="F699" s="1" t="s">
        <v>5920</v>
      </c>
      <c r="G699" s="1" t="s">
        <v>74</v>
      </c>
      <c r="H699" s="1" t="s">
        <v>74</v>
      </c>
      <c r="I699" s="1" t="s">
        <v>5921</v>
      </c>
      <c r="J699" s="1" t="s">
        <v>5922</v>
      </c>
      <c r="K699" s="1" t="s">
        <v>74</v>
      </c>
      <c r="L699" s="1" t="s">
        <v>74</v>
      </c>
      <c r="M699" s="1" t="s">
        <v>74</v>
      </c>
      <c r="N699" s="1" t="s">
        <v>74</v>
      </c>
      <c r="O699" s="1" t="s">
        <v>74</v>
      </c>
      <c r="P699" s="1" t="s">
        <v>74</v>
      </c>
      <c r="Q699" s="1" t="s">
        <v>74</v>
      </c>
      <c r="R699" s="1" t="s">
        <v>74</v>
      </c>
      <c r="S699" s="1" t="s">
        <v>74</v>
      </c>
      <c r="T699" s="1" t="s">
        <v>74</v>
      </c>
      <c r="U699" s="1" t="s">
        <v>74</v>
      </c>
      <c r="V699" s="1" t="s">
        <v>5923</v>
      </c>
      <c r="W699" s="1" t="s">
        <v>74</v>
      </c>
      <c r="X699" s="1" t="s">
        <v>74</v>
      </c>
      <c r="Y699" s="1" t="s">
        <v>74</v>
      </c>
      <c r="Z699" s="1" t="s">
        <v>74</v>
      </c>
      <c r="AA699" s="1" t="s">
        <v>5924</v>
      </c>
      <c r="AB699" s="1" t="s">
        <v>5925</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5926</v>
      </c>
      <c r="AP699" s="1" t="s">
        <v>5927</v>
      </c>
      <c r="AQ699" s="1" t="s">
        <v>74</v>
      </c>
      <c r="AR699" s="1" t="s">
        <v>74</v>
      </c>
      <c r="AS699" s="1" t="s">
        <v>74</v>
      </c>
      <c r="AT699" s="1" t="s">
        <v>224</v>
      </c>
      <c r="AU699" s="1">
        <v>2015.0</v>
      </c>
      <c r="AV699" s="1">
        <v>50.0</v>
      </c>
      <c r="AW699" s="1">
        <v>10.0</v>
      </c>
      <c r="AX699" s="1" t="s">
        <v>74</v>
      </c>
      <c r="AY699" s="1" t="s">
        <v>74</v>
      </c>
      <c r="AZ699" s="1" t="s">
        <v>74</v>
      </c>
      <c r="BA699" s="1" t="s">
        <v>74</v>
      </c>
      <c r="BB699" s="1">
        <v>3772.0</v>
      </c>
      <c r="BC699" s="1">
        <v>3780.0</v>
      </c>
      <c r="BD699" s="1" t="s">
        <v>74</v>
      </c>
      <c r="BE699" s="1" t="s">
        <v>5928</v>
      </c>
      <c r="BF699" s="2" t="str">
        <f>HYPERLINK("http://dx.doi.org/10.1007/s10853-015-8942-z","http://dx.doi.org/10.1007/s10853-015-8942-z")</f>
        <v>http://dx.doi.org/10.1007/s10853-015-8942-z</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5929</v>
      </c>
      <c r="BT699" s="1" t="str">
        <f>HYPERLINK("https%3A%2F%2Fwww.webofscience.com%2Fwos%2Fwoscc%2Ffull-record%2FWOS:000351293700024","View Full Record in Web of Science")</f>
        <v>View Full Record in Web of Science</v>
      </c>
    </row>
    <row r="700" ht="12.75" customHeight="1">
      <c r="A700" s="1" t="s">
        <v>126</v>
      </c>
      <c r="B700" s="1" t="s">
        <v>5930</v>
      </c>
      <c r="C700" s="1" t="s">
        <v>74</v>
      </c>
      <c r="D700" s="1" t="s">
        <v>1372</v>
      </c>
      <c r="E700" s="1" t="s">
        <v>74</v>
      </c>
      <c r="F700" s="1" t="s">
        <v>5931</v>
      </c>
      <c r="G700" s="1" t="s">
        <v>74</v>
      </c>
      <c r="H700" s="1" t="s">
        <v>74</v>
      </c>
      <c r="I700" s="1" t="s">
        <v>5932</v>
      </c>
      <c r="J700" s="1" t="s">
        <v>1375</v>
      </c>
      <c r="K700" s="1" t="s">
        <v>1376</v>
      </c>
      <c r="L700" s="1" t="s">
        <v>74</v>
      </c>
      <c r="M700" s="1" t="s">
        <v>74</v>
      </c>
      <c r="N700" s="1" t="s">
        <v>74</v>
      </c>
      <c r="O700" s="1" t="s">
        <v>1377</v>
      </c>
      <c r="P700" s="1" t="s">
        <v>1378</v>
      </c>
      <c r="Q700" s="1" t="s">
        <v>1379</v>
      </c>
      <c r="R700" s="1" t="s">
        <v>1380</v>
      </c>
      <c r="S700" s="1" t="s">
        <v>74</v>
      </c>
      <c r="T700" s="1" t="s">
        <v>74</v>
      </c>
      <c r="U700" s="1" t="s">
        <v>74</v>
      </c>
      <c r="V700" s="1" t="s">
        <v>5933</v>
      </c>
      <c r="W700" s="1" t="s">
        <v>74</v>
      </c>
      <c r="X700" s="1" t="s">
        <v>74</v>
      </c>
      <c r="Y700" s="1" t="s">
        <v>74</v>
      </c>
      <c r="Z700" s="1" t="s">
        <v>74</v>
      </c>
      <c r="AA700" s="1" t="s">
        <v>5934</v>
      </c>
      <c r="AB700" s="1" t="s">
        <v>5935</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1384</v>
      </c>
      <c r="AP700" s="1" t="s">
        <v>74</v>
      </c>
      <c r="AQ700" s="1" t="s">
        <v>74</v>
      </c>
      <c r="AR700" s="1" t="s">
        <v>74</v>
      </c>
      <c r="AS700" s="1" t="s">
        <v>74</v>
      </c>
      <c r="AT700" s="1" t="s">
        <v>74</v>
      </c>
      <c r="AU700" s="1">
        <v>2015.0</v>
      </c>
      <c r="AV700" s="1">
        <v>55.0</v>
      </c>
      <c r="AW700" s="1" t="s">
        <v>74</v>
      </c>
      <c r="AX700" s="1" t="s">
        <v>74</v>
      </c>
      <c r="AY700" s="1" t="s">
        <v>74</v>
      </c>
      <c r="AZ700" s="1" t="s">
        <v>74</v>
      </c>
      <c r="BA700" s="1" t="s">
        <v>74</v>
      </c>
      <c r="BB700" s="1">
        <v>18.0</v>
      </c>
      <c r="BC700" s="1">
        <v>27.0</v>
      </c>
      <c r="BD700" s="1" t="s">
        <v>74</v>
      </c>
      <c r="BE700" s="1" t="s">
        <v>5936</v>
      </c>
      <c r="BF700" s="2" t="str">
        <f>HYPERLINK("http://dx.doi.org/10.1016/j.procs.2015.07.003","http://dx.doi.org/10.1016/j.procs.2015.07.003")</f>
        <v>http://dx.doi.org/10.1016/j.procs.2015.07.003</v>
      </c>
      <c r="BG700" s="1" t="s">
        <v>74</v>
      </c>
      <c r="BH700" s="1" t="s">
        <v>74</v>
      </c>
      <c r="BI700" s="1" t="s">
        <v>74</v>
      </c>
      <c r="BJ700" s="1" t="s">
        <v>74</v>
      </c>
      <c r="BK700" s="1" t="s">
        <v>74</v>
      </c>
      <c r="BL700" s="1" t="s">
        <v>74</v>
      </c>
      <c r="BM700" s="1" t="s">
        <v>74</v>
      </c>
      <c r="BN700" s="1" t="s">
        <v>74</v>
      </c>
      <c r="BO700" s="1" t="s">
        <v>74</v>
      </c>
      <c r="BP700" s="1" t="s">
        <v>74</v>
      </c>
      <c r="BQ700" s="1" t="s">
        <v>74</v>
      </c>
      <c r="BR700" s="1" t="s">
        <v>74</v>
      </c>
      <c r="BS700" s="1" t="s">
        <v>5937</v>
      </c>
      <c r="BT700" s="1" t="str">
        <f>HYPERLINK("https%3A%2F%2Fwww.webofscience.com%2Fwos%2Fwoscc%2Ffull-record%2FWOS:000360101400002","View Full Record in Web of Science")</f>
        <v>View Full Record in Web of Science</v>
      </c>
    </row>
    <row r="701" ht="12.75" customHeight="1">
      <c r="A701" s="1" t="s">
        <v>126</v>
      </c>
      <c r="B701" s="1" t="s">
        <v>5938</v>
      </c>
      <c r="C701" s="1" t="s">
        <v>74</v>
      </c>
      <c r="D701" s="1" t="s">
        <v>5939</v>
      </c>
      <c r="E701" s="1" t="s">
        <v>74</v>
      </c>
      <c r="F701" s="1" t="s">
        <v>5940</v>
      </c>
      <c r="G701" s="1" t="s">
        <v>74</v>
      </c>
      <c r="H701" s="1" t="s">
        <v>74</v>
      </c>
      <c r="I701" s="1" t="s">
        <v>5941</v>
      </c>
      <c r="J701" s="1" t="s">
        <v>5942</v>
      </c>
      <c r="K701" s="1" t="s">
        <v>74</v>
      </c>
      <c r="L701" s="1" t="s">
        <v>74</v>
      </c>
      <c r="M701" s="1" t="s">
        <v>74</v>
      </c>
      <c r="N701" s="1" t="s">
        <v>74</v>
      </c>
      <c r="O701" s="1" t="s">
        <v>5943</v>
      </c>
      <c r="P701" s="1" t="s">
        <v>5944</v>
      </c>
      <c r="Q701" s="1" t="s">
        <v>5945</v>
      </c>
      <c r="R701" s="1" t="s">
        <v>5946</v>
      </c>
      <c r="S701" s="1" t="s">
        <v>5947</v>
      </c>
      <c r="T701" s="1" t="s">
        <v>74</v>
      </c>
      <c r="U701" s="1" t="s">
        <v>74</v>
      </c>
      <c r="V701" s="1" t="s">
        <v>5948</v>
      </c>
      <c r="W701" s="1" t="s">
        <v>74</v>
      </c>
      <c r="X701" s="1" t="s">
        <v>74</v>
      </c>
      <c r="Y701" s="1" t="s">
        <v>74</v>
      </c>
      <c r="Z701" s="1" t="s">
        <v>74</v>
      </c>
      <c r="AA701" s="1" t="s">
        <v>74</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74</v>
      </c>
      <c r="AP701" s="1" t="s">
        <v>74</v>
      </c>
      <c r="AQ701" s="1" t="s">
        <v>5949</v>
      </c>
      <c r="AR701" s="1" t="s">
        <v>74</v>
      </c>
      <c r="AS701" s="1" t="s">
        <v>74</v>
      </c>
      <c r="AT701" s="1" t="s">
        <v>74</v>
      </c>
      <c r="AU701" s="1">
        <v>2015.0</v>
      </c>
      <c r="AV701" s="1" t="s">
        <v>74</v>
      </c>
      <c r="AW701" s="1" t="s">
        <v>74</v>
      </c>
      <c r="AX701" s="1" t="s">
        <v>74</v>
      </c>
      <c r="AY701" s="1" t="s">
        <v>74</v>
      </c>
      <c r="AZ701" s="1" t="s">
        <v>74</v>
      </c>
      <c r="BA701" s="1" t="s">
        <v>74</v>
      </c>
      <c r="BB701" s="1">
        <v>61.0</v>
      </c>
      <c r="BC701" s="1">
        <v>65.0</v>
      </c>
      <c r="BD701" s="1" t="s">
        <v>74</v>
      </c>
      <c r="BE701" s="1" t="s">
        <v>5950</v>
      </c>
      <c r="BF701" s="2" t="str">
        <f>HYPERLINK("http://dx.doi.org/10.4995/HEAd15.2015.438","http://dx.doi.org/10.4995/HEAd15.2015.438")</f>
        <v>http://dx.doi.org/10.4995/HEAd15.2015.438</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5951</v>
      </c>
      <c r="BT701" s="1" t="str">
        <f>HYPERLINK("https%3A%2F%2Fwww.webofscience.com%2Fwos%2Fwoscc%2Ffull-record%2FWOS:000436232300009","View Full Record in Web of Science")</f>
        <v>View Full Record in Web of Science</v>
      </c>
    </row>
    <row r="702" ht="12.75" customHeight="1">
      <c r="A702" s="1" t="s">
        <v>72</v>
      </c>
      <c r="B702" s="1" t="s">
        <v>5952</v>
      </c>
      <c r="C702" s="1" t="s">
        <v>74</v>
      </c>
      <c r="D702" s="1" t="s">
        <v>74</v>
      </c>
      <c r="E702" s="1" t="s">
        <v>74</v>
      </c>
      <c r="F702" s="1" t="s">
        <v>5953</v>
      </c>
      <c r="G702" s="1" t="s">
        <v>74</v>
      </c>
      <c r="H702" s="1" t="s">
        <v>74</v>
      </c>
      <c r="I702" s="1" t="s">
        <v>5954</v>
      </c>
      <c r="J702" s="1" t="s">
        <v>5955</v>
      </c>
      <c r="K702" s="1" t="s">
        <v>74</v>
      </c>
      <c r="L702" s="1" t="s">
        <v>74</v>
      </c>
      <c r="M702" s="1" t="s">
        <v>74</v>
      </c>
      <c r="N702" s="1" t="s">
        <v>74</v>
      </c>
      <c r="O702" s="1" t="s">
        <v>5956</v>
      </c>
      <c r="P702" s="1" t="s">
        <v>5957</v>
      </c>
      <c r="Q702" s="1" t="s">
        <v>5958</v>
      </c>
      <c r="R702" s="1" t="s">
        <v>74</v>
      </c>
      <c r="S702" s="1" t="s">
        <v>74</v>
      </c>
      <c r="T702" s="1" t="s">
        <v>74</v>
      </c>
      <c r="U702" s="1" t="s">
        <v>74</v>
      </c>
      <c r="V702" s="1" t="s">
        <v>5959</v>
      </c>
      <c r="W702" s="1" t="s">
        <v>74</v>
      </c>
      <c r="X702" s="1" t="s">
        <v>74</v>
      </c>
      <c r="Y702" s="1" t="s">
        <v>74</v>
      </c>
      <c r="Z702" s="1" t="s">
        <v>74</v>
      </c>
      <c r="AA702" s="1" t="s">
        <v>5960</v>
      </c>
      <c r="AB702" s="1" t="s">
        <v>5961</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5962</v>
      </c>
      <c r="AP702" s="1" t="s">
        <v>5963</v>
      </c>
      <c r="AQ702" s="1" t="s">
        <v>74</v>
      </c>
      <c r="AR702" s="1" t="s">
        <v>74</v>
      </c>
      <c r="AS702" s="1" t="s">
        <v>74</v>
      </c>
      <c r="AT702" s="1" t="s">
        <v>82</v>
      </c>
      <c r="AU702" s="1">
        <v>2014.0</v>
      </c>
      <c r="AV702" s="1">
        <v>44.0</v>
      </c>
      <c r="AW702" s="1">
        <v>12.0</v>
      </c>
      <c r="AX702" s="1" t="s">
        <v>74</v>
      </c>
      <c r="AY702" s="1" t="s">
        <v>74</v>
      </c>
      <c r="AZ702" s="1" t="s">
        <v>159</v>
      </c>
      <c r="BA702" s="1" t="s">
        <v>74</v>
      </c>
      <c r="BB702" s="1">
        <v>1345.0</v>
      </c>
      <c r="BC702" s="1">
        <v>1353.0</v>
      </c>
      <c r="BD702" s="1" t="s">
        <v>74</v>
      </c>
      <c r="BE702" s="1" t="s">
        <v>5964</v>
      </c>
      <c r="BF702" s="2" t="str">
        <f>HYPERLINK("http://dx.doi.org/10.1007/s10800-014-0741-8","http://dx.doi.org/10.1007/s10800-014-0741-8")</f>
        <v>http://dx.doi.org/10.1007/s10800-014-0741-8</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5965</v>
      </c>
      <c r="BT702" s="1" t="str">
        <f>HYPERLINK("https%3A%2F%2Fwww.webofscience.com%2Fwos%2Fwoscc%2Ffull-record%2FWOS:000344778900012","View Full Record in Web of Science")</f>
        <v>View Full Record in Web of Science</v>
      </c>
    </row>
    <row r="703" ht="12.75" customHeight="1">
      <c r="A703" s="1" t="s">
        <v>72</v>
      </c>
      <c r="B703" s="1" t="s">
        <v>5966</v>
      </c>
      <c r="C703" s="1" t="s">
        <v>74</v>
      </c>
      <c r="D703" s="1" t="s">
        <v>74</v>
      </c>
      <c r="E703" s="1" t="s">
        <v>74</v>
      </c>
      <c r="F703" s="1" t="s">
        <v>5967</v>
      </c>
      <c r="G703" s="1" t="s">
        <v>74</v>
      </c>
      <c r="H703" s="1" t="s">
        <v>74</v>
      </c>
      <c r="I703" s="1" t="s">
        <v>5968</v>
      </c>
      <c r="J703" s="1" t="s">
        <v>314</v>
      </c>
      <c r="K703" s="1" t="s">
        <v>74</v>
      </c>
      <c r="L703" s="1" t="s">
        <v>74</v>
      </c>
      <c r="M703" s="1" t="s">
        <v>74</v>
      </c>
      <c r="N703" s="1" t="s">
        <v>74</v>
      </c>
      <c r="O703" s="1" t="s">
        <v>74</v>
      </c>
      <c r="P703" s="1" t="s">
        <v>74</v>
      </c>
      <c r="Q703" s="1" t="s">
        <v>74</v>
      </c>
      <c r="R703" s="1" t="s">
        <v>74</v>
      </c>
      <c r="S703" s="1" t="s">
        <v>74</v>
      </c>
      <c r="T703" s="1" t="s">
        <v>74</v>
      </c>
      <c r="U703" s="1" t="s">
        <v>74</v>
      </c>
      <c r="V703" s="1" t="s">
        <v>5969</v>
      </c>
      <c r="W703" s="1" t="s">
        <v>74</v>
      </c>
      <c r="X703" s="1" t="s">
        <v>74</v>
      </c>
      <c r="Y703" s="1" t="s">
        <v>74</v>
      </c>
      <c r="Z703" s="1" t="s">
        <v>74</v>
      </c>
      <c r="AA703" s="1" t="s">
        <v>5970</v>
      </c>
      <c r="AB703" s="1" t="s">
        <v>5971</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316</v>
      </c>
      <c r="AP703" s="1" t="s">
        <v>74</v>
      </c>
      <c r="AQ703" s="1" t="s">
        <v>74</v>
      </c>
      <c r="AR703" s="1" t="s">
        <v>74</v>
      </c>
      <c r="AS703" s="1" t="s">
        <v>74</v>
      </c>
      <c r="AT703" s="1" t="s">
        <v>82</v>
      </c>
      <c r="AU703" s="1">
        <v>2014.0</v>
      </c>
      <c r="AV703" s="1">
        <v>12.0</v>
      </c>
      <c r="AW703" s="1">
        <v>8.0</v>
      </c>
      <c r="AX703" s="1" t="s">
        <v>74</v>
      </c>
      <c r="AY703" s="1" t="s">
        <v>74</v>
      </c>
      <c r="AZ703" s="1" t="s">
        <v>74</v>
      </c>
      <c r="BA703" s="1" t="s">
        <v>74</v>
      </c>
      <c r="BB703" s="1">
        <v>1365.0</v>
      </c>
      <c r="BC703" s="1">
        <v>1374.0</v>
      </c>
      <c r="BD703" s="1" t="s">
        <v>74</v>
      </c>
      <c r="BE703" s="1" t="s">
        <v>5972</v>
      </c>
      <c r="BF703" s="2" t="str">
        <f>HYPERLINK("http://dx.doi.org/10.1109/TLA.2014.7014502","http://dx.doi.org/10.1109/TLA.2014.7014502")</f>
        <v>http://dx.doi.org/10.1109/TLA.2014.7014502</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5973</v>
      </c>
      <c r="BT703" s="1" t="str">
        <f>HYPERLINK("https%3A%2F%2Fwww.webofscience.com%2Fwos%2Fwoscc%2Ffull-record%2FWOS:000348457900005","View Full Record in Web of Science")</f>
        <v>View Full Record in Web of Science</v>
      </c>
    </row>
    <row r="704" ht="12.75" customHeight="1">
      <c r="A704" s="1" t="s">
        <v>72</v>
      </c>
      <c r="B704" s="1" t="s">
        <v>5974</v>
      </c>
      <c r="C704" s="1" t="s">
        <v>74</v>
      </c>
      <c r="D704" s="1" t="s">
        <v>74</v>
      </c>
      <c r="E704" s="1" t="s">
        <v>74</v>
      </c>
      <c r="F704" s="1" t="s">
        <v>5975</v>
      </c>
      <c r="G704" s="1" t="s">
        <v>74</v>
      </c>
      <c r="H704" s="1" t="s">
        <v>74</v>
      </c>
      <c r="I704" s="1" t="s">
        <v>5976</v>
      </c>
      <c r="J704" s="1" t="s">
        <v>341</v>
      </c>
      <c r="K704" s="1" t="s">
        <v>74</v>
      </c>
      <c r="L704" s="1" t="s">
        <v>74</v>
      </c>
      <c r="M704" s="1" t="s">
        <v>74</v>
      </c>
      <c r="N704" s="1" t="s">
        <v>74</v>
      </c>
      <c r="O704" s="1" t="s">
        <v>74</v>
      </c>
      <c r="P704" s="1" t="s">
        <v>74</v>
      </c>
      <c r="Q704" s="1" t="s">
        <v>74</v>
      </c>
      <c r="R704" s="1" t="s">
        <v>74</v>
      </c>
      <c r="S704" s="1" t="s">
        <v>74</v>
      </c>
      <c r="T704" s="1" t="s">
        <v>74</v>
      </c>
      <c r="U704" s="1" t="s">
        <v>74</v>
      </c>
      <c r="V704" s="1" t="s">
        <v>5977</v>
      </c>
      <c r="W704" s="1" t="s">
        <v>74</v>
      </c>
      <c r="X704" s="1" t="s">
        <v>74</v>
      </c>
      <c r="Y704" s="1" t="s">
        <v>74</v>
      </c>
      <c r="Z704" s="1" t="s">
        <v>74</v>
      </c>
      <c r="AA704" s="1" t="s">
        <v>5978</v>
      </c>
      <c r="AB704" s="1" t="s">
        <v>5979</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345</v>
      </c>
      <c r="AP704" s="1" t="s">
        <v>74</v>
      </c>
      <c r="AQ704" s="1" t="s">
        <v>74</v>
      </c>
      <c r="AR704" s="1" t="s">
        <v>74</v>
      </c>
      <c r="AS704" s="1" t="s">
        <v>74</v>
      </c>
      <c r="AT704" s="1" t="s">
        <v>2819</v>
      </c>
      <c r="AU704" s="1">
        <v>2014.0</v>
      </c>
      <c r="AV704" s="1">
        <v>41.0</v>
      </c>
      <c r="AW704" s="1">
        <v>2.0</v>
      </c>
      <c r="AX704" s="1" t="s">
        <v>74</v>
      </c>
      <c r="AY704" s="1" t="s">
        <v>74</v>
      </c>
      <c r="AZ704" s="1" t="s">
        <v>74</v>
      </c>
      <c r="BA704" s="1" t="s">
        <v>74</v>
      </c>
      <c r="BB704" s="1">
        <v>141.0</v>
      </c>
      <c r="BC704" s="1">
        <v>151.0</v>
      </c>
      <c r="BD704" s="1" t="s">
        <v>74</v>
      </c>
      <c r="BE704" s="1" t="s">
        <v>5980</v>
      </c>
      <c r="BF704" s="2" t="str">
        <f>HYPERLINK("http://dx.doi.org/10.4067/S0718-16202014000200001","http://dx.doi.org/10.4067/S0718-16202014000200001")</f>
        <v>http://dx.doi.org/10.4067/S0718-16202014000200001</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5981</v>
      </c>
      <c r="BT704" s="1" t="str">
        <f>HYPERLINK("https%3A%2F%2Fwww.webofscience.com%2Fwos%2Fwoscc%2Ffull-record%2FWOS:000342883500001","View Full Record in Web of Science")</f>
        <v>View Full Record in Web of Science</v>
      </c>
    </row>
    <row r="705" ht="12.75" customHeight="1">
      <c r="A705" s="1" t="s">
        <v>72</v>
      </c>
      <c r="B705" s="1" t="s">
        <v>5982</v>
      </c>
      <c r="C705" s="1" t="s">
        <v>74</v>
      </c>
      <c r="D705" s="1" t="s">
        <v>74</v>
      </c>
      <c r="E705" s="1" t="s">
        <v>74</v>
      </c>
      <c r="F705" s="1" t="s">
        <v>5983</v>
      </c>
      <c r="G705" s="1" t="s">
        <v>74</v>
      </c>
      <c r="H705" s="1" t="s">
        <v>74</v>
      </c>
      <c r="I705" s="1" t="s">
        <v>5984</v>
      </c>
      <c r="J705" s="1" t="s">
        <v>5985</v>
      </c>
      <c r="K705" s="1" t="s">
        <v>74</v>
      </c>
      <c r="L705" s="1" t="s">
        <v>74</v>
      </c>
      <c r="M705" s="1" t="s">
        <v>74</v>
      </c>
      <c r="N705" s="1" t="s">
        <v>74</v>
      </c>
      <c r="O705" s="1" t="s">
        <v>74</v>
      </c>
      <c r="P705" s="1" t="s">
        <v>74</v>
      </c>
      <c r="Q705" s="1" t="s">
        <v>74</v>
      </c>
      <c r="R705" s="1" t="s">
        <v>74</v>
      </c>
      <c r="S705" s="1" t="s">
        <v>74</v>
      </c>
      <c r="T705" s="1" t="s">
        <v>74</v>
      </c>
      <c r="U705" s="1" t="s">
        <v>74</v>
      </c>
      <c r="V705" s="1" t="s">
        <v>5986</v>
      </c>
      <c r="W705" s="1" t="s">
        <v>74</v>
      </c>
      <c r="X705" s="1" t="s">
        <v>74</v>
      </c>
      <c r="Y705" s="1" t="s">
        <v>74</v>
      </c>
      <c r="Z705" s="1" t="s">
        <v>74</v>
      </c>
      <c r="AA705" s="1" t="s">
        <v>74</v>
      </c>
      <c r="AB705" s="1" t="s">
        <v>74</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5987</v>
      </c>
      <c r="AP705" s="1" t="s">
        <v>5988</v>
      </c>
      <c r="AQ705" s="1" t="s">
        <v>74</v>
      </c>
      <c r="AR705" s="1" t="s">
        <v>74</v>
      </c>
      <c r="AS705" s="1" t="s">
        <v>74</v>
      </c>
      <c r="AT705" s="1" t="s">
        <v>74</v>
      </c>
      <c r="AU705" s="1">
        <v>2014.0</v>
      </c>
      <c r="AV705" s="1">
        <v>62.0</v>
      </c>
      <c r="AW705" s="1">
        <v>8.0</v>
      </c>
      <c r="AX705" s="1" t="s">
        <v>74</v>
      </c>
      <c r="AY705" s="1" t="s">
        <v>74</v>
      </c>
      <c r="AZ705" s="1" t="s">
        <v>74</v>
      </c>
      <c r="BA705" s="1" t="s">
        <v>74</v>
      </c>
      <c r="BB705" s="1">
        <v>623.0</v>
      </c>
      <c r="BC705" s="1">
        <v>629.0</v>
      </c>
      <c r="BD705" s="1" t="s">
        <v>74</v>
      </c>
      <c r="BE705" s="1" t="s">
        <v>5989</v>
      </c>
      <c r="BF705" s="2" t="str">
        <f>HYPERLINK("http://dx.doi.org/10.1071/BT14135","http://dx.doi.org/10.1071/BT14135")</f>
        <v>http://dx.doi.org/10.1071/BT14135</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5990</v>
      </c>
      <c r="BT705" s="1" t="str">
        <f>HYPERLINK("https%3A%2F%2Fwww.webofscience.com%2Fwos%2Fwoscc%2Ffull-record%2FWOS:000351999900001","View Full Record in Web of Science")</f>
        <v>View Full Record in Web of Science</v>
      </c>
    </row>
    <row r="706" ht="12.75" customHeight="1">
      <c r="A706" s="1" t="s">
        <v>126</v>
      </c>
      <c r="B706" s="1" t="s">
        <v>5991</v>
      </c>
      <c r="C706" s="1" t="s">
        <v>74</v>
      </c>
      <c r="D706" s="1" t="s">
        <v>350</v>
      </c>
      <c r="E706" s="1" t="s">
        <v>74</v>
      </c>
      <c r="F706" s="1" t="s">
        <v>5992</v>
      </c>
      <c r="G706" s="1" t="s">
        <v>74</v>
      </c>
      <c r="H706" s="1" t="s">
        <v>74</v>
      </c>
      <c r="I706" s="1" t="s">
        <v>5993</v>
      </c>
      <c r="J706" s="1" t="s">
        <v>353</v>
      </c>
      <c r="K706" s="1" t="s">
        <v>354</v>
      </c>
      <c r="L706" s="1" t="s">
        <v>74</v>
      </c>
      <c r="M706" s="1" t="s">
        <v>74</v>
      </c>
      <c r="N706" s="1" t="s">
        <v>74</v>
      </c>
      <c r="O706" s="1" t="s">
        <v>355</v>
      </c>
      <c r="P706" s="1" t="s">
        <v>356</v>
      </c>
      <c r="Q706" s="1" t="s">
        <v>357</v>
      </c>
      <c r="R706" s="1" t="s">
        <v>74</v>
      </c>
      <c r="S706" s="1" t="s">
        <v>74</v>
      </c>
      <c r="T706" s="1" t="s">
        <v>74</v>
      </c>
      <c r="U706" s="1" t="s">
        <v>74</v>
      </c>
      <c r="V706" s="1" t="s">
        <v>5994</v>
      </c>
      <c r="W706" s="1" t="s">
        <v>74</v>
      </c>
      <c r="X706" s="1" t="s">
        <v>74</v>
      </c>
      <c r="Y706" s="1" t="s">
        <v>74</v>
      </c>
      <c r="Z706" s="1" t="s">
        <v>74</v>
      </c>
      <c r="AA706" s="1" t="s">
        <v>5995</v>
      </c>
      <c r="AB706" s="1" t="s">
        <v>74</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359</v>
      </c>
      <c r="AP706" s="1" t="s">
        <v>74</v>
      </c>
      <c r="AQ706" s="1" t="s">
        <v>360</v>
      </c>
      <c r="AR706" s="1" t="s">
        <v>74</v>
      </c>
      <c r="AS706" s="1" t="s">
        <v>74</v>
      </c>
      <c r="AT706" s="1" t="s">
        <v>74</v>
      </c>
      <c r="AU706" s="1">
        <v>2014.0</v>
      </c>
      <c r="AV706" s="1" t="s">
        <v>74</v>
      </c>
      <c r="AW706" s="1" t="s">
        <v>74</v>
      </c>
      <c r="AX706" s="1" t="s">
        <v>74</v>
      </c>
      <c r="AY706" s="1" t="s">
        <v>74</v>
      </c>
      <c r="AZ706" s="1" t="s">
        <v>74</v>
      </c>
      <c r="BA706" s="1" t="s">
        <v>74</v>
      </c>
      <c r="BB706" s="1">
        <v>4401.0</v>
      </c>
      <c r="BC706" s="1">
        <v>4406.0</v>
      </c>
      <c r="BD706" s="1" t="s">
        <v>74</v>
      </c>
      <c r="BE706" s="1" t="s">
        <v>74</v>
      </c>
      <c r="BF706" s="1" t="s">
        <v>74</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5996</v>
      </c>
      <c r="BT706" s="1" t="str">
        <f>HYPERLINK("https%3A%2F%2Fwww.webofscience.com%2Fwos%2Fwoscc%2Ffull-record%2FWOS:000366837204080","View Full Record in Web of Science")</f>
        <v>View Full Record in Web of Science</v>
      </c>
    </row>
    <row r="707" ht="12.75" customHeight="1">
      <c r="A707" s="1" t="s">
        <v>72</v>
      </c>
      <c r="B707" s="1" t="s">
        <v>5997</v>
      </c>
      <c r="C707" s="1" t="s">
        <v>74</v>
      </c>
      <c r="D707" s="1" t="s">
        <v>74</v>
      </c>
      <c r="E707" s="1" t="s">
        <v>74</v>
      </c>
      <c r="F707" s="1" t="s">
        <v>5998</v>
      </c>
      <c r="G707" s="1" t="s">
        <v>74</v>
      </c>
      <c r="H707" s="1" t="s">
        <v>74</v>
      </c>
      <c r="I707" s="1" t="s">
        <v>5999</v>
      </c>
      <c r="J707" s="1" t="s">
        <v>1857</v>
      </c>
      <c r="K707" s="1" t="s">
        <v>74</v>
      </c>
      <c r="L707" s="1" t="s">
        <v>74</v>
      </c>
      <c r="M707" s="1" t="s">
        <v>74</v>
      </c>
      <c r="N707" s="1" t="s">
        <v>74</v>
      </c>
      <c r="O707" s="1" t="s">
        <v>74</v>
      </c>
      <c r="P707" s="1" t="s">
        <v>74</v>
      </c>
      <c r="Q707" s="1" t="s">
        <v>74</v>
      </c>
      <c r="R707" s="1" t="s">
        <v>74</v>
      </c>
      <c r="S707" s="1" t="s">
        <v>74</v>
      </c>
      <c r="T707" s="1" t="s">
        <v>74</v>
      </c>
      <c r="U707" s="1" t="s">
        <v>74</v>
      </c>
      <c r="V707" s="1" t="s">
        <v>6000</v>
      </c>
      <c r="W707" s="1" t="s">
        <v>74</v>
      </c>
      <c r="X707" s="1" t="s">
        <v>74</v>
      </c>
      <c r="Y707" s="1" t="s">
        <v>74</v>
      </c>
      <c r="Z707" s="1" t="s">
        <v>74</v>
      </c>
      <c r="AA707" s="1" t="s">
        <v>74</v>
      </c>
      <c r="AB707" s="1" t="s">
        <v>6001</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1863</v>
      </c>
      <c r="AP707" s="1" t="s">
        <v>1864</v>
      </c>
      <c r="AQ707" s="1" t="s">
        <v>74</v>
      </c>
      <c r="AR707" s="1" t="s">
        <v>74</v>
      </c>
      <c r="AS707" s="1" t="s">
        <v>74</v>
      </c>
      <c r="AT707" s="1" t="s">
        <v>82</v>
      </c>
      <c r="AU707" s="1">
        <v>2013.0</v>
      </c>
      <c r="AV707" s="1">
        <v>41.0</v>
      </c>
      <c r="AW707" s="1">
        <v>4.0</v>
      </c>
      <c r="AX707" s="1" t="s">
        <v>74</v>
      </c>
      <c r="AY707" s="1" t="s">
        <v>74</v>
      </c>
      <c r="AZ707" s="1" t="s">
        <v>74</v>
      </c>
      <c r="BA707" s="1" t="s">
        <v>74</v>
      </c>
      <c r="BB707" s="1">
        <v>675.0</v>
      </c>
      <c r="BC707" s="1">
        <v>682.0</v>
      </c>
      <c r="BD707" s="1" t="s">
        <v>74</v>
      </c>
      <c r="BE707" s="1" t="s">
        <v>6002</v>
      </c>
      <c r="BF707" s="2" t="str">
        <f>HYPERLINK("http://dx.doi.org/10.1016/j.dci.2013.08.001","http://dx.doi.org/10.1016/j.dci.2013.08.001")</f>
        <v>http://dx.doi.org/10.1016/j.dci.2013.08.001</v>
      </c>
      <c r="BG707" s="1" t="s">
        <v>74</v>
      </c>
      <c r="BH707" s="1" t="s">
        <v>74</v>
      </c>
      <c r="BI707" s="1" t="s">
        <v>74</v>
      </c>
      <c r="BJ707" s="1" t="s">
        <v>74</v>
      </c>
      <c r="BK707" s="1" t="s">
        <v>74</v>
      </c>
      <c r="BL707" s="1" t="s">
        <v>74</v>
      </c>
      <c r="BM707" s="1" t="s">
        <v>74</v>
      </c>
      <c r="BN707" s="1">
        <v>2.3948148E7</v>
      </c>
      <c r="BO707" s="1" t="s">
        <v>74</v>
      </c>
      <c r="BP707" s="1" t="s">
        <v>74</v>
      </c>
      <c r="BQ707" s="1" t="s">
        <v>74</v>
      </c>
      <c r="BR707" s="1" t="s">
        <v>74</v>
      </c>
      <c r="BS707" s="1" t="s">
        <v>6003</v>
      </c>
      <c r="BT707" s="1" t="str">
        <f>HYPERLINK("https%3A%2F%2Fwww.webofscience.com%2Fwos%2Fwoscc%2Ffull-record%2FWOS:000326258500024","View Full Record in Web of Science")</f>
        <v>View Full Record in Web of Science</v>
      </c>
    </row>
    <row r="708" ht="12.75" customHeight="1">
      <c r="A708" s="1" t="s">
        <v>72</v>
      </c>
      <c r="B708" s="1" t="s">
        <v>6004</v>
      </c>
      <c r="C708" s="1" t="s">
        <v>74</v>
      </c>
      <c r="D708" s="1" t="s">
        <v>74</v>
      </c>
      <c r="E708" s="1" t="s">
        <v>74</v>
      </c>
      <c r="F708" s="1" t="s">
        <v>6005</v>
      </c>
      <c r="G708" s="1" t="s">
        <v>74</v>
      </c>
      <c r="H708" s="1" t="s">
        <v>74</v>
      </c>
      <c r="I708" s="1" t="s">
        <v>6006</v>
      </c>
      <c r="J708" s="1" t="s">
        <v>6007</v>
      </c>
      <c r="K708" s="1" t="s">
        <v>74</v>
      </c>
      <c r="L708" s="1" t="s">
        <v>74</v>
      </c>
      <c r="M708" s="1" t="s">
        <v>74</v>
      </c>
      <c r="N708" s="1" t="s">
        <v>74</v>
      </c>
      <c r="O708" s="1" t="s">
        <v>74</v>
      </c>
      <c r="P708" s="1" t="s">
        <v>74</v>
      </c>
      <c r="Q708" s="1" t="s">
        <v>74</v>
      </c>
      <c r="R708" s="1" t="s">
        <v>74</v>
      </c>
      <c r="S708" s="1" t="s">
        <v>74</v>
      </c>
      <c r="T708" s="1" t="s">
        <v>74</v>
      </c>
      <c r="U708" s="1" t="s">
        <v>74</v>
      </c>
      <c r="V708" s="1" t="s">
        <v>74</v>
      </c>
      <c r="W708" s="1" t="s">
        <v>74</v>
      </c>
      <c r="X708" s="1" t="s">
        <v>74</v>
      </c>
      <c r="Y708" s="1" t="s">
        <v>74</v>
      </c>
      <c r="Z708" s="1" t="s">
        <v>74</v>
      </c>
      <c r="AA708" s="1" t="s">
        <v>74</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6008</v>
      </c>
      <c r="AP708" s="1" t="s">
        <v>74</v>
      </c>
      <c r="AQ708" s="1" t="s">
        <v>74</v>
      </c>
      <c r="AR708" s="1" t="s">
        <v>74</v>
      </c>
      <c r="AS708" s="1" t="s">
        <v>74</v>
      </c>
      <c r="AT708" s="1" t="s">
        <v>203</v>
      </c>
      <c r="AU708" s="1">
        <v>2013.0</v>
      </c>
      <c r="AV708" s="1">
        <v>10.0</v>
      </c>
      <c r="AW708" s="1">
        <v>21.0</v>
      </c>
      <c r="AX708" s="1" t="s">
        <v>74</v>
      </c>
      <c r="AY708" s="1" t="s">
        <v>74</v>
      </c>
      <c r="AZ708" s="1" t="s">
        <v>74</v>
      </c>
      <c r="BA708" s="1" t="s">
        <v>74</v>
      </c>
      <c r="BB708" s="1">
        <v>279.0</v>
      </c>
      <c r="BC708" s="1">
        <v>301.0</v>
      </c>
      <c r="BD708" s="1" t="s">
        <v>74</v>
      </c>
      <c r="BE708" s="1" t="s">
        <v>74</v>
      </c>
      <c r="BF708" s="1" t="s">
        <v>74</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6009</v>
      </c>
      <c r="BT708" s="1" t="str">
        <f>HYPERLINK("https%3A%2F%2Fwww.webofscience.com%2Fwos%2Fwoscc%2Ffull-record%2FWOS:000209213000013","View Full Record in Web of Science")</f>
        <v>View Full Record in Web of Science</v>
      </c>
    </row>
    <row r="709" ht="12.75" customHeight="1">
      <c r="A709" s="1" t="s">
        <v>105</v>
      </c>
      <c r="B709" s="1" t="s">
        <v>6010</v>
      </c>
      <c r="C709" s="1" t="s">
        <v>74</v>
      </c>
      <c r="D709" s="1" t="s">
        <v>6011</v>
      </c>
      <c r="E709" s="1" t="s">
        <v>74</v>
      </c>
      <c r="F709" s="1" t="s">
        <v>6012</v>
      </c>
      <c r="G709" s="1" t="s">
        <v>74</v>
      </c>
      <c r="H709" s="1" t="s">
        <v>74</v>
      </c>
      <c r="I709" s="1" t="s">
        <v>6013</v>
      </c>
      <c r="J709" s="1" t="s">
        <v>6014</v>
      </c>
      <c r="K709" s="1" t="s">
        <v>74</v>
      </c>
      <c r="L709" s="1" t="s">
        <v>74</v>
      </c>
      <c r="M709" s="1" t="s">
        <v>74</v>
      </c>
      <c r="N709" s="1" t="s">
        <v>74</v>
      </c>
      <c r="O709" s="1" t="s">
        <v>74</v>
      </c>
      <c r="P709" s="1" t="s">
        <v>74</v>
      </c>
      <c r="Q709" s="1" t="s">
        <v>74</v>
      </c>
      <c r="R709" s="1" t="s">
        <v>74</v>
      </c>
      <c r="S709" s="1" t="s">
        <v>74</v>
      </c>
      <c r="T709" s="1" t="s">
        <v>74</v>
      </c>
      <c r="U709" s="1" t="s">
        <v>74</v>
      </c>
      <c r="V709" s="1" t="s">
        <v>74</v>
      </c>
      <c r="W709" s="1" t="s">
        <v>74</v>
      </c>
      <c r="X709" s="1" t="s">
        <v>74</v>
      </c>
      <c r="Y709" s="1" t="s">
        <v>74</v>
      </c>
      <c r="Z709" s="1" t="s">
        <v>74</v>
      </c>
      <c r="AA709" s="1" t="s">
        <v>6015</v>
      </c>
      <c r="AB709" s="1" t="s">
        <v>6016</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74</v>
      </c>
      <c r="AP709" s="1" t="s">
        <v>74</v>
      </c>
      <c r="AQ709" s="1" t="s">
        <v>6017</v>
      </c>
      <c r="AR709" s="1" t="s">
        <v>74</v>
      </c>
      <c r="AS709" s="1" t="s">
        <v>74</v>
      </c>
      <c r="AT709" s="1" t="s">
        <v>74</v>
      </c>
      <c r="AU709" s="1">
        <v>2013.0</v>
      </c>
      <c r="AV709" s="1" t="s">
        <v>74</v>
      </c>
      <c r="AW709" s="1" t="s">
        <v>74</v>
      </c>
      <c r="AX709" s="1" t="s">
        <v>74</v>
      </c>
      <c r="AY709" s="1" t="s">
        <v>74</v>
      </c>
      <c r="AZ709" s="1" t="s">
        <v>74</v>
      </c>
      <c r="BA709" s="1" t="s">
        <v>74</v>
      </c>
      <c r="BB709" s="1">
        <v>397.0</v>
      </c>
      <c r="BC709" s="1">
        <v>411.0</v>
      </c>
      <c r="BD709" s="1" t="s">
        <v>74</v>
      </c>
      <c r="BE709" s="1" t="s">
        <v>74</v>
      </c>
      <c r="BF709" s="1" t="s">
        <v>74</v>
      </c>
      <c r="BG709" s="1" t="s">
        <v>6018</v>
      </c>
      <c r="BH709" s="1" t="s">
        <v>74</v>
      </c>
      <c r="BI709" s="1" t="s">
        <v>74</v>
      </c>
      <c r="BJ709" s="1" t="s">
        <v>74</v>
      </c>
      <c r="BK709" s="1" t="s">
        <v>74</v>
      </c>
      <c r="BL709" s="1" t="s">
        <v>74</v>
      </c>
      <c r="BM709" s="1" t="s">
        <v>74</v>
      </c>
      <c r="BN709" s="1" t="s">
        <v>74</v>
      </c>
      <c r="BO709" s="1" t="s">
        <v>74</v>
      </c>
      <c r="BP709" s="1" t="s">
        <v>74</v>
      </c>
      <c r="BQ709" s="1" t="s">
        <v>74</v>
      </c>
      <c r="BR709" s="1" t="s">
        <v>74</v>
      </c>
      <c r="BS709" s="1" t="s">
        <v>6019</v>
      </c>
      <c r="BT709" s="1" t="str">
        <f>HYPERLINK("https%3A%2F%2Fwww.webofscience.com%2Fwos%2Fwoscc%2Ffull-record%2FWOS:000325756600036","View Full Record in Web of Science")</f>
        <v>View Full Record in Web of Science</v>
      </c>
    </row>
    <row r="710" ht="12.75" customHeight="1">
      <c r="A710" s="1" t="s">
        <v>72</v>
      </c>
      <c r="B710" s="1" t="s">
        <v>6020</v>
      </c>
      <c r="C710" s="1" t="s">
        <v>74</v>
      </c>
      <c r="D710" s="1" t="s">
        <v>74</v>
      </c>
      <c r="E710" s="1" t="s">
        <v>74</v>
      </c>
      <c r="F710" s="1" t="s">
        <v>6021</v>
      </c>
      <c r="G710" s="1" t="s">
        <v>74</v>
      </c>
      <c r="H710" s="1" t="s">
        <v>74</v>
      </c>
      <c r="I710" s="1" t="s">
        <v>6022</v>
      </c>
      <c r="J710" s="1" t="s">
        <v>6023</v>
      </c>
      <c r="K710" s="1" t="s">
        <v>74</v>
      </c>
      <c r="L710" s="1" t="s">
        <v>74</v>
      </c>
      <c r="M710" s="1" t="s">
        <v>74</v>
      </c>
      <c r="N710" s="1" t="s">
        <v>74</v>
      </c>
      <c r="O710" s="1" t="s">
        <v>74</v>
      </c>
      <c r="P710" s="1" t="s">
        <v>74</v>
      </c>
      <c r="Q710" s="1" t="s">
        <v>74</v>
      </c>
      <c r="R710" s="1" t="s">
        <v>74</v>
      </c>
      <c r="S710" s="1" t="s">
        <v>74</v>
      </c>
      <c r="T710" s="1" t="s">
        <v>74</v>
      </c>
      <c r="U710" s="1" t="s">
        <v>74</v>
      </c>
      <c r="V710" s="1" t="s">
        <v>6024</v>
      </c>
      <c r="W710" s="1" t="s">
        <v>74</v>
      </c>
      <c r="X710" s="1" t="s">
        <v>74</v>
      </c>
      <c r="Y710" s="1" t="s">
        <v>74</v>
      </c>
      <c r="Z710" s="1" t="s">
        <v>74</v>
      </c>
      <c r="AA710" s="1" t="s">
        <v>74</v>
      </c>
      <c r="AB710" s="1" t="s">
        <v>74</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6025</v>
      </c>
      <c r="AP710" s="1" t="s">
        <v>6026</v>
      </c>
      <c r="AQ710" s="1" t="s">
        <v>74</v>
      </c>
      <c r="AR710" s="1" t="s">
        <v>74</v>
      </c>
      <c r="AS710" s="1" t="s">
        <v>74</v>
      </c>
      <c r="AT710" s="1" t="s">
        <v>82</v>
      </c>
      <c r="AU710" s="1">
        <v>2012.0</v>
      </c>
      <c r="AV710" s="1">
        <v>18.0</v>
      </c>
      <c r="AW710" s="1">
        <v>6.0</v>
      </c>
      <c r="AX710" s="1" t="s">
        <v>74</v>
      </c>
      <c r="AY710" s="1" t="s">
        <v>74</v>
      </c>
      <c r="AZ710" s="1" t="s">
        <v>74</v>
      </c>
      <c r="BA710" s="1" t="s">
        <v>74</v>
      </c>
      <c r="BB710" s="1">
        <v>503.0</v>
      </c>
      <c r="BC710" s="1">
        <v>514.0</v>
      </c>
      <c r="BD710" s="1" t="s">
        <v>74</v>
      </c>
      <c r="BE710" s="1" t="s">
        <v>6027</v>
      </c>
      <c r="BF710" s="2" t="str">
        <f>HYPERLINK("http://dx.doi.org/10.1177/1082013211433073","http://dx.doi.org/10.1177/1082013211433073")</f>
        <v>http://dx.doi.org/10.1177/1082013211433073</v>
      </c>
      <c r="BG710" s="1" t="s">
        <v>74</v>
      </c>
      <c r="BH710" s="1" t="s">
        <v>74</v>
      </c>
      <c r="BI710" s="1" t="s">
        <v>74</v>
      </c>
      <c r="BJ710" s="1" t="s">
        <v>74</v>
      </c>
      <c r="BK710" s="1" t="s">
        <v>74</v>
      </c>
      <c r="BL710" s="1" t="s">
        <v>74</v>
      </c>
      <c r="BM710" s="1" t="s">
        <v>74</v>
      </c>
      <c r="BN710" s="1">
        <v>2.3175779E7</v>
      </c>
      <c r="BO710" s="1" t="s">
        <v>74</v>
      </c>
      <c r="BP710" s="1" t="s">
        <v>74</v>
      </c>
      <c r="BQ710" s="1" t="s">
        <v>74</v>
      </c>
      <c r="BR710" s="1" t="s">
        <v>74</v>
      </c>
      <c r="BS710" s="1" t="s">
        <v>6028</v>
      </c>
      <c r="BT710" s="1" t="str">
        <f>HYPERLINK("https%3A%2F%2Fwww.webofscience.com%2Fwos%2Fwoscc%2Ffull-record%2FWOS:000311392200001","View Full Record in Web of Science")</f>
        <v>View Full Record in Web of Science</v>
      </c>
    </row>
    <row r="711" ht="12.75" customHeight="1">
      <c r="A711" s="1" t="s">
        <v>72</v>
      </c>
      <c r="B711" s="1" t="s">
        <v>3803</v>
      </c>
      <c r="C711" s="1" t="s">
        <v>74</v>
      </c>
      <c r="D711" s="1" t="s">
        <v>74</v>
      </c>
      <c r="E711" s="1" t="s">
        <v>74</v>
      </c>
      <c r="F711" s="1" t="s">
        <v>6029</v>
      </c>
      <c r="G711" s="1" t="s">
        <v>74</v>
      </c>
      <c r="H711" s="1" t="s">
        <v>74</v>
      </c>
      <c r="I711" s="1" t="s">
        <v>6030</v>
      </c>
      <c r="J711" s="1" t="s">
        <v>1645</v>
      </c>
      <c r="K711" s="1" t="s">
        <v>74</v>
      </c>
      <c r="L711" s="1" t="s">
        <v>74</v>
      </c>
      <c r="M711" s="1" t="s">
        <v>74</v>
      </c>
      <c r="N711" s="1" t="s">
        <v>74</v>
      </c>
      <c r="O711" s="1" t="s">
        <v>74</v>
      </c>
      <c r="P711" s="1" t="s">
        <v>74</v>
      </c>
      <c r="Q711" s="1" t="s">
        <v>74</v>
      </c>
      <c r="R711" s="1" t="s">
        <v>74</v>
      </c>
      <c r="S711" s="1" t="s">
        <v>74</v>
      </c>
      <c r="T711" s="1" t="s">
        <v>74</v>
      </c>
      <c r="U711" s="1" t="s">
        <v>74</v>
      </c>
      <c r="V711" s="1" t="s">
        <v>6031</v>
      </c>
      <c r="W711" s="1" t="s">
        <v>74</v>
      </c>
      <c r="X711" s="1" t="s">
        <v>74</v>
      </c>
      <c r="Y711" s="1" t="s">
        <v>74</v>
      </c>
      <c r="Z711" s="1" t="s">
        <v>74</v>
      </c>
      <c r="AA711" s="1" t="s">
        <v>859</v>
      </c>
      <c r="AB711" s="1" t="s">
        <v>1647</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1648</v>
      </c>
      <c r="AP711" s="1" t="s">
        <v>74</v>
      </c>
      <c r="AQ711" s="1" t="s">
        <v>74</v>
      </c>
      <c r="AR711" s="1" t="s">
        <v>74</v>
      </c>
      <c r="AS711" s="1" t="s">
        <v>74</v>
      </c>
      <c r="AT711" s="1" t="s">
        <v>82</v>
      </c>
      <c r="AU711" s="1">
        <v>2012.0</v>
      </c>
      <c r="AV711" s="1">
        <v>60.0</v>
      </c>
      <c r="AW711" s="1" t="s">
        <v>74</v>
      </c>
      <c r="AX711" s="1" t="s">
        <v>74</v>
      </c>
      <c r="AY711" s="1" t="s">
        <v>74</v>
      </c>
      <c r="AZ711" s="1" t="s">
        <v>74</v>
      </c>
      <c r="BA711" s="1" t="s">
        <v>74</v>
      </c>
      <c r="BB711" s="1">
        <v>271.0</v>
      </c>
      <c r="BC711" s="1">
        <v>276.0</v>
      </c>
      <c r="BD711" s="1" t="s">
        <v>74</v>
      </c>
      <c r="BE711" s="1" t="s">
        <v>6032</v>
      </c>
      <c r="BF711" s="2" t="str">
        <f>HYPERLINK("http://dx.doi.org/10.1016/j.atmosenv.2012.06.024","http://dx.doi.org/10.1016/j.atmosenv.2012.06.024")</f>
        <v>http://dx.doi.org/10.1016/j.atmosenv.2012.06.024</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6033</v>
      </c>
      <c r="BT711" s="1" t="str">
        <f>HYPERLINK("https%3A%2F%2Fwww.webofscience.com%2Fwos%2Fwoscc%2Ffull-record%2FWOS:000309789800031","View Full Record in Web of Science")</f>
        <v>View Full Record in Web of Science</v>
      </c>
    </row>
    <row r="712" ht="12.75" customHeight="1">
      <c r="A712" s="1" t="s">
        <v>72</v>
      </c>
      <c r="B712" s="1" t="s">
        <v>6034</v>
      </c>
      <c r="C712" s="1" t="s">
        <v>74</v>
      </c>
      <c r="D712" s="1" t="s">
        <v>74</v>
      </c>
      <c r="E712" s="1" t="s">
        <v>74</v>
      </c>
      <c r="F712" s="1" t="s">
        <v>6035</v>
      </c>
      <c r="G712" s="1" t="s">
        <v>74</v>
      </c>
      <c r="H712" s="1" t="s">
        <v>74</v>
      </c>
      <c r="I712" s="1" t="s">
        <v>6036</v>
      </c>
      <c r="J712" s="1" t="s">
        <v>6037</v>
      </c>
      <c r="K712" s="1" t="s">
        <v>74</v>
      </c>
      <c r="L712" s="1" t="s">
        <v>74</v>
      </c>
      <c r="M712" s="1" t="s">
        <v>74</v>
      </c>
      <c r="N712" s="1" t="s">
        <v>74</v>
      </c>
      <c r="O712" s="1" t="s">
        <v>6038</v>
      </c>
      <c r="P712" s="1" t="s">
        <v>6039</v>
      </c>
      <c r="Q712" s="1" t="s">
        <v>6040</v>
      </c>
      <c r="R712" s="1" t="s">
        <v>74</v>
      </c>
      <c r="S712" s="1" t="s">
        <v>6041</v>
      </c>
      <c r="T712" s="1" t="s">
        <v>74</v>
      </c>
      <c r="U712" s="1" t="s">
        <v>74</v>
      </c>
      <c r="V712" s="1" t="s">
        <v>6042</v>
      </c>
      <c r="W712" s="1" t="s">
        <v>74</v>
      </c>
      <c r="X712" s="1" t="s">
        <v>74</v>
      </c>
      <c r="Y712" s="1" t="s">
        <v>74</v>
      </c>
      <c r="Z712" s="1" t="s">
        <v>74</v>
      </c>
      <c r="AA712" s="1" t="s">
        <v>74</v>
      </c>
      <c r="AB712" s="1" t="s">
        <v>6043</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6044</v>
      </c>
      <c r="AP712" s="1" t="s">
        <v>74</v>
      </c>
      <c r="AQ712" s="1" t="s">
        <v>74</v>
      </c>
      <c r="AR712" s="1" t="s">
        <v>74</v>
      </c>
      <c r="AS712" s="1" t="s">
        <v>74</v>
      </c>
      <c r="AT712" s="1" t="s">
        <v>158</v>
      </c>
      <c r="AU712" s="1">
        <v>2012.0</v>
      </c>
      <c r="AV712" s="1">
        <v>38.0</v>
      </c>
      <c r="AW712" s="1">
        <v>3.0</v>
      </c>
      <c r="AX712" s="1" t="s">
        <v>74</v>
      </c>
      <c r="AY712" s="1" t="s">
        <v>74</v>
      </c>
      <c r="AZ712" s="1" t="s">
        <v>74</v>
      </c>
      <c r="BA712" s="1" t="s">
        <v>74</v>
      </c>
      <c r="BB712" s="1">
        <v>446.0</v>
      </c>
      <c r="BC712" s="1">
        <v>453.0</v>
      </c>
      <c r="BD712" s="1" t="s">
        <v>74</v>
      </c>
      <c r="BE712" s="1" t="s">
        <v>6045</v>
      </c>
      <c r="BF712" s="2" t="str">
        <f>HYPERLINK("http://dx.doi.org/10.1016/j.pubrev.2012.04.001","http://dx.doi.org/10.1016/j.pubrev.2012.04.001")</f>
        <v>http://dx.doi.org/10.1016/j.pubrev.2012.04.001</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6046</v>
      </c>
      <c r="BT712" s="1" t="str">
        <f>HYPERLINK("https%3A%2F%2Fwww.webofscience.com%2Fwos%2Fwoscc%2Ffull-record%2FWOS:000306029200015","View Full Record in Web of Science")</f>
        <v>View Full Record in Web of Science</v>
      </c>
    </row>
    <row r="713" ht="12.75" customHeight="1">
      <c r="A713" s="1" t="s">
        <v>72</v>
      </c>
      <c r="B713" s="1" t="s">
        <v>6047</v>
      </c>
      <c r="C713" s="1" t="s">
        <v>74</v>
      </c>
      <c r="D713" s="1" t="s">
        <v>74</v>
      </c>
      <c r="E713" s="1" t="s">
        <v>74</v>
      </c>
      <c r="F713" s="1" t="s">
        <v>6048</v>
      </c>
      <c r="G713" s="1" t="s">
        <v>74</v>
      </c>
      <c r="H713" s="1" t="s">
        <v>74</v>
      </c>
      <c r="I713" s="1" t="s">
        <v>6049</v>
      </c>
      <c r="J713" s="1" t="s">
        <v>6050</v>
      </c>
      <c r="K713" s="1" t="s">
        <v>74</v>
      </c>
      <c r="L713" s="1" t="s">
        <v>74</v>
      </c>
      <c r="M713" s="1" t="s">
        <v>74</v>
      </c>
      <c r="N713" s="1" t="s">
        <v>74</v>
      </c>
      <c r="O713" s="1" t="s">
        <v>74</v>
      </c>
      <c r="P713" s="1" t="s">
        <v>74</v>
      </c>
      <c r="Q713" s="1" t="s">
        <v>74</v>
      </c>
      <c r="R713" s="1" t="s">
        <v>74</v>
      </c>
      <c r="S713" s="1" t="s">
        <v>74</v>
      </c>
      <c r="T713" s="1" t="s">
        <v>74</v>
      </c>
      <c r="U713" s="1" t="s">
        <v>74</v>
      </c>
      <c r="V713" s="1" t="s">
        <v>74</v>
      </c>
      <c r="W713" s="1" t="s">
        <v>74</v>
      </c>
      <c r="X713" s="1" t="s">
        <v>74</v>
      </c>
      <c r="Y713" s="1" t="s">
        <v>74</v>
      </c>
      <c r="Z713" s="1" t="s">
        <v>74</v>
      </c>
      <c r="AA713" s="1" t="s">
        <v>6051</v>
      </c>
      <c r="AB713" s="1" t="s">
        <v>6052</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6053</v>
      </c>
      <c r="AP713" s="1" t="s">
        <v>74</v>
      </c>
      <c r="AQ713" s="1" t="s">
        <v>74</v>
      </c>
      <c r="AR713" s="1" t="s">
        <v>74</v>
      </c>
      <c r="AS713" s="1" t="s">
        <v>74</v>
      </c>
      <c r="AT713" s="1" t="s">
        <v>193</v>
      </c>
      <c r="AU713" s="1">
        <v>2012.0</v>
      </c>
      <c r="AV713" s="1">
        <v>17.0</v>
      </c>
      <c r="AW713" s="1" t="s">
        <v>74</v>
      </c>
      <c r="AX713" s="1" t="s">
        <v>74</v>
      </c>
      <c r="AY713" s="1" t="s">
        <v>74</v>
      </c>
      <c r="AZ713" s="1" t="s">
        <v>74</v>
      </c>
      <c r="BA713" s="1" t="s">
        <v>74</v>
      </c>
      <c r="BB713" s="1">
        <v>100.0</v>
      </c>
      <c r="BC713" s="1">
        <v>100.0</v>
      </c>
      <c r="BD713" s="1" t="s">
        <v>74</v>
      </c>
      <c r="BE713" s="1" t="s">
        <v>6054</v>
      </c>
      <c r="BF713" s="2" t="str">
        <f>HYPERLINK("http://dx.doi.org/10.1016/j.elecom.2011.12.001","http://dx.doi.org/10.1016/j.elecom.2011.12.001")</f>
        <v>http://dx.doi.org/10.1016/j.elecom.2011.12.001</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6055</v>
      </c>
      <c r="BT713" s="1" t="str">
        <f>HYPERLINK("https%3A%2F%2Fwww.webofscience.com%2Fwos%2Fwoscc%2Ffull-record%2FWOS:000303227000027","View Full Record in Web of Science")</f>
        <v>View Full Record in Web of Science</v>
      </c>
    </row>
    <row r="714" ht="12.75" customHeight="1">
      <c r="A714" s="1" t="s">
        <v>126</v>
      </c>
      <c r="B714" s="1" t="s">
        <v>6056</v>
      </c>
      <c r="C714" s="1" t="s">
        <v>74</v>
      </c>
      <c r="D714" s="1" t="s">
        <v>6057</v>
      </c>
      <c r="E714" s="1" t="s">
        <v>74</v>
      </c>
      <c r="F714" s="1" t="s">
        <v>6058</v>
      </c>
      <c r="G714" s="1" t="s">
        <v>74</v>
      </c>
      <c r="H714" s="1" t="s">
        <v>74</v>
      </c>
      <c r="I714" s="1" t="s">
        <v>6059</v>
      </c>
      <c r="J714" s="1" t="s">
        <v>6060</v>
      </c>
      <c r="K714" s="1" t="s">
        <v>3039</v>
      </c>
      <c r="L714" s="1" t="s">
        <v>74</v>
      </c>
      <c r="M714" s="1" t="s">
        <v>74</v>
      </c>
      <c r="N714" s="1" t="s">
        <v>74</v>
      </c>
      <c r="O714" s="1" t="s">
        <v>6061</v>
      </c>
      <c r="P714" s="1" t="s">
        <v>6062</v>
      </c>
      <c r="Q714" s="1" t="s">
        <v>6063</v>
      </c>
      <c r="R714" s="1" t="s">
        <v>6064</v>
      </c>
      <c r="S714" s="1" t="s">
        <v>74</v>
      </c>
      <c r="T714" s="1" t="s">
        <v>74</v>
      </c>
      <c r="U714" s="1" t="s">
        <v>74</v>
      </c>
      <c r="V714" s="1" t="s">
        <v>6065</v>
      </c>
      <c r="W714" s="1" t="s">
        <v>74</v>
      </c>
      <c r="X714" s="1" t="s">
        <v>74</v>
      </c>
      <c r="Y714" s="1" t="s">
        <v>74</v>
      </c>
      <c r="Z714" s="1" t="s">
        <v>74</v>
      </c>
      <c r="AA714" s="1" t="s">
        <v>6066</v>
      </c>
      <c r="AB714" s="1" t="s">
        <v>6067</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3046</v>
      </c>
      <c r="AP714" s="1" t="s">
        <v>74</v>
      </c>
      <c r="AQ714" s="1" t="s">
        <v>6068</v>
      </c>
      <c r="AR714" s="1" t="s">
        <v>74</v>
      </c>
      <c r="AS714" s="1" t="s">
        <v>74</v>
      </c>
      <c r="AT714" s="1" t="s">
        <v>74</v>
      </c>
      <c r="AU714" s="1">
        <v>2012.0</v>
      </c>
      <c r="AV714" s="1" t="s">
        <v>74</v>
      </c>
      <c r="AW714" s="1" t="s">
        <v>74</v>
      </c>
      <c r="AX714" s="1" t="s">
        <v>74</v>
      </c>
      <c r="AY714" s="1" t="s">
        <v>74</v>
      </c>
      <c r="AZ714" s="1" t="s">
        <v>74</v>
      </c>
      <c r="BA714" s="1" t="s">
        <v>74</v>
      </c>
      <c r="BB714" s="1">
        <v>2452.0</v>
      </c>
      <c r="BC714" s="1">
        <v>2455.0</v>
      </c>
      <c r="BD714" s="1" t="s">
        <v>74</v>
      </c>
      <c r="BE714" s="1" t="s">
        <v>74</v>
      </c>
      <c r="BF714" s="1" t="s">
        <v>74</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6069</v>
      </c>
      <c r="BT714" s="1" t="str">
        <f>HYPERLINK("https%3A%2F%2Fwww.webofscience.com%2Fwos%2Fwoscc%2Ffull-record%2FWOS:000326814202118","View Full Record in Web of Science")</f>
        <v>View Full Record in Web of Science</v>
      </c>
    </row>
    <row r="715" ht="12.75" customHeight="1">
      <c r="A715" s="1" t="s">
        <v>72</v>
      </c>
      <c r="B715" s="1" t="s">
        <v>6070</v>
      </c>
      <c r="C715" s="1" t="s">
        <v>74</v>
      </c>
      <c r="D715" s="1" t="s">
        <v>74</v>
      </c>
      <c r="E715" s="1" t="s">
        <v>74</v>
      </c>
      <c r="F715" s="1" t="s">
        <v>6071</v>
      </c>
      <c r="G715" s="1" t="s">
        <v>74</v>
      </c>
      <c r="H715" s="1" t="s">
        <v>74</v>
      </c>
      <c r="I715" s="1" t="s">
        <v>6072</v>
      </c>
      <c r="J715" s="1" t="s">
        <v>6073</v>
      </c>
      <c r="K715" s="1" t="s">
        <v>74</v>
      </c>
      <c r="L715" s="1" t="s">
        <v>74</v>
      </c>
      <c r="M715" s="1" t="s">
        <v>74</v>
      </c>
      <c r="N715" s="1" t="s">
        <v>74</v>
      </c>
      <c r="O715" s="1" t="s">
        <v>74</v>
      </c>
      <c r="P715" s="1" t="s">
        <v>74</v>
      </c>
      <c r="Q715" s="1" t="s">
        <v>74</v>
      </c>
      <c r="R715" s="1" t="s">
        <v>74</v>
      </c>
      <c r="S715" s="1" t="s">
        <v>74</v>
      </c>
      <c r="T715" s="1" t="s">
        <v>74</v>
      </c>
      <c r="U715" s="1" t="s">
        <v>74</v>
      </c>
      <c r="V715" s="1" t="s">
        <v>6074</v>
      </c>
      <c r="W715" s="1" t="s">
        <v>74</v>
      </c>
      <c r="X715" s="1" t="s">
        <v>74</v>
      </c>
      <c r="Y715" s="1" t="s">
        <v>74</v>
      </c>
      <c r="Z715" s="1" t="s">
        <v>74</v>
      </c>
      <c r="AA715" s="1" t="s">
        <v>6075</v>
      </c>
      <c r="AB715" s="1" t="s">
        <v>74</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6076</v>
      </c>
      <c r="AP715" s="1" t="s">
        <v>74</v>
      </c>
      <c r="AQ715" s="1" t="s">
        <v>74</v>
      </c>
      <c r="AR715" s="1" t="s">
        <v>74</v>
      </c>
      <c r="AS715" s="1" t="s">
        <v>74</v>
      </c>
      <c r="AT715" s="1" t="s">
        <v>82</v>
      </c>
      <c r="AU715" s="1">
        <v>2011.0</v>
      </c>
      <c r="AV715" s="1">
        <v>34.0</v>
      </c>
      <c r="AW715" s="1">
        <v>6.0</v>
      </c>
      <c r="AX715" s="1" t="s">
        <v>74</v>
      </c>
      <c r="AY715" s="1" t="s">
        <v>74</v>
      </c>
      <c r="AZ715" s="1" t="s">
        <v>74</v>
      </c>
      <c r="BA715" s="1" t="s">
        <v>74</v>
      </c>
      <c r="BB715" s="1">
        <v>2000.0</v>
      </c>
      <c r="BC715" s="1">
        <v>2025.0</v>
      </c>
      <c r="BD715" s="1" t="s">
        <v>74</v>
      </c>
      <c r="BE715" s="1" t="s">
        <v>6077</v>
      </c>
      <c r="BF715" s="2" t="str">
        <f>HYPERLINK("http://dx.doi.org/10.1111/j.1745-4530.2009.00542.x","http://dx.doi.org/10.1111/j.1745-4530.2009.00542.x")</f>
        <v>http://dx.doi.org/10.1111/j.1745-4530.2009.00542.x</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6078</v>
      </c>
      <c r="BT715" s="1" t="str">
        <f>HYPERLINK("https%3A%2F%2Fwww.webofscience.com%2Fwos%2Fwoscc%2Ffull-record%2FWOS:000297947600012","View Full Record in Web of Science")</f>
        <v>View Full Record in Web of Science</v>
      </c>
    </row>
    <row r="716" ht="12.75" customHeight="1">
      <c r="A716" s="1" t="s">
        <v>72</v>
      </c>
      <c r="B716" s="1" t="s">
        <v>2979</v>
      </c>
      <c r="C716" s="1" t="s">
        <v>74</v>
      </c>
      <c r="D716" s="1" t="s">
        <v>74</v>
      </c>
      <c r="E716" s="1" t="s">
        <v>74</v>
      </c>
      <c r="F716" s="1" t="s">
        <v>2980</v>
      </c>
      <c r="G716" s="1" t="s">
        <v>74</v>
      </c>
      <c r="H716" s="1" t="s">
        <v>74</v>
      </c>
      <c r="I716" s="1" t="s">
        <v>6079</v>
      </c>
      <c r="J716" s="1" t="s">
        <v>2048</v>
      </c>
      <c r="K716" s="1" t="s">
        <v>74</v>
      </c>
      <c r="L716" s="1" t="s">
        <v>74</v>
      </c>
      <c r="M716" s="1" t="s">
        <v>74</v>
      </c>
      <c r="N716" s="1" t="s">
        <v>74</v>
      </c>
      <c r="O716" s="1" t="s">
        <v>74</v>
      </c>
      <c r="P716" s="1" t="s">
        <v>74</v>
      </c>
      <c r="Q716" s="1" t="s">
        <v>74</v>
      </c>
      <c r="R716" s="1" t="s">
        <v>74</v>
      </c>
      <c r="S716" s="1" t="s">
        <v>74</v>
      </c>
      <c r="T716" s="1" t="s">
        <v>74</v>
      </c>
      <c r="U716" s="1" t="s">
        <v>74</v>
      </c>
      <c r="V716" s="1" t="s">
        <v>74</v>
      </c>
      <c r="W716" s="1" t="s">
        <v>74</v>
      </c>
      <c r="X716" s="1" t="s">
        <v>74</v>
      </c>
      <c r="Y716" s="1" t="s">
        <v>74</v>
      </c>
      <c r="Z716" s="1" t="s">
        <v>74</v>
      </c>
      <c r="AA716" s="1" t="s">
        <v>6080</v>
      </c>
      <c r="AB716" s="1" t="s">
        <v>74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2050</v>
      </c>
      <c r="AP716" s="1" t="s">
        <v>74</v>
      </c>
      <c r="AQ716" s="1" t="s">
        <v>74</v>
      </c>
      <c r="AR716" s="1" t="s">
        <v>74</v>
      </c>
      <c r="AS716" s="1" t="s">
        <v>74</v>
      </c>
      <c r="AT716" s="1" t="s">
        <v>410</v>
      </c>
      <c r="AU716" s="1">
        <v>2011.0</v>
      </c>
      <c r="AV716" s="1">
        <v>10.0</v>
      </c>
      <c r="AW716" s="1">
        <v>6.0</v>
      </c>
      <c r="AX716" s="1" t="s">
        <v>74</v>
      </c>
      <c r="AY716" s="1" t="s">
        <v>74</v>
      </c>
      <c r="AZ716" s="1" t="s">
        <v>74</v>
      </c>
      <c r="BA716" s="1" t="s">
        <v>74</v>
      </c>
      <c r="BB716" s="1">
        <v>489.0</v>
      </c>
      <c r="BC716" s="1">
        <v>489.0</v>
      </c>
      <c r="BD716" s="1" t="s">
        <v>74</v>
      </c>
      <c r="BE716" s="1" t="s">
        <v>74</v>
      </c>
      <c r="BF716" s="1" t="s">
        <v>74</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6081</v>
      </c>
      <c r="BT716" s="1" t="str">
        <f>HYPERLINK("https%3A%2F%2Fwww.webofscience.com%2Fwos%2Fwoscc%2Ffull-record%2FWOS:000297724500001","View Full Record in Web of Science")</f>
        <v>View Full Record in Web of Science</v>
      </c>
    </row>
    <row r="717" ht="12.75" customHeight="1">
      <c r="A717" s="1" t="s">
        <v>72</v>
      </c>
      <c r="B717" s="1" t="s">
        <v>6082</v>
      </c>
      <c r="C717" s="1" t="s">
        <v>74</v>
      </c>
      <c r="D717" s="1" t="s">
        <v>74</v>
      </c>
      <c r="E717" s="1" t="s">
        <v>74</v>
      </c>
      <c r="F717" s="1" t="s">
        <v>6083</v>
      </c>
      <c r="G717" s="1" t="s">
        <v>74</v>
      </c>
      <c r="H717" s="1" t="s">
        <v>74</v>
      </c>
      <c r="I717" s="1" t="s">
        <v>6084</v>
      </c>
      <c r="J717" s="1" t="s">
        <v>6085</v>
      </c>
      <c r="K717" s="1" t="s">
        <v>74</v>
      </c>
      <c r="L717" s="1" t="s">
        <v>74</v>
      </c>
      <c r="M717" s="1" t="s">
        <v>74</v>
      </c>
      <c r="N717" s="1" t="s">
        <v>74</v>
      </c>
      <c r="O717" s="1" t="s">
        <v>74</v>
      </c>
      <c r="P717" s="1" t="s">
        <v>74</v>
      </c>
      <c r="Q717" s="1" t="s">
        <v>74</v>
      </c>
      <c r="R717" s="1" t="s">
        <v>74</v>
      </c>
      <c r="S717" s="1" t="s">
        <v>74</v>
      </c>
      <c r="T717" s="1" t="s">
        <v>74</v>
      </c>
      <c r="U717" s="1" t="s">
        <v>74</v>
      </c>
      <c r="V717" s="1" t="s">
        <v>6086</v>
      </c>
      <c r="W717" s="1" t="s">
        <v>74</v>
      </c>
      <c r="X717" s="1" t="s">
        <v>74</v>
      </c>
      <c r="Y717" s="1" t="s">
        <v>74</v>
      </c>
      <c r="Z717" s="1" t="s">
        <v>74</v>
      </c>
      <c r="AA717" s="1" t="s">
        <v>4559</v>
      </c>
      <c r="AB717" s="1" t="s">
        <v>4560</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6087</v>
      </c>
      <c r="AP717" s="1" t="s">
        <v>6088</v>
      </c>
      <c r="AQ717" s="1" t="s">
        <v>74</v>
      </c>
      <c r="AR717" s="1" t="s">
        <v>74</v>
      </c>
      <c r="AS717" s="1" t="s">
        <v>74</v>
      </c>
      <c r="AT717" s="1" t="s">
        <v>276</v>
      </c>
      <c r="AU717" s="1">
        <v>2011.0</v>
      </c>
      <c r="AV717" s="1">
        <v>60.0</v>
      </c>
      <c r="AW717" s="1" t="s">
        <v>4013</v>
      </c>
      <c r="AX717" s="1" t="s">
        <v>74</v>
      </c>
      <c r="AY717" s="1" t="s">
        <v>74</v>
      </c>
      <c r="AZ717" s="1" t="s">
        <v>74</v>
      </c>
      <c r="BA717" s="1" t="s">
        <v>74</v>
      </c>
      <c r="BB717" s="1">
        <v>53.0</v>
      </c>
      <c r="BC717" s="1">
        <v>101.0</v>
      </c>
      <c r="BD717" s="1" t="s">
        <v>74</v>
      </c>
      <c r="BE717" s="1" t="s">
        <v>6089</v>
      </c>
      <c r="BF717" s="2" t="str">
        <f>HYPERLINK("http://dx.doi.org/10.1007/s00025-011-0167-0","http://dx.doi.org/10.1007/s00025-011-0167-0")</f>
        <v>http://dx.doi.org/10.1007/s00025-011-0167-0</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6090</v>
      </c>
      <c r="BT717" s="1" t="str">
        <f>HYPERLINK("https%3A%2F%2Fwww.webofscience.com%2Fwos%2Fwoscc%2Ffull-record%2FWOS:000294960100005","View Full Record in Web of Science")</f>
        <v>View Full Record in Web of Science</v>
      </c>
    </row>
    <row r="718" ht="12.75" customHeight="1">
      <c r="A718" s="1" t="s">
        <v>72</v>
      </c>
      <c r="B718" s="1" t="s">
        <v>6091</v>
      </c>
      <c r="C718" s="1" t="s">
        <v>74</v>
      </c>
      <c r="D718" s="1" t="s">
        <v>74</v>
      </c>
      <c r="E718" s="1" t="s">
        <v>74</v>
      </c>
      <c r="F718" s="1" t="s">
        <v>6092</v>
      </c>
      <c r="G718" s="1" t="s">
        <v>74</v>
      </c>
      <c r="H718" s="1" t="s">
        <v>74</v>
      </c>
      <c r="I718" s="1" t="s">
        <v>6093</v>
      </c>
      <c r="J718" s="1" t="s">
        <v>4927</v>
      </c>
      <c r="K718" s="1" t="s">
        <v>74</v>
      </c>
      <c r="L718" s="1" t="s">
        <v>74</v>
      </c>
      <c r="M718" s="1" t="s">
        <v>74</v>
      </c>
      <c r="N718" s="1" t="s">
        <v>74</v>
      </c>
      <c r="O718" s="1" t="s">
        <v>74</v>
      </c>
      <c r="P718" s="1" t="s">
        <v>74</v>
      </c>
      <c r="Q718" s="1" t="s">
        <v>74</v>
      </c>
      <c r="R718" s="1" t="s">
        <v>74</v>
      </c>
      <c r="S718" s="1" t="s">
        <v>74</v>
      </c>
      <c r="T718" s="1" t="s">
        <v>74</v>
      </c>
      <c r="U718" s="1" t="s">
        <v>74</v>
      </c>
      <c r="V718" s="1" t="s">
        <v>6094</v>
      </c>
      <c r="W718" s="1" t="s">
        <v>74</v>
      </c>
      <c r="X718" s="1" t="s">
        <v>74</v>
      </c>
      <c r="Y718" s="1" t="s">
        <v>74</v>
      </c>
      <c r="Z718" s="1" t="s">
        <v>74</v>
      </c>
      <c r="AA718" s="1" t="s">
        <v>74</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4929</v>
      </c>
      <c r="AP718" s="1" t="s">
        <v>74</v>
      </c>
      <c r="AQ718" s="1" t="s">
        <v>74</v>
      </c>
      <c r="AR718" s="1" t="s">
        <v>74</v>
      </c>
      <c r="AS718" s="1" t="s">
        <v>74</v>
      </c>
      <c r="AT718" s="1" t="s">
        <v>2819</v>
      </c>
      <c r="AU718" s="1">
        <v>2011.0</v>
      </c>
      <c r="AV718" s="1">
        <v>67.0</v>
      </c>
      <c r="AW718" s="1">
        <v>252.0</v>
      </c>
      <c r="AX718" s="1" t="s">
        <v>74</v>
      </c>
      <c r="AY718" s="1" t="s">
        <v>74</v>
      </c>
      <c r="AZ718" s="1" t="s">
        <v>74</v>
      </c>
      <c r="BA718" s="1" t="s">
        <v>74</v>
      </c>
      <c r="BB718" s="1">
        <v>265.0</v>
      </c>
      <c r="BC718" s="1">
        <v>278.0</v>
      </c>
      <c r="BD718" s="1" t="s">
        <v>74</v>
      </c>
      <c r="BE718" s="1" t="s">
        <v>74</v>
      </c>
      <c r="BF718" s="1" t="s">
        <v>74</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6095</v>
      </c>
      <c r="BT718" s="1" t="str">
        <f>HYPERLINK("https%3A%2F%2Fwww.webofscience.com%2Fwos%2Fwoscc%2Ffull-record%2FWOS:000309984600005","View Full Record in Web of Science")</f>
        <v>View Full Record in Web of Science</v>
      </c>
    </row>
    <row r="719" ht="12.75" customHeight="1">
      <c r="A719" s="1" t="s">
        <v>72</v>
      </c>
      <c r="B719" s="1" t="s">
        <v>2979</v>
      </c>
      <c r="C719" s="1" t="s">
        <v>74</v>
      </c>
      <c r="D719" s="1" t="s">
        <v>74</v>
      </c>
      <c r="E719" s="1" t="s">
        <v>74</v>
      </c>
      <c r="F719" s="1" t="s">
        <v>2980</v>
      </c>
      <c r="G719" s="1" t="s">
        <v>74</v>
      </c>
      <c r="H719" s="1" t="s">
        <v>74</v>
      </c>
      <c r="I719" s="1" t="s">
        <v>6096</v>
      </c>
      <c r="J719" s="1" t="s">
        <v>2048</v>
      </c>
      <c r="K719" s="1" t="s">
        <v>74</v>
      </c>
      <c r="L719" s="1" t="s">
        <v>74</v>
      </c>
      <c r="M719" s="1" t="s">
        <v>74</v>
      </c>
      <c r="N719" s="1" t="s">
        <v>74</v>
      </c>
      <c r="O719" s="1" t="s">
        <v>74</v>
      </c>
      <c r="P719" s="1" t="s">
        <v>74</v>
      </c>
      <c r="Q719" s="1" t="s">
        <v>74</v>
      </c>
      <c r="R719" s="1" t="s">
        <v>74</v>
      </c>
      <c r="S719" s="1" t="s">
        <v>74</v>
      </c>
      <c r="T719" s="1" t="s">
        <v>74</v>
      </c>
      <c r="U719" s="1" t="s">
        <v>74</v>
      </c>
      <c r="V719" s="1" t="s">
        <v>74</v>
      </c>
      <c r="W719" s="1" t="s">
        <v>74</v>
      </c>
      <c r="X719" s="1" t="s">
        <v>74</v>
      </c>
      <c r="Y719" s="1" t="s">
        <v>74</v>
      </c>
      <c r="Z719" s="1" t="s">
        <v>74</v>
      </c>
      <c r="AA719" s="1" t="s">
        <v>2976</v>
      </c>
      <c r="AB719" s="1" t="s">
        <v>2982</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2050</v>
      </c>
      <c r="AP719" s="1" t="s">
        <v>74</v>
      </c>
      <c r="AQ719" s="1" t="s">
        <v>74</v>
      </c>
      <c r="AR719" s="1" t="s">
        <v>74</v>
      </c>
      <c r="AS719" s="1" t="s">
        <v>74</v>
      </c>
      <c r="AT719" s="1" t="s">
        <v>224</v>
      </c>
      <c r="AU719" s="1">
        <v>2011.0</v>
      </c>
      <c r="AV719" s="1">
        <v>10.0</v>
      </c>
      <c r="AW719" s="1">
        <v>3.0</v>
      </c>
      <c r="AX719" s="1" t="s">
        <v>74</v>
      </c>
      <c r="AY719" s="1" t="s">
        <v>74</v>
      </c>
      <c r="AZ719" s="1" t="s">
        <v>74</v>
      </c>
      <c r="BA719" s="1" t="s">
        <v>74</v>
      </c>
      <c r="BB719" s="1">
        <v>173.0</v>
      </c>
      <c r="BC719" s="1">
        <v>174.0</v>
      </c>
      <c r="BD719" s="1" t="s">
        <v>74</v>
      </c>
      <c r="BE719" s="1" t="s">
        <v>74</v>
      </c>
      <c r="BF719" s="1" t="s">
        <v>74</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6097</v>
      </c>
      <c r="BT719" s="1" t="str">
        <f>HYPERLINK("https%3A%2F%2Fwww.webofscience.com%2Fwos%2Fwoscc%2Ffull-record%2FWOS:000291641700001","View Full Record in Web of Science")</f>
        <v>View Full Record in Web of Science</v>
      </c>
    </row>
    <row r="720" ht="12.75" customHeight="1">
      <c r="A720" s="1" t="s">
        <v>72</v>
      </c>
      <c r="B720" s="1" t="s">
        <v>6098</v>
      </c>
      <c r="C720" s="1" t="s">
        <v>74</v>
      </c>
      <c r="D720" s="1" t="s">
        <v>74</v>
      </c>
      <c r="E720" s="1" t="s">
        <v>74</v>
      </c>
      <c r="F720" s="1" t="s">
        <v>6099</v>
      </c>
      <c r="G720" s="1" t="s">
        <v>74</v>
      </c>
      <c r="H720" s="1" t="s">
        <v>74</v>
      </c>
      <c r="I720" s="1" t="s">
        <v>6100</v>
      </c>
      <c r="J720" s="1" t="s">
        <v>472</v>
      </c>
      <c r="K720" s="1" t="s">
        <v>74</v>
      </c>
      <c r="L720" s="1" t="s">
        <v>74</v>
      </c>
      <c r="M720" s="1" t="s">
        <v>74</v>
      </c>
      <c r="N720" s="1" t="s">
        <v>74</v>
      </c>
      <c r="O720" s="1" t="s">
        <v>74</v>
      </c>
      <c r="P720" s="1" t="s">
        <v>74</v>
      </c>
      <c r="Q720" s="1" t="s">
        <v>74</v>
      </c>
      <c r="R720" s="1" t="s">
        <v>74</v>
      </c>
      <c r="S720" s="1" t="s">
        <v>74</v>
      </c>
      <c r="T720" s="1" t="s">
        <v>74</v>
      </c>
      <c r="U720" s="1" t="s">
        <v>74</v>
      </c>
      <c r="V720" s="1" t="s">
        <v>6101</v>
      </c>
      <c r="W720" s="1" t="s">
        <v>74</v>
      </c>
      <c r="X720" s="1" t="s">
        <v>74</v>
      </c>
      <c r="Y720" s="1" t="s">
        <v>74</v>
      </c>
      <c r="Z720" s="1" t="s">
        <v>74</v>
      </c>
      <c r="AA720" s="1" t="s">
        <v>6102</v>
      </c>
      <c r="AB720" s="1" t="s">
        <v>6103</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476</v>
      </c>
      <c r="AP720" s="1" t="s">
        <v>74</v>
      </c>
      <c r="AQ720" s="1" t="s">
        <v>74</v>
      </c>
      <c r="AR720" s="1" t="s">
        <v>74</v>
      </c>
      <c r="AS720" s="1" t="s">
        <v>74</v>
      </c>
      <c r="AT720" s="1" t="s">
        <v>82</v>
      </c>
      <c r="AU720" s="1">
        <v>2010.0</v>
      </c>
      <c r="AV720" s="1">
        <v>28.0</v>
      </c>
      <c r="AW720" s="1">
        <v>2.0</v>
      </c>
      <c r="AX720" s="1" t="s">
        <v>74</v>
      </c>
      <c r="AY720" s="1" t="s">
        <v>74</v>
      </c>
      <c r="AZ720" s="1" t="s">
        <v>159</v>
      </c>
      <c r="BA720" s="1" t="s">
        <v>74</v>
      </c>
      <c r="BB720" s="1">
        <v>203.0</v>
      </c>
      <c r="BC720" s="1">
        <v>207.0</v>
      </c>
      <c r="BD720" s="1" t="s">
        <v>74</v>
      </c>
      <c r="BE720" s="1" t="s">
        <v>74</v>
      </c>
      <c r="BF720" s="1" t="s">
        <v>74</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6104</v>
      </c>
      <c r="BT720" s="1" t="str">
        <f>HYPERLINK("https%3A%2F%2Fwww.webofscience.com%2Fwos%2Fwoscc%2Ffull-record%2FWOS:000293210700009","View Full Record in Web of Science")</f>
        <v>View Full Record in Web of Science</v>
      </c>
    </row>
    <row r="721" ht="12.75" customHeight="1">
      <c r="A721" s="1" t="s">
        <v>72</v>
      </c>
      <c r="B721" s="1" t="s">
        <v>3116</v>
      </c>
      <c r="C721" s="1" t="s">
        <v>74</v>
      </c>
      <c r="D721" s="1" t="s">
        <v>74</v>
      </c>
      <c r="E721" s="1" t="s">
        <v>74</v>
      </c>
      <c r="F721" s="1" t="s">
        <v>6105</v>
      </c>
      <c r="G721" s="1" t="s">
        <v>74</v>
      </c>
      <c r="H721" s="1" t="s">
        <v>74</v>
      </c>
      <c r="I721" s="1" t="s">
        <v>6106</v>
      </c>
      <c r="J721" s="1" t="s">
        <v>6107</v>
      </c>
      <c r="K721" s="1" t="s">
        <v>74</v>
      </c>
      <c r="L721" s="1" t="s">
        <v>74</v>
      </c>
      <c r="M721" s="1" t="s">
        <v>74</v>
      </c>
      <c r="N721" s="1" t="s">
        <v>74</v>
      </c>
      <c r="O721" s="1" t="s">
        <v>74</v>
      </c>
      <c r="P721" s="1" t="s">
        <v>74</v>
      </c>
      <c r="Q721" s="1" t="s">
        <v>74</v>
      </c>
      <c r="R721" s="1" t="s">
        <v>74</v>
      </c>
      <c r="S721" s="1" t="s">
        <v>74</v>
      </c>
      <c r="T721" s="1" t="s">
        <v>74</v>
      </c>
      <c r="U721" s="1" t="s">
        <v>74</v>
      </c>
      <c r="V721" s="1" t="s">
        <v>6108</v>
      </c>
      <c r="W721" s="1" t="s">
        <v>74</v>
      </c>
      <c r="X721" s="1" t="s">
        <v>74</v>
      </c>
      <c r="Y721" s="1" t="s">
        <v>74</v>
      </c>
      <c r="Z721" s="1" t="s">
        <v>74</v>
      </c>
      <c r="AA721" s="1" t="s">
        <v>74</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6109</v>
      </c>
      <c r="AP721" s="1" t="s">
        <v>74</v>
      </c>
      <c r="AQ721" s="1" t="s">
        <v>74</v>
      </c>
      <c r="AR721" s="1" t="s">
        <v>74</v>
      </c>
      <c r="AS721" s="1" t="s">
        <v>74</v>
      </c>
      <c r="AT721" s="1" t="s">
        <v>158</v>
      </c>
      <c r="AU721" s="1">
        <v>2010.0</v>
      </c>
      <c r="AV721" s="1">
        <v>34.0</v>
      </c>
      <c r="AW721" s="1">
        <v>3.0</v>
      </c>
      <c r="AX721" s="1" t="s">
        <v>74</v>
      </c>
      <c r="AY721" s="1" t="s">
        <v>74</v>
      </c>
      <c r="AZ721" s="1" t="s">
        <v>74</v>
      </c>
      <c r="BA721" s="1" t="s">
        <v>74</v>
      </c>
      <c r="BB721" s="1">
        <v>134.0</v>
      </c>
      <c r="BC721" s="1">
        <v>136.0</v>
      </c>
      <c r="BD721" s="1" t="s">
        <v>74</v>
      </c>
      <c r="BE721" s="1" t="s">
        <v>6110</v>
      </c>
      <c r="BF721" s="2" t="str">
        <f>HYPERLINK("http://dx.doi.org/10.1152/advan.00021.2010","http://dx.doi.org/10.1152/advan.00021.2010")</f>
        <v>http://dx.doi.org/10.1152/advan.00021.2010</v>
      </c>
      <c r="BG721" s="1" t="s">
        <v>74</v>
      </c>
      <c r="BH721" s="1" t="s">
        <v>74</v>
      </c>
      <c r="BI721" s="1" t="s">
        <v>74</v>
      </c>
      <c r="BJ721" s="1" t="s">
        <v>74</v>
      </c>
      <c r="BK721" s="1" t="s">
        <v>74</v>
      </c>
      <c r="BL721" s="1" t="s">
        <v>74</v>
      </c>
      <c r="BM721" s="1" t="s">
        <v>74</v>
      </c>
      <c r="BN721" s="1">
        <v>2.0826767E7</v>
      </c>
      <c r="BO721" s="1" t="s">
        <v>74</v>
      </c>
      <c r="BP721" s="1" t="s">
        <v>74</v>
      </c>
      <c r="BQ721" s="1" t="s">
        <v>74</v>
      </c>
      <c r="BR721" s="1" t="s">
        <v>74</v>
      </c>
      <c r="BS721" s="1" t="s">
        <v>6111</v>
      </c>
      <c r="BT721" s="1" t="str">
        <f>HYPERLINK("https%3A%2F%2Fwww.webofscience.com%2Fwos%2Fwoscc%2Ffull-record%2FWOS:000282286400003","View Full Record in Web of Science")</f>
        <v>View Full Record in Web of Science</v>
      </c>
    </row>
    <row r="722" ht="12.75" customHeight="1">
      <c r="A722" s="1" t="s">
        <v>72</v>
      </c>
      <c r="B722" s="1" t="s">
        <v>3129</v>
      </c>
      <c r="C722" s="1" t="s">
        <v>74</v>
      </c>
      <c r="D722" s="1" t="s">
        <v>74</v>
      </c>
      <c r="E722" s="1" t="s">
        <v>74</v>
      </c>
      <c r="F722" s="1" t="s">
        <v>3130</v>
      </c>
      <c r="G722" s="1" t="s">
        <v>74</v>
      </c>
      <c r="H722" s="1" t="s">
        <v>74</v>
      </c>
      <c r="I722" s="1" t="s">
        <v>6112</v>
      </c>
      <c r="J722" s="1" t="s">
        <v>2196</v>
      </c>
      <c r="K722" s="1" t="s">
        <v>74</v>
      </c>
      <c r="L722" s="1" t="s">
        <v>74</v>
      </c>
      <c r="M722" s="1" t="s">
        <v>74</v>
      </c>
      <c r="N722" s="1" t="s">
        <v>74</v>
      </c>
      <c r="O722" s="1" t="s">
        <v>74</v>
      </c>
      <c r="P722" s="1" t="s">
        <v>74</v>
      </c>
      <c r="Q722" s="1" t="s">
        <v>74</v>
      </c>
      <c r="R722" s="1" t="s">
        <v>74</v>
      </c>
      <c r="S722" s="1" t="s">
        <v>74</v>
      </c>
      <c r="T722" s="1" t="s">
        <v>74</v>
      </c>
      <c r="U722" s="1" t="s">
        <v>74</v>
      </c>
      <c r="V722" s="1" t="s">
        <v>74</v>
      </c>
      <c r="W722" s="1" t="s">
        <v>74</v>
      </c>
      <c r="X722" s="1" t="s">
        <v>74</v>
      </c>
      <c r="Y722" s="1" t="s">
        <v>74</v>
      </c>
      <c r="Z722" s="1" t="s">
        <v>74</v>
      </c>
      <c r="AA722" s="1" t="s">
        <v>74</v>
      </c>
      <c r="AB722" s="1" t="s">
        <v>74</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2197</v>
      </c>
      <c r="AP722" s="1" t="s">
        <v>74</v>
      </c>
      <c r="AQ722" s="1" t="s">
        <v>74</v>
      </c>
      <c r="AR722" s="1" t="s">
        <v>74</v>
      </c>
      <c r="AS722" s="1" t="s">
        <v>74</v>
      </c>
      <c r="AT722" s="1" t="s">
        <v>193</v>
      </c>
      <c r="AU722" s="1">
        <v>2010.0</v>
      </c>
      <c r="AV722" s="1" t="s">
        <v>74</v>
      </c>
      <c r="AW722" s="1">
        <v>76.0</v>
      </c>
      <c r="AX722" s="1" t="s">
        <v>74</v>
      </c>
      <c r="AY722" s="1" t="s">
        <v>74</v>
      </c>
      <c r="AZ722" s="1" t="s">
        <v>74</v>
      </c>
      <c r="BA722" s="1" t="s">
        <v>74</v>
      </c>
      <c r="BB722" s="1">
        <v>105.0</v>
      </c>
      <c r="BC722" s="1">
        <v>127.0</v>
      </c>
      <c r="BD722" s="1" t="s">
        <v>74</v>
      </c>
      <c r="BE722" s="1" t="s">
        <v>74</v>
      </c>
      <c r="BF722" s="1" t="s">
        <v>74</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6113</v>
      </c>
      <c r="BT722" s="1" t="str">
        <f>HYPERLINK("https%3A%2F%2Fwww.webofscience.com%2Fwos%2Fwoscc%2Ffull-record%2FWOS:000277893400006","View Full Record in Web of Science")</f>
        <v>View Full Record in Web of Science</v>
      </c>
    </row>
    <row r="723" ht="12.75" customHeight="1">
      <c r="A723" s="1" t="s">
        <v>72</v>
      </c>
      <c r="B723" s="1" t="s">
        <v>6114</v>
      </c>
      <c r="C723" s="1" t="s">
        <v>74</v>
      </c>
      <c r="D723" s="1" t="s">
        <v>74</v>
      </c>
      <c r="E723" s="1" t="s">
        <v>74</v>
      </c>
      <c r="F723" s="1" t="s">
        <v>6115</v>
      </c>
      <c r="G723" s="1" t="s">
        <v>74</v>
      </c>
      <c r="H723" s="1" t="s">
        <v>74</v>
      </c>
      <c r="I723" s="1" t="s">
        <v>6116</v>
      </c>
      <c r="J723" s="1" t="s">
        <v>1091</v>
      </c>
      <c r="K723" s="1" t="s">
        <v>74</v>
      </c>
      <c r="L723" s="1" t="s">
        <v>74</v>
      </c>
      <c r="M723" s="1" t="s">
        <v>74</v>
      </c>
      <c r="N723" s="1" t="s">
        <v>74</v>
      </c>
      <c r="O723" s="1" t="s">
        <v>74</v>
      </c>
      <c r="P723" s="1" t="s">
        <v>74</v>
      </c>
      <c r="Q723" s="1" t="s">
        <v>74</v>
      </c>
      <c r="R723" s="1" t="s">
        <v>74</v>
      </c>
      <c r="S723" s="1" t="s">
        <v>74</v>
      </c>
      <c r="T723" s="1" t="s">
        <v>74</v>
      </c>
      <c r="U723" s="1" t="s">
        <v>74</v>
      </c>
      <c r="V723" s="1" t="s">
        <v>6117</v>
      </c>
      <c r="W723" s="1" t="s">
        <v>74</v>
      </c>
      <c r="X723" s="1" t="s">
        <v>74</v>
      </c>
      <c r="Y723" s="1" t="s">
        <v>74</v>
      </c>
      <c r="Z723" s="1" t="s">
        <v>74</v>
      </c>
      <c r="AA723" s="1" t="s">
        <v>74</v>
      </c>
      <c r="AB723" s="1" t="s">
        <v>6118</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6119</v>
      </c>
      <c r="AP723" s="1" t="s">
        <v>74</v>
      </c>
      <c r="AQ723" s="1" t="s">
        <v>74</v>
      </c>
      <c r="AR723" s="1" t="s">
        <v>74</v>
      </c>
      <c r="AS723" s="1" t="s">
        <v>74</v>
      </c>
      <c r="AT723" s="1" t="s">
        <v>74</v>
      </c>
      <c r="AU723" s="1">
        <v>2010.0</v>
      </c>
      <c r="AV723" s="1">
        <v>38.0</v>
      </c>
      <c r="AW723" s="1">
        <v>1.0</v>
      </c>
      <c r="AX723" s="1" t="s">
        <v>74</v>
      </c>
      <c r="AY723" s="1" t="s">
        <v>74</v>
      </c>
      <c r="AZ723" s="1" t="s">
        <v>74</v>
      </c>
      <c r="BA723" s="1" t="s">
        <v>74</v>
      </c>
      <c r="BB723" s="1">
        <v>5.0</v>
      </c>
      <c r="BC723" s="1">
        <v>18.0</v>
      </c>
      <c r="BD723" s="1" t="s">
        <v>74</v>
      </c>
      <c r="BE723" s="1" t="s">
        <v>74</v>
      </c>
      <c r="BF723" s="1" t="s">
        <v>74</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6120</v>
      </c>
      <c r="BT723" s="1" t="str">
        <f>HYPERLINK("https%3A%2F%2Fwww.webofscience.com%2Fwos%2Fwoscc%2Ffull-record%2FWOS:000279875100001","View Full Record in Web of Science")</f>
        <v>View Full Record in Web of Science</v>
      </c>
    </row>
    <row r="724" ht="12.75" customHeight="1">
      <c r="A724" s="1" t="s">
        <v>72</v>
      </c>
      <c r="B724" s="1" t="s">
        <v>6121</v>
      </c>
      <c r="C724" s="1" t="s">
        <v>74</v>
      </c>
      <c r="D724" s="1" t="s">
        <v>74</v>
      </c>
      <c r="E724" s="1" t="s">
        <v>74</v>
      </c>
      <c r="F724" s="1" t="s">
        <v>6122</v>
      </c>
      <c r="G724" s="1" t="s">
        <v>74</v>
      </c>
      <c r="H724" s="1" t="s">
        <v>74</v>
      </c>
      <c r="I724" s="1" t="s">
        <v>6123</v>
      </c>
      <c r="J724" s="1" t="s">
        <v>698</v>
      </c>
      <c r="K724" s="1" t="s">
        <v>74</v>
      </c>
      <c r="L724" s="1" t="s">
        <v>74</v>
      </c>
      <c r="M724" s="1" t="s">
        <v>74</v>
      </c>
      <c r="N724" s="1" t="s">
        <v>74</v>
      </c>
      <c r="O724" s="1" t="s">
        <v>74</v>
      </c>
      <c r="P724" s="1" t="s">
        <v>74</v>
      </c>
      <c r="Q724" s="1" t="s">
        <v>74</v>
      </c>
      <c r="R724" s="1" t="s">
        <v>74</v>
      </c>
      <c r="S724" s="1" t="s">
        <v>74</v>
      </c>
      <c r="T724" s="1" t="s">
        <v>74</v>
      </c>
      <c r="U724" s="1" t="s">
        <v>74</v>
      </c>
      <c r="V724" s="1" t="s">
        <v>6124</v>
      </c>
      <c r="W724" s="1" t="s">
        <v>74</v>
      </c>
      <c r="X724" s="1" t="s">
        <v>74</v>
      </c>
      <c r="Y724" s="1" t="s">
        <v>74</v>
      </c>
      <c r="Z724" s="1" t="s">
        <v>74</v>
      </c>
      <c r="AA724" s="1" t="s">
        <v>6125</v>
      </c>
      <c r="AB724" s="1" t="s">
        <v>701</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2256</v>
      </c>
      <c r="AP724" s="1" t="s">
        <v>74</v>
      </c>
      <c r="AQ724" s="1" t="s">
        <v>74</v>
      </c>
      <c r="AR724" s="1" t="s">
        <v>74</v>
      </c>
      <c r="AS724" s="1" t="s">
        <v>74</v>
      </c>
      <c r="AT724" s="1" t="s">
        <v>82</v>
      </c>
      <c r="AU724" s="1">
        <v>2009.0</v>
      </c>
      <c r="AV724" s="1">
        <v>54.0</v>
      </c>
      <c r="AW724" s="1">
        <v>4.0</v>
      </c>
      <c r="AX724" s="1" t="s">
        <v>74</v>
      </c>
      <c r="AY724" s="1" t="s">
        <v>74</v>
      </c>
      <c r="AZ724" s="1" t="s">
        <v>74</v>
      </c>
      <c r="BA724" s="1" t="s">
        <v>74</v>
      </c>
      <c r="BB724" s="1">
        <v>437.0</v>
      </c>
      <c r="BC724" s="1">
        <v>438.0</v>
      </c>
      <c r="BD724" s="1" t="s">
        <v>74</v>
      </c>
      <c r="BE724" s="1" t="s">
        <v>74</v>
      </c>
      <c r="BF724" s="1" t="s">
        <v>74</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6126</v>
      </c>
      <c r="BT724" s="1" t="str">
        <f>HYPERLINK("https%3A%2F%2Fwww.webofscience.com%2Fwos%2Fwoscc%2Ffull-record%2FWOS:000273751200025","View Full Record in Web of Science")</f>
        <v>View Full Record in Web of Science</v>
      </c>
    </row>
    <row r="725" ht="12.75" customHeight="1">
      <c r="A725" s="1" t="s">
        <v>72</v>
      </c>
      <c r="B725" s="1" t="s">
        <v>6127</v>
      </c>
      <c r="C725" s="1" t="s">
        <v>74</v>
      </c>
      <c r="D725" s="1" t="s">
        <v>74</v>
      </c>
      <c r="E725" s="1" t="s">
        <v>74</v>
      </c>
      <c r="F725" s="1" t="s">
        <v>6128</v>
      </c>
      <c r="G725" s="1" t="s">
        <v>74</v>
      </c>
      <c r="H725" s="1" t="s">
        <v>74</v>
      </c>
      <c r="I725" s="1" t="s">
        <v>6129</v>
      </c>
      <c r="J725" s="1" t="s">
        <v>5319</v>
      </c>
      <c r="K725" s="1" t="s">
        <v>74</v>
      </c>
      <c r="L725" s="1" t="s">
        <v>74</v>
      </c>
      <c r="M725" s="1" t="s">
        <v>74</v>
      </c>
      <c r="N725" s="1" t="s">
        <v>74</v>
      </c>
      <c r="O725" s="1" t="s">
        <v>74</v>
      </c>
      <c r="P725" s="1" t="s">
        <v>74</v>
      </c>
      <c r="Q725" s="1" t="s">
        <v>74</v>
      </c>
      <c r="R725" s="1" t="s">
        <v>74</v>
      </c>
      <c r="S725" s="1" t="s">
        <v>74</v>
      </c>
      <c r="T725" s="1" t="s">
        <v>74</v>
      </c>
      <c r="U725" s="1" t="s">
        <v>74</v>
      </c>
      <c r="V725" s="1" t="s">
        <v>6130</v>
      </c>
      <c r="W725" s="1" t="s">
        <v>74</v>
      </c>
      <c r="X725" s="1" t="s">
        <v>74</v>
      </c>
      <c r="Y725" s="1" t="s">
        <v>74</v>
      </c>
      <c r="Z725" s="1" t="s">
        <v>74</v>
      </c>
      <c r="AA725" s="1" t="s">
        <v>5420</v>
      </c>
      <c r="AB725" s="1" t="s">
        <v>6131</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5323</v>
      </c>
      <c r="AP725" s="1" t="s">
        <v>5324</v>
      </c>
      <c r="AQ725" s="1" t="s">
        <v>74</v>
      </c>
      <c r="AR725" s="1" t="s">
        <v>74</v>
      </c>
      <c r="AS725" s="1" t="s">
        <v>74</v>
      </c>
      <c r="AT725" s="1" t="s">
        <v>91</v>
      </c>
      <c r="AU725" s="1">
        <v>2009.0</v>
      </c>
      <c r="AV725" s="1">
        <v>42.0</v>
      </c>
      <c r="AW725" s="1">
        <v>6.0</v>
      </c>
      <c r="AX725" s="1" t="s">
        <v>74</v>
      </c>
      <c r="AY725" s="1" t="s">
        <v>74</v>
      </c>
      <c r="AZ725" s="1" t="s">
        <v>74</v>
      </c>
      <c r="BA725" s="1" t="s">
        <v>74</v>
      </c>
      <c r="BB725" s="1">
        <v>1164.0</v>
      </c>
      <c r="BC725" s="1">
        <v>1173.0</v>
      </c>
      <c r="BD725" s="1" t="s">
        <v>74</v>
      </c>
      <c r="BE725" s="1" t="s">
        <v>6132</v>
      </c>
      <c r="BF725" s="2" t="str">
        <f>HYPERLINK("http://dx.doi.org/10.1016/j.lwt.2009.01.008","http://dx.doi.org/10.1016/j.lwt.2009.01.008")</f>
        <v>http://dx.doi.org/10.1016/j.lwt.2009.01.008</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6133</v>
      </c>
      <c r="BT725" s="1" t="str">
        <f>HYPERLINK("https%3A%2F%2Fwww.webofscience.com%2Fwos%2Fwoscc%2Ffull-record%2FWOS:000265771200020","View Full Record in Web of Science")</f>
        <v>View Full Record in Web of Science</v>
      </c>
    </row>
    <row r="726" ht="12.75" customHeight="1">
      <c r="A726" s="1" t="s">
        <v>126</v>
      </c>
      <c r="B726" s="1" t="s">
        <v>6134</v>
      </c>
      <c r="C726" s="1" t="s">
        <v>74</v>
      </c>
      <c r="D726" s="1" t="s">
        <v>74</v>
      </c>
      <c r="E726" s="1" t="s">
        <v>458</v>
      </c>
      <c r="F726" s="1" t="s">
        <v>6135</v>
      </c>
      <c r="G726" s="1" t="s">
        <v>74</v>
      </c>
      <c r="H726" s="1" t="s">
        <v>74</v>
      </c>
      <c r="I726" s="1" t="s">
        <v>6136</v>
      </c>
      <c r="J726" s="1" t="s">
        <v>1566</v>
      </c>
      <c r="K726" s="1" t="s">
        <v>74</v>
      </c>
      <c r="L726" s="1" t="s">
        <v>74</v>
      </c>
      <c r="M726" s="1" t="s">
        <v>74</v>
      </c>
      <c r="N726" s="1" t="s">
        <v>74</v>
      </c>
      <c r="O726" s="1" t="s">
        <v>1567</v>
      </c>
      <c r="P726" s="1" t="s">
        <v>1568</v>
      </c>
      <c r="Q726" s="1" t="s">
        <v>1569</v>
      </c>
      <c r="R726" s="1" t="s">
        <v>1570</v>
      </c>
      <c r="S726" s="1" t="s">
        <v>74</v>
      </c>
      <c r="T726" s="1" t="s">
        <v>74</v>
      </c>
      <c r="U726" s="1" t="s">
        <v>74</v>
      </c>
      <c r="V726" s="1" t="s">
        <v>6137</v>
      </c>
      <c r="W726" s="1" t="s">
        <v>74</v>
      </c>
      <c r="X726" s="1" t="s">
        <v>74</v>
      </c>
      <c r="Y726" s="1" t="s">
        <v>74</v>
      </c>
      <c r="Z726" s="1" t="s">
        <v>74</v>
      </c>
      <c r="AA726" s="1" t="s">
        <v>74</v>
      </c>
      <c r="AB726" s="1" t="s">
        <v>74</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74</v>
      </c>
      <c r="AP726" s="1" t="s">
        <v>74</v>
      </c>
      <c r="AQ726" s="1" t="s">
        <v>1574</v>
      </c>
      <c r="AR726" s="1" t="s">
        <v>74</v>
      </c>
      <c r="AS726" s="1" t="s">
        <v>74</v>
      </c>
      <c r="AT726" s="1" t="s">
        <v>74</v>
      </c>
      <c r="AU726" s="1">
        <v>2009.0</v>
      </c>
      <c r="AV726" s="1" t="s">
        <v>74</v>
      </c>
      <c r="AW726" s="1" t="s">
        <v>74</v>
      </c>
      <c r="AX726" s="1" t="s">
        <v>74</v>
      </c>
      <c r="AY726" s="1" t="s">
        <v>74</v>
      </c>
      <c r="AZ726" s="1" t="s">
        <v>74</v>
      </c>
      <c r="BA726" s="1" t="s">
        <v>74</v>
      </c>
      <c r="BB726" s="1">
        <v>201.0</v>
      </c>
      <c r="BC726" s="1">
        <v>206.0</v>
      </c>
      <c r="BD726" s="1" t="s">
        <v>74</v>
      </c>
      <c r="BE726" s="1" t="s">
        <v>74</v>
      </c>
      <c r="BF726" s="1" t="s">
        <v>74</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6138</v>
      </c>
      <c r="BT726" s="1" t="str">
        <f>HYPERLINK("https%3A%2F%2Fwww.webofscience.com%2Fwos%2Fwoscc%2Ffull-record%2FWOS:000265788300022","View Full Record in Web of Science")</f>
        <v>View Full Record in Web of Science</v>
      </c>
    </row>
    <row r="727" ht="12.75" customHeight="1">
      <c r="A727" s="1" t="s">
        <v>72</v>
      </c>
      <c r="B727" s="1" t="s">
        <v>3492</v>
      </c>
      <c r="C727" s="1" t="s">
        <v>74</v>
      </c>
      <c r="D727" s="1" t="s">
        <v>74</v>
      </c>
      <c r="E727" s="1" t="s">
        <v>74</v>
      </c>
      <c r="F727" s="1" t="s">
        <v>3493</v>
      </c>
      <c r="G727" s="1" t="s">
        <v>74</v>
      </c>
      <c r="H727" s="1" t="s">
        <v>74</v>
      </c>
      <c r="I727" s="1" t="s">
        <v>6139</v>
      </c>
      <c r="J727" s="1" t="s">
        <v>2857</v>
      </c>
      <c r="K727" s="1" t="s">
        <v>74</v>
      </c>
      <c r="L727" s="1" t="s">
        <v>74</v>
      </c>
      <c r="M727" s="1" t="s">
        <v>74</v>
      </c>
      <c r="N727" s="1" t="s">
        <v>74</v>
      </c>
      <c r="O727" s="1" t="s">
        <v>74</v>
      </c>
      <c r="P727" s="1" t="s">
        <v>74</v>
      </c>
      <c r="Q727" s="1" t="s">
        <v>74</v>
      </c>
      <c r="R727" s="1" t="s">
        <v>74</v>
      </c>
      <c r="S727" s="1" t="s">
        <v>74</v>
      </c>
      <c r="T727" s="1" t="s">
        <v>74</v>
      </c>
      <c r="U727" s="1" t="s">
        <v>74</v>
      </c>
      <c r="V727" s="1" t="s">
        <v>74</v>
      </c>
      <c r="W727" s="1" t="s">
        <v>74</v>
      </c>
      <c r="X727" s="1" t="s">
        <v>74</v>
      </c>
      <c r="Y727" s="1" t="s">
        <v>74</v>
      </c>
      <c r="Z727" s="1" t="s">
        <v>74</v>
      </c>
      <c r="AA727" s="1" t="s">
        <v>74</v>
      </c>
      <c r="AB727" s="1" t="s">
        <v>6140</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2858</v>
      </c>
      <c r="AP727" s="1" t="s">
        <v>2859</v>
      </c>
      <c r="AQ727" s="1" t="s">
        <v>74</v>
      </c>
      <c r="AR727" s="1" t="s">
        <v>74</v>
      </c>
      <c r="AS727" s="1" t="s">
        <v>74</v>
      </c>
      <c r="AT727" s="1" t="s">
        <v>974</v>
      </c>
      <c r="AU727" s="1">
        <v>2008.0</v>
      </c>
      <c r="AV727" s="1">
        <v>88.0</v>
      </c>
      <c r="AW727" s="1">
        <v>3.0</v>
      </c>
      <c r="AX727" s="1" t="s">
        <v>74</v>
      </c>
      <c r="AY727" s="1" t="s">
        <v>74</v>
      </c>
      <c r="AZ727" s="1" t="s">
        <v>74</v>
      </c>
      <c r="BA727" s="1" t="s">
        <v>74</v>
      </c>
      <c r="BB727" s="1">
        <v>361.0</v>
      </c>
      <c r="BC727" s="1">
        <v>391.0</v>
      </c>
      <c r="BD727" s="1" t="s">
        <v>74</v>
      </c>
      <c r="BE727" s="1" t="s">
        <v>6141</v>
      </c>
      <c r="BF727" s="2" t="str">
        <f>HYPERLINK("http://dx.doi.org/10.1215/00182168-2008-329","http://dx.doi.org/10.1215/00182168-2008-329")</f>
        <v>http://dx.doi.org/10.1215/00182168-2008-329</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6142</v>
      </c>
      <c r="BT727" s="1" t="str">
        <f>HYPERLINK("https%3A%2F%2Fwww.webofscience.com%2Fwos%2Fwoscc%2Ffull-record%2FWOS:000257746800001","View Full Record in Web of Science")</f>
        <v>View Full Record in Web of Science</v>
      </c>
    </row>
    <row r="728" ht="12.75" customHeight="1">
      <c r="A728" s="1" t="s">
        <v>72</v>
      </c>
      <c r="B728" s="1" t="s">
        <v>3258</v>
      </c>
      <c r="C728" s="1" t="s">
        <v>74</v>
      </c>
      <c r="D728" s="1" t="s">
        <v>74</v>
      </c>
      <c r="E728" s="1" t="s">
        <v>74</v>
      </c>
      <c r="F728" s="1" t="s">
        <v>6143</v>
      </c>
      <c r="G728" s="1" t="s">
        <v>74</v>
      </c>
      <c r="H728" s="1" t="s">
        <v>74</v>
      </c>
      <c r="I728" s="1" t="s">
        <v>6144</v>
      </c>
      <c r="J728" s="1" t="s">
        <v>698</v>
      </c>
      <c r="K728" s="1" t="s">
        <v>74</v>
      </c>
      <c r="L728" s="1" t="s">
        <v>74</v>
      </c>
      <c r="M728" s="1" t="s">
        <v>74</v>
      </c>
      <c r="N728" s="1" t="s">
        <v>74</v>
      </c>
      <c r="O728" s="1" t="s">
        <v>74</v>
      </c>
      <c r="P728" s="1" t="s">
        <v>74</v>
      </c>
      <c r="Q728" s="1" t="s">
        <v>74</v>
      </c>
      <c r="R728" s="1" t="s">
        <v>74</v>
      </c>
      <c r="S728" s="1" t="s">
        <v>74</v>
      </c>
      <c r="T728" s="1" t="s">
        <v>74</v>
      </c>
      <c r="U728" s="1" t="s">
        <v>74</v>
      </c>
      <c r="V728" s="1" t="s">
        <v>6145</v>
      </c>
      <c r="W728" s="1" t="s">
        <v>74</v>
      </c>
      <c r="X728" s="1" t="s">
        <v>74</v>
      </c>
      <c r="Y728" s="1" t="s">
        <v>74</v>
      </c>
      <c r="Z728" s="1" t="s">
        <v>74</v>
      </c>
      <c r="AA728" s="1" t="s">
        <v>74</v>
      </c>
      <c r="AB728" s="1" t="s">
        <v>701</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2256</v>
      </c>
      <c r="AP728" s="1" t="s">
        <v>74</v>
      </c>
      <c r="AQ728" s="1" t="s">
        <v>74</v>
      </c>
      <c r="AR728" s="1" t="s">
        <v>74</v>
      </c>
      <c r="AS728" s="1" t="s">
        <v>74</v>
      </c>
      <c r="AT728" s="1" t="s">
        <v>256</v>
      </c>
      <c r="AU728" s="1">
        <v>2008.0</v>
      </c>
      <c r="AV728" s="1">
        <v>53.0</v>
      </c>
      <c r="AW728" s="1">
        <v>1.0</v>
      </c>
      <c r="AX728" s="1" t="s">
        <v>74</v>
      </c>
      <c r="AY728" s="1" t="s">
        <v>74</v>
      </c>
      <c r="AZ728" s="1" t="s">
        <v>74</v>
      </c>
      <c r="BA728" s="1" t="s">
        <v>74</v>
      </c>
      <c r="BB728" s="1">
        <v>1411.0</v>
      </c>
      <c r="BC728" s="1">
        <v>1412.0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6146</v>
      </c>
      <c r="BT728" s="1" t="str">
        <f>HYPERLINK("https%3A%2F%2Fwww.webofscience.com%2Fwos%2Fwoscc%2Ffull-record%2FWOS:000254056500018","View Full Record in Web of Science")</f>
        <v>View Full Record in Web of Science</v>
      </c>
    </row>
    <row r="729" ht="12.75" customHeight="1">
      <c r="A729" s="1" t="s">
        <v>72</v>
      </c>
      <c r="B729" s="1" t="s">
        <v>6147</v>
      </c>
      <c r="C729" s="1" t="s">
        <v>74</v>
      </c>
      <c r="D729" s="1" t="s">
        <v>74</v>
      </c>
      <c r="E729" s="1" t="s">
        <v>74</v>
      </c>
      <c r="F729" s="1" t="s">
        <v>6148</v>
      </c>
      <c r="G729" s="1" t="s">
        <v>74</v>
      </c>
      <c r="H729" s="1" t="s">
        <v>74</v>
      </c>
      <c r="I729" s="1" t="s">
        <v>6149</v>
      </c>
      <c r="J729" s="1" t="s">
        <v>6150</v>
      </c>
      <c r="K729" s="1" t="s">
        <v>74</v>
      </c>
      <c r="L729" s="1" t="s">
        <v>74</v>
      </c>
      <c r="M729" s="1" t="s">
        <v>74</v>
      </c>
      <c r="N729" s="1" t="s">
        <v>74</v>
      </c>
      <c r="O729" s="1" t="s">
        <v>74</v>
      </c>
      <c r="P729" s="1" t="s">
        <v>74</v>
      </c>
      <c r="Q729" s="1" t="s">
        <v>74</v>
      </c>
      <c r="R729" s="1" t="s">
        <v>74</v>
      </c>
      <c r="S729" s="1" t="s">
        <v>74</v>
      </c>
      <c r="T729" s="1" t="s">
        <v>74</v>
      </c>
      <c r="U729" s="1" t="s">
        <v>74</v>
      </c>
      <c r="V729" s="1" t="s">
        <v>6151</v>
      </c>
      <c r="W729" s="1" t="s">
        <v>74</v>
      </c>
      <c r="X729" s="1" t="s">
        <v>74</v>
      </c>
      <c r="Y729" s="1" t="s">
        <v>74</v>
      </c>
      <c r="Z729" s="1" t="s">
        <v>74</v>
      </c>
      <c r="AA729" s="1" t="s">
        <v>3231</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6152</v>
      </c>
      <c r="AP729" s="1" t="s">
        <v>6153</v>
      </c>
      <c r="AQ729" s="1" t="s">
        <v>74</v>
      </c>
      <c r="AR729" s="1" t="s">
        <v>74</v>
      </c>
      <c r="AS729" s="1" t="s">
        <v>74</v>
      </c>
      <c r="AT729" s="1" t="s">
        <v>74</v>
      </c>
      <c r="AU729" s="1">
        <v>2006.0</v>
      </c>
      <c r="AV729" s="1">
        <v>15.0</v>
      </c>
      <c r="AW729" s="1">
        <v>6.0</v>
      </c>
      <c r="AX729" s="1" t="s">
        <v>74</v>
      </c>
      <c r="AY729" s="1" t="s">
        <v>74</v>
      </c>
      <c r="AZ729" s="1" t="s">
        <v>74</v>
      </c>
      <c r="BA729" s="1" t="s">
        <v>74</v>
      </c>
      <c r="BB729" s="1">
        <v>524.0</v>
      </c>
      <c r="BC729" s="1">
        <v>529.0</v>
      </c>
      <c r="BD729" s="1" t="s">
        <v>74</v>
      </c>
      <c r="BE729" s="1" t="s">
        <v>74</v>
      </c>
      <c r="BF729" s="1" t="s">
        <v>74</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6154</v>
      </c>
      <c r="BT729" s="1" t="str">
        <f>HYPERLINK("https%3A%2F%2Fwww.webofscience.com%2Fwos%2Fwoscc%2Ffull-record%2FWOS:000239177700010","View Full Record in Web of Science")</f>
        <v>View Full Record in Web of Science</v>
      </c>
    </row>
    <row r="730" ht="12.75" customHeight="1">
      <c r="A730" s="1" t="s">
        <v>638</v>
      </c>
      <c r="B730" s="1" t="s">
        <v>6155</v>
      </c>
      <c r="C730" s="1" t="s">
        <v>74</v>
      </c>
      <c r="D730" s="1" t="s">
        <v>6156</v>
      </c>
      <c r="E730" s="1" t="s">
        <v>74</v>
      </c>
      <c r="F730" s="1" t="s">
        <v>6155</v>
      </c>
      <c r="G730" s="1" t="s">
        <v>74</v>
      </c>
      <c r="H730" s="1" t="s">
        <v>74</v>
      </c>
      <c r="I730" s="1" t="s">
        <v>6157</v>
      </c>
      <c r="J730" s="1" t="s">
        <v>6158</v>
      </c>
      <c r="K730" s="1" t="s">
        <v>499</v>
      </c>
      <c r="L730" s="1" t="s">
        <v>74</v>
      </c>
      <c r="M730" s="1" t="s">
        <v>74</v>
      </c>
      <c r="N730" s="1" t="s">
        <v>74</v>
      </c>
      <c r="O730" s="1" t="s">
        <v>6159</v>
      </c>
      <c r="P730" s="1" t="s">
        <v>6160</v>
      </c>
      <c r="Q730" s="1" t="s">
        <v>6161</v>
      </c>
      <c r="R730" s="1" t="s">
        <v>6162</v>
      </c>
      <c r="S730" s="1" t="s">
        <v>74</v>
      </c>
      <c r="T730" s="1" t="s">
        <v>74</v>
      </c>
      <c r="U730" s="1" t="s">
        <v>74</v>
      </c>
      <c r="V730" s="1" t="s">
        <v>6163</v>
      </c>
      <c r="W730" s="1" t="s">
        <v>74</v>
      </c>
      <c r="X730" s="1" t="s">
        <v>74</v>
      </c>
      <c r="Y730" s="1" t="s">
        <v>74</v>
      </c>
      <c r="Z730" s="1" t="s">
        <v>74</v>
      </c>
      <c r="AA730" s="1" t="s">
        <v>4482</v>
      </c>
      <c r="AB730" s="1" t="s">
        <v>505</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506</v>
      </c>
      <c r="AP730" s="1" t="s">
        <v>507</v>
      </c>
      <c r="AQ730" s="1" t="s">
        <v>6164</v>
      </c>
      <c r="AR730" s="1" t="s">
        <v>74</v>
      </c>
      <c r="AS730" s="1" t="s">
        <v>74</v>
      </c>
      <c r="AT730" s="1" t="s">
        <v>74</v>
      </c>
      <c r="AU730" s="1">
        <v>2005.0</v>
      </c>
      <c r="AV730" s="1">
        <v>3497.0</v>
      </c>
      <c r="AW730" s="1" t="s">
        <v>74</v>
      </c>
      <c r="AX730" s="1" t="s">
        <v>74</v>
      </c>
      <c r="AY730" s="1" t="s">
        <v>74</v>
      </c>
      <c r="AZ730" s="1" t="s">
        <v>74</v>
      </c>
      <c r="BA730" s="1" t="s">
        <v>74</v>
      </c>
      <c r="BB730" s="1">
        <v>448.0</v>
      </c>
      <c r="BC730" s="1">
        <v>453.0</v>
      </c>
      <c r="BD730" s="1" t="s">
        <v>74</v>
      </c>
      <c r="BE730" s="1" t="s">
        <v>74</v>
      </c>
      <c r="BF730" s="1" t="s">
        <v>74</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6165</v>
      </c>
      <c r="BT730" s="1" t="str">
        <f>HYPERLINK("https%3A%2F%2Fwww.webofscience.com%2Fwos%2Fwoscc%2Ffull-record%2FWOS:000230167200073","View Full Record in Web of Science")</f>
        <v>View Full Record in Web of Science</v>
      </c>
    </row>
    <row r="731" ht="12.75" customHeight="1">
      <c r="A731" s="1" t="s">
        <v>126</v>
      </c>
      <c r="B731" s="1" t="s">
        <v>6166</v>
      </c>
      <c r="C731" s="1" t="s">
        <v>74</v>
      </c>
      <c r="D731" s="1" t="s">
        <v>6167</v>
      </c>
      <c r="E731" s="1" t="s">
        <v>74</v>
      </c>
      <c r="F731" s="1" t="s">
        <v>6168</v>
      </c>
      <c r="G731" s="1" t="s">
        <v>74</v>
      </c>
      <c r="H731" s="1" t="s">
        <v>74</v>
      </c>
      <c r="I731" s="1" t="s">
        <v>6169</v>
      </c>
      <c r="J731" s="1" t="s">
        <v>6170</v>
      </c>
      <c r="K731" s="1" t="s">
        <v>6171</v>
      </c>
      <c r="L731" s="1" t="s">
        <v>74</v>
      </c>
      <c r="M731" s="1" t="s">
        <v>74</v>
      </c>
      <c r="N731" s="1" t="s">
        <v>74</v>
      </c>
      <c r="O731" s="1" t="s">
        <v>6172</v>
      </c>
      <c r="P731" s="1" t="s">
        <v>6173</v>
      </c>
      <c r="Q731" s="1" t="s">
        <v>6174</v>
      </c>
      <c r="R731" s="1" t="s">
        <v>6175</v>
      </c>
      <c r="S731" s="1" t="s">
        <v>74</v>
      </c>
      <c r="T731" s="1" t="s">
        <v>74</v>
      </c>
      <c r="U731" s="1" t="s">
        <v>74</v>
      </c>
      <c r="V731" s="1" t="s">
        <v>6176</v>
      </c>
      <c r="W731" s="1" t="s">
        <v>74</v>
      </c>
      <c r="X731" s="1" t="s">
        <v>74</v>
      </c>
      <c r="Y731" s="1" t="s">
        <v>74</v>
      </c>
      <c r="Z731" s="1" t="s">
        <v>74</v>
      </c>
      <c r="AA731" s="1" t="s">
        <v>74</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6177</v>
      </c>
      <c r="AP731" s="1" t="s">
        <v>74</v>
      </c>
      <c r="AQ731" s="1" t="s">
        <v>6178</v>
      </c>
      <c r="AR731" s="1" t="s">
        <v>74</v>
      </c>
      <c r="AS731" s="1" t="s">
        <v>74</v>
      </c>
      <c r="AT731" s="1" t="s">
        <v>74</v>
      </c>
      <c r="AU731" s="1">
        <v>2005.0</v>
      </c>
      <c r="AV731" s="1" t="s">
        <v>74</v>
      </c>
      <c r="AW731" s="1" t="s">
        <v>74</v>
      </c>
      <c r="AX731" s="1" t="s">
        <v>74</v>
      </c>
      <c r="AY731" s="1" t="s">
        <v>74</v>
      </c>
      <c r="AZ731" s="1" t="s">
        <v>74</v>
      </c>
      <c r="BA731" s="1" t="s">
        <v>74</v>
      </c>
      <c r="BB731" s="1" t="s">
        <v>6179</v>
      </c>
      <c r="BC731" s="1" t="s">
        <v>6180</v>
      </c>
      <c r="BD731" s="1" t="s">
        <v>74</v>
      </c>
      <c r="BE731" s="1" t="s">
        <v>74</v>
      </c>
      <c r="BF731" s="1" t="s">
        <v>74</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6181</v>
      </c>
      <c r="BT731" s="1" t="str">
        <f>HYPERLINK("https%3A%2F%2Fwww.webofscience.com%2Fwos%2Fwoscc%2Ffull-record%2FWOS:000237753600167","View Full Record in Web of Science")</f>
        <v>View Full Record in Web of Science</v>
      </c>
    </row>
    <row r="732" ht="12.75" customHeight="1">
      <c r="A732" s="1" t="s">
        <v>126</v>
      </c>
      <c r="B732" s="1" t="s">
        <v>6182</v>
      </c>
      <c r="C732" s="1" t="s">
        <v>74</v>
      </c>
      <c r="D732" s="1" t="s">
        <v>6183</v>
      </c>
      <c r="E732" s="1" t="s">
        <v>74</v>
      </c>
      <c r="F732" s="1" t="s">
        <v>6182</v>
      </c>
      <c r="G732" s="1" t="s">
        <v>74</v>
      </c>
      <c r="H732" s="1" t="s">
        <v>74</v>
      </c>
      <c r="I732" s="1" t="s">
        <v>6184</v>
      </c>
      <c r="J732" s="1" t="s">
        <v>6185</v>
      </c>
      <c r="K732" s="1" t="s">
        <v>1671</v>
      </c>
      <c r="L732" s="1" t="s">
        <v>74</v>
      </c>
      <c r="M732" s="1" t="s">
        <v>74</v>
      </c>
      <c r="N732" s="1" t="s">
        <v>74</v>
      </c>
      <c r="O732" s="1" t="s">
        <v>6186</v>
      </c>
      <c r="P732" s="1" t="s">
        <v>6187</v>
      </c>
      <c r="Q732" s="1" t="s">
        <v>1365</v>
      </c>
      <c r="R732" s="1" t="s">
        <v>6188</v>
      </c>
      <c r="S732" s="1" t="s">
        <v>74</v>
      </c>
      <c r="T732" s="1" t="s">
        <v>74</v>
      </c>
      <c r="U732" s="1" t="s">
        <v>74</v>
      </c>
      <c r="V732" s="1" t="s">
        <v>6189</v>
      </c>
      <c r="W732" s="1" t="s">
        <v>74</v>
      </c>
      <c r="X732" s="1" t="s">
        <v>74</v>
      </c>
      <c r="Y732" s="1" t="s">
        <v>74</v>
      </c>
      <c r="Z732" s="1" t="s">
        <v>74</v>
      </c>
      <c r="AA732" s="1" t="s">
        <v>6190</v>
      </c>
      <c r="AB732" s="1" t="s">
        <v>6191</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1677</v>
      </c>
      <c r="AP732" s="1" t="s">
        <v>74</v>
      </c>
      <c r="AQ732" s="1" t="s">
        <v>6192</v>
      </c>
      <c r="AR732" s="1" t="s">
        <v>74</v>
      </c>
      <c r="AS732" s="1" t="s">
        <v>74</v>
      </c>
      <c r="AT732" s="1" t="s">
        <v>74</v>
      </c>
      <c r="AU732" s="1">
        <v>2005.0</v>
      </c>
      <c r="AV732" s="1">
        <v>765.0</v>
      </c>
      <c r="AW732" s="1" t="s">
        <v>74</v>
      </c>
      <c r="AX732" s="1" t="s">
        <v>74</v>
      </c>
      <c r="AY732" s="1" t="s">
        <v>74</v>
      </c>
      <c r="AZ732" s="1" t="s">
        <v>74</v>
      </c>
      <c r="BA732" s="1" t="s">
        <v>74</v>
      </c>
      <c r="BB732" s="1">
        <v>56.0</v>
      </c>
      <c r="BC732" s="1">
        <v>59.0</v>
      </c>
      <c r="BD732" s="1" t="s">
        <v>74</v>
      </c>
      <c r="BE732" s="1" t="s">
        <v>74</v>
      </c>
      <c r="BF732" s="1" t="s">
        <v>74</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6193</v>
      </c>
      <c r="BT732" s="1" t="str">
        <f>HYPERLINK("https%3A%2F%2Fwww.webofscience.com%2Fwos%2Fwoscc%2Ffull-record%2FWOS:000229434000009","View Full Record in Web of Science")</f>
        <v>View Full Record in Web of Science</v>
      </c>
    </row>
    <row r="733" ht="12.75" customHeight="1">
      <c r="A733" s="1" t="s">
        <v>72</v>
      </c>
      <c r="B733" s="1" t="s">
        <v>6194</v>
      </c>
      <c r="C733" s="1" t="s">
        <v>74</v>
      </c>
      <c r="D733" s="1" t="s">
        <v>74</v>
      </c>
      <c r="E733" s="1" t="s">
        <v>74</v>
      </c>
      <c r="F733" s="1" t="s">
        <v>6194</v>
      </c>
      <c r="G733" s="1" t="s">
        <v>74</v>
      </c>
      <c r="H733" s="1" t="s">
        <v>74</v>
      </c>
      <c r="I733" s="1" t="s">
        <v>6195</v>
      </c>
      <c r="J733" s="1" t="s">
        <v>6196</v>
      </c>
      <c r="K733" s="1" t="s">
        <v>74</v>
      </c>
      <c r="L733" s="1" t="s">
        <v>74</v>
      </c>
      <c r="M733" s="1" t="s">
        <v>74</v>
      </c>
      <c r="N733" s="1" t="s">
        <v>74</v>
      </c>
      <c r="O733" s="1" t="s">
        <v>74</v>
      </c>
      <c r="P733" s="1" t="s">
        <v>74</v>
      </c>
      <c r="Q733" s="1" t="s">
        <v>74</v>
      </c>
      <c r="R733" s="1" t="s">
        <v>74</v>
      </c>
      <c r="S733" s="1" t="s">
        <v>74</v>
      </c>
      <c r="T733" s="1" t="s">
        <v>74</v>
      </c>
      <c r="U733" s="1" t="s">
        <v>74</v>
      </c>
      <c r="V733" s="1" t="s">
        <v>6197</v>
      </c>
      <c r="W733" s="1" t="s">
        <v>74</v>
      </c>
      <c r="X733" s="1" t="s">
        <v>74</v>
      </c>
      <c r="Y733" s="1" t="s">
        <v>74</v>
      </c>
      <c r="Z733" s="1" t="s">
        <v>74</v>
      </c>
      <c r="AA733" s="1" t="s">
        <v>6198</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6199</v>
      </c>
      <c r="AP733" s="1" t="s">
        <v>6200</v>
      </c>
      <c r="AQ733" s="1" t="s">
        <v>74</v>
      </c>
      <c r="AR733" s="1" t="s">
        <v>74</v>
      </c>
      <c r="AS733" s="1" t="s">
        <v>74</v>
      </c>
      <c r="AT733" s="1" t="s">
        <v>6201</v>
      </c>
      <c r="AU733" s="1">
        <v>2004.0</v>
      </c>
      <c r="AV733" s="1">
        <v>108.0</v>
      </c>
      <c r="AW733" s="1">
        <v>35.0</v>
      </c>
      <c r="AX733" s="1" t="s">
        <v>74</v>
      </c>
      <c r="AY733" s="1" t="s">
        <v>74</v>
      </c>
      <c r="AZ733" s="1" t="s">
        <v>74</v>
      </c>
      <c r="BA733" s="1" t="s">
        <v>74</v>
      </c>
      <c r="BB733" s="1">
        <v>7253.0</v>
      </c>
      <c r="BC733" s="1">
        <v>7260.0</v>
      </c>
      <c r="BD733" s="1" t="s">
        <v>74</v>
      </c>
      <c r="BE733" s="1" t="s">
        <v>6202</v>
      </c>
      <c r="BF733" s="2" t="str">
        <f>HYPERLINK("http://dx.doi.org/10.1021/jp049250i","http://dx.doi.org/10.1021/jp049250i")</f>
        <v>http://dx.doi.org/10.1021/jp049250i</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6203</v>
      </c>
      <c r="BT733" s="1" t="str">
        <f>HYPERLINK("https%3A%2F%2Fwww.webofscience.com%2Fwos%2Fwoscc%2Ffull-record%2FWOS:000223600700017","View Full Record in Web of Science")</f>
        <v>View Full Record in Web of Science</v>
      </c>
    </row>
    <row r="734" ht="12.75" customHeight="1">
      <c r="A734" s="1" t="s">
        <v>72</v>
      </c>
      <c r="B734" s="1" t="s">
        <v>6204</v>
      </c>
      <c r="C734" s="1" t="s">
        <v>74</v>
      </c>
      <c r="D734" s="1" t="s">
        <v>74</v>
      </c>
      <c r="E734" s="1" t="s">
        <v>74</v>
      </c>
      <c r="F734" s="1" t="s">
        <v>6204</v>
      </c>
      <c r="G734" s="1" t="s">
        <v>74</v>
      </c>
      <c r="H734" s="1" t="s">
        <v>74</v>
      </c>
      <c r="I734" s="1" t="s">
        <v>6205</v>
      </c>
      <c r="J734" s="1" t="s">
        <v>1682</v>
      </c>
      <c r="K734" s="1" t="s">
        <v>74</v>
      </c>
      <c r="L734" s="1" t="s">
        <v>74</v>
      </c>
      <c r="M734" s="1" t="s">
        <v>74</v>
      </c>
      <c r="N734" s="1" t="s">
        <v>74</v>
      </c>
      <c r="O734" s="1" t="s">
        <v>74</v>
      </c>
      <c r="P734" s="1" t="s">
        <v>74</v>
      </c>
      <c r="Q734" s="1" t="s">
        <v>74</v>
      </c>
      <c r="R734" s="1" t="s">
        <v>74</v>
      </c>
      <c r="S734" s="1" t="s">
        <v>74</v>
      </c>
      <c r="T734" s="1" t="s">
        <v>74</v>
      </c>
      <c r="U734" s="1" t="s">
        <v>74</v>
      </c>
      <c r="V734" s="1" t="s">
        <v>6206</v>
      </c>
      <c r="W734" s="1" t="s">
        <v>74</v>
      </c>
      <c r="X734" s="1" t="s">
        <v>74</v>
      </c>
      <c r="Y734" s="1" t="s">
        <v>74</v>
      </c>
      <c r="Z734" s="1" t="s">
        <v>74</v>
      </c>
      <c r="AA734" s="1" t="s">
        <v>74</v>
      </c>
      <c r="AB734" s="1" t="s">
        <v>74</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1685</v>
      </c>
      <c r="AP734" s="1" t="s">
        <v>74</v>
      </c>
      <c r="AQ734" s="1" t="s">
        <v>74</v>
      </c>
      <c r="AR734" s="1" t="s">
        <v>74</v>
      </c>
      <c r="AS734" s="1" t="s">
        <v>74</v>
      </c>
      <c r="AT734" s="1" t="s">
        <v>74</v>
      </c>
      <c r="AU734" s="1">
        <v>2004.0</v>
      </c>
      <c r="AV734" s="1">
        <v>45.0</v>
      </c>
      <c r="AW734" s="1">
        <v>8.0</v>
      </c>
      <c r="AX734" s="1" t="s">
        <v>74</v>
      </c>
      <c r="AY734" s="1" t="s">
        <v>74</v>
      </c>
      <c r="AZ734" s="1" t="s">
        <v>74</v>
      </c>
      <c r="BA734" s="1" t="s">
        <v>74</v>
      </c>
      <c r="BB734" s="1">
        <v>811.0</v>
      </c>
      <c r="BC734" s="1">
        <v>824.0</v>
      </c>
      <c r="BD734" s="1" t="s">
        <v>74</v>
      </c>
      <c r="BE734" s="1" t="s">
        <v>6207</v>
      </c>
      <c r="BF734" s="2" t="str">
        <f>HYPERLINK("http://dx.doi.org/10.1080/10407780490250409","http://dx.doi.org/10.1080/10407780490250409")</f>
        <v>http://dx.doi.org/10.1080/10407780490250409</v>
      </c>
      <c r="BG734" s="1" t="s">
        <v>74</v>
      </c>
      <c r="BH734" s="1" t="s">
        <v>74</v>
      </c>
      <c r="BI734" s="1" t="s">
        <v>74</v>
      </c>
      <c r="BJ734" s="1" t="s">
        <v>74</v>
      </c>
      <c r="BK734" s="1" t="s">
        <v>74</v>
      </c>
      <c r="BL734" s="1" t="s">
        <v>74</v>
      </c>
      <c r="BM734" s="1" t="s">
        <v>74</v>
      </c>
      <c r="BN734" s="1" t="s">
        <v>74</v>
      </c>
      <c r="BO734" s="1" t="s">
        <v>74</v>
      </c>
      <c r="BP734" s="1" t="s">
        <v>74</v>
      </c>
      <c r="BQ734" s="1" t="s">
        <v>74</v>
      </c>
      <c r="BR734" s="1" t="s">
        <v>74</v>
      </c>
      <c r="BS734" s="1" t="s">
        <v>6208</v>
      </c>
      <c r="BT734" s="1" t="str">
        <f>HYPERLINK("https%3A%2F%2Fwww.webofscience.com%2Fwos%2Fwoscc%2Ffull-record%2FWOS:000221054000005","View Full Record in Web of Science")</f>
        <v>View Full Record in Web of Science</v>
      </c>
    </row>
    <row r="735" ht="12.75" customHeight="1">
      <c r="A735" s="1" t="s">
        <v>72</v>
      </c>
      <c r="B735" s="1" t="s">
        <v>6209</v>
      </c>
      <c r="C735" s="1" t="s">
        <v>74</v>
      </c>
      <c r="D735" s="1" t="s">
        <v>74</v>
      </c>
      <c r="E735" s="1" t="s">
        <v>74</v>
      </c>
      <c r="F735" s="1" t="s">
        <v>6209</v>
      </c>
      <c r="G735" s="1" t="s">
        <v>74</v>
      </c>
      <c r="H735" s="1" t="s">
        <v>74</v>
      </c>
      <c r="I735" s="1" t="s">
        <v>6210</v>
      </c>
      <c r="J735" s="1" t="s">
        <v>1699</v>
      </c>
      <c r="K735" s="1" t="s">
        <v>74</v>
      </c>
      <c r="L735" s="1" t="s">
        <v>74</v>
      </c>
      <c r="M735" s="1" t="s">
        <v>74</v>
      </c>
      <c r="N735" s="1" t="s">
        <v>74</v>
      </c>
      <c r="O735" s="1" t="s">
        <v>74</v>
      </c>
      <c r="P735" s="1" t="s">
        <v>74</v>
      </c>
      <c r="Q735" s="1" t="s">
        <v>74</v>
      </c>
      <c r="R735" s="1" t="s">
        <v>74</v>
      </c>
      <c r="S735" s="1" t="s">
        <v>74</v>
      </c>
      <c r="T735" s="1" t="s">
        <v>74</v>
      </c>
      <c r="U735" s="1" t="s">
        <v>74</v>
      </c>
      <c r="V735" s="1" t="s">
        <v>6211</v>
      </c>
      <c r="W735" s="1" t="s">
        <v>74</v>
      </c>
      <c r="X735" s="1" t="s">
        <v>74</v>
      </c>
      <c r="Y735" s="1" t="s">
        <v>74</v>
      </c>
      <c r="Z735" s="1" t="s">
        <v>74</v>
      </c>
      <c r="AA735" s="1" t="s">
        <v>74</v>
      </c>
      <c r="AB735" s="1" t="s">
        <v>74</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1702</v>
      </c>
      <c r="AP735" s="1" t="s">
        <v>74</v>
      </c>
      <c r="AQ735" s="1" t="s">
        <v>74</v>
      </c>
      <c r="AR735" s="1" t="s">
        <v>74</v>
      </c>
      <c r="AS735" s="1" t="s">
        <v>74</v>
      </c>
      <c r="AT735" s="1" t="s">
        <v>974</v>
      </c>
      <c r="AU735" s="1">
        <v>2001.0</v>
      </c>
      <c r="AV735" s="1">
        <v>20.0</v>
      </c>
      <c r="AW735" s="1">
        <v>6.0</v>
      </c>
      <c r="AX735" s="1" t="s">
        <v>74</v>
      </c>
      <c r="AY735" s="1" t="s">
        <v>74</v>
      </c>
      <c r="AZ735" s="1" t="s">
        <v>74</v>
      </c>
      <c r="BA735" s="1" t="s">
        <v>74</v>
      </c>
      <c r="BB735" s="1">
        <v>479.0</v>
      </c>
      <c r="BC735" s="1">
        <v>485.0</v>
      </c>
      <c r="BD735" s="1" t="s">
        <v>74</v>
      </c>
      <c r="BE735" s="1" t="s">
        <v>6212</v>
      </c>
      <c r="BF735" s="2" t="str">
        <f>HYPERLINK("http://dx.doi.org/10.1023/A:1012554429450","http://dx.doi.org/10.1023/A:1012554429450")</f>
        <v>http://dx.doi.org/10.1023/A:1012554429450</v>
      </c>
      <c r="BG735" s="1" t="s">
        <v>74</v>
      </c>
      <c r="BH735" s="1" t="s">
        <v>74</v>
      </c>
      <c r="BI735" s="1" t="s">
        <v>74</v>
      </c>
      <c r="BJ735" s="1" t="s">
        <v>74</v>
      </c>
      <c r="BK735" s="1" t="s">
        <v>74</v>
      </c>
      <c r="BL735" s="1" t="s">
        <v>74</v>
      </c>
      <c r="BM735" s="1" t="s">
        <v>74</v>
      </c>
      <c r="BN735" s="1">
        <v>1.1760122E7</v>
      </c>
      <c r="BO735" s="1" t="s">
        <v>74</v>
      </c>
      <c r="BP735" s="1" t="s">
        <v>74</v>
      </c>
      <c r="BQ735" s="1" t="s">
        <v>74</v>
      </c>
      <c r="BR735" s="1" t="s">
        <v>74</v>
      </c>
      <c r="BS735" s="1" t="s">
        <v>6213</v>
      </c>
      <c r="BT735" s="1" t="str">
        <f>HYPERLINK("https%3A%2F%2Fwww.webofscience.com%2Fwos%2Fwoscc%2Ffull-record%2FWOS:000172269800005","View Full Record in Web of Science")</f>
        <v>View Full Record in Web of Science</v>
      </c>
    </row>
    <row r="736" ht="12.75" customHeight="1">
      <c r="A736" s="1" t="s">
        <v>72</v>
      </c>
      <c r="B736" s="1" t="s">
        <v>6214</v>
      </c>
      <c r="C736" s="1" t="s">
        <v>74</v>
      </c>
      <c r="D736" s="1" t="s">
        <v>74</v>
      </c>
      <c r="E736" s="1" t="s">
        <v>74</v>
      </c>
      <c r="F736" s="1" t="s">
        <v>6214</v>
      </c>
      <c r="G736" s="1" t="s">
        <v>74</v>
      </c>
      <c r="H736" s="1" t="s">
        <v>74</v>
      </c>
      <c r="I736" s="1" t="s">
        <v>6215</v>
      </c>
      <c r="J736" s="1" t="s">
        <v>6216</v>
      </c>
      <c r="K736" s="1" t="s">
        <v>74</v>
      </c>
      <c r="L736" s="1" t="s">
        <v>74</v>
      </c>
      <c r="M736" s="1" t="s">
        <v>74</v>
      </c>
      <c r="N736" s="1" t="s">
        <v>74</v>
      </c>
      <c r="O736" s="1" t="s">
        <v>6217</v>
      </c>
      <c r="P736" s="1" t="s">
        <v>6218</v>
      </c>
      <c r="Q736" s="1" t="s">
        <v>6219</v>
      </c>
      <c r="R736" s="1" t="s">
        <v>74</v>
      </c>
      <c r="S736" s="1" t="s">
        <v>74</v>
      </c>
      <c r="T736" s="1" t="s">
        <v>74</v>
      </c>
      <c r="U736" s="1" t="s">
        <v>74</v>
      </c>
      <c r="V736" s="1" t="s">
        <v>6220</v>
      </c>
      <c r="W736" s="1" t="s">
        <v>74</v>
      </c>
      <c r="X736" s="1" t="s">
        <v>74</v>
      </c>
      <c r="Y736" s="1" t="s">
        <v>74</v>
      </c>
      <c r="Z736" s="1" t="s">
        <v>74</v>
      </c>
      <c r="AA736" s="1" t="s">
        <v>74</v>
      </c>
      <c r="AB736" s="1" t="s">
        <v>74</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6221</v>
      </c>
      <c r="AP736" s="1" t="s">
        <v>6222</v>
      </c>
      <c r="AQ736" s="1" t="s">
        <v>74</v>
      </c>
      <c r="AR736" s="1" t="s">
        <v>74</v>
      </c>
      <c r="AS736" s="1" t="s">
        <v>74</v>
      </c>
      <c r="AT736" s="1" t="s">
        <v>74</v>
      </c>
      <c r="AU736" s="1">
        <v>2001.0</v>
      </c>
      <c r="AV736" s="1">
        <v>26.0</v>
      </c>
      <c r="AW736" s="1" t="s">
        <v>4790</v>
      </c>
      <c r="AX736" s="1" t="s">
        <v>74</v>
      </c>
      <c r="AY736" s="1" t="s">
        <v>74</v>
      </c>
      <c r="AZ736" s="1" t="s">
        <v>74</v>
      </c>
      <c r="BA736" s="1" t="s">
        <v>74</v>
      </c>
      <c r="BB736" s="1">
        <v>277.0</v>
      </c>
      <c r="BC736" s="1">
        <v>286.0</v>
      </c>
      <c r="BD736" s="1" t="s">
        <v>74</v>
      </c>
      <c r="BE736" s="1" t="s">
        <v>6223</v>
      </c>
      <c r="BF736" s="2" t="str">
        <f>HYPERLINK("http://dx.doi.org/10.3184/007967401103165299","http://dx.doi.org/10.3184/007967401103165299")</f>
        <v>http://dx.doi.org/10.3184/007967401103165299</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6224</v>
      </c>
      <c r="BT736" s="1" t="str">
        <f>HYPERLINK("https%3A%2F%2Fwww.webofscience.com%2Fwos%2Fwoscc%2Ffull-record%2FWOS:000170095900009","View Full Record in Web of Science")</f>
        <v>View Full Record in Web of Science</v>
      </c>
    </row>
    <row r="737" ht="12.75" customHeight="1">
      <c r="A737" s="1" t="s">
        <v>72</v>
      </c>
      <c r="B737" s="1" t="s">
        <v>6225</v>
      </c>
      <c r="C737" s="1" t="s">
        <v>74</v>
      </c>
      <c r="D737" s="1" t="s">
        <v>74</v>
      </c>
      <c r="E737" s="1" t="s">
        <v>74</v>
      </c>
      <c r="F737" s="1" t="s">
        <v>6225</v>
      </c>
      <c r="G737" s="1" t="s">
        <v>74</v>
      </c>
      <c r="H737" s="1" t="s">
        <v>74</v>
      </c>
      <c r="I737" s="1" t="s">
        <v>6226</v>
      </c>
      <c r="J737" s="1" t="s">
        <v>6227</v>
      </c>
      <c r="K737" s="1" t="s">
        <v>74</v>
      </c>
      <c r="L737" s="1" t="s">
        <v>74</v>
      </c>
      <c r="M737" s="1" t="s">
        <v>74</v>
      </c>
      <c r="N737" s="1" t="s">
        <v>74</v>
      </c>
      <c r="O737" s="1" t="s">
        <v>74</v>
      </c>
      <c r="P737" s="1" t="s">
        <v>74</v>
      </c>
      <c r="Q737" s="1" t="s">
        <v>74</v>
      </c>
      <c r="R737" s="1" t="s">
        <v>74</v>
      </c>
      <c r="S737" s="1" t="s">
        <v>74</v>
      </c>
      <c r="T737" s="1" t="s">
        <v>74</v>
      </c>
      <c r="U737" s="1" t="s">
        <v>74</v>
      </c>
      <c r="V737" s="1" t="s">
        <v>6228</v>
      </c>
      <c r="W737" s="1" t="s">
        <v>74</v>
      </c>
      <c r="X737" s="1" t="s">
        <v>74</v>
      </c>
      <c r="Y737" s="1" t="s">
        <v>74</v>
      </c>
      <c r="Z737" s="1" t="s">
        <v>74</v>
      </c>
      <c r="AA737" s="1" t="s">
        <v>74</v>
      </c>
      <c r="AB737" s="1" t="s">
        <v>6191</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6229</v>
      </c>
      <c r="AP737" s="1" t="s">
        <v>6230</v>
      </c>
      <c r="AQ737" s="1" t="s">
        <v>74</v>
      </c>
      <c r="AR737" s="1" t="s">
        <v>74</v>
      </c>
      <c r="AS737" s="1" t="s">
        <v>74</v>
      </c>
      <c r="AT737" s="1" t="s">
        <v>74</v>
      </c>
      <c r="AU737" s="1">
        <v>2001.0</v>
      </c>
      <c r="AV737" s="1">
        <v>32.0</v>
      </c>
      <c r="AW737" s="1" t="s">
        <v>6231</v>
      </c>
      <c r="AX737" s="1" t="s">
        <v>74</v>
      </c>
      <c r="AY737" s="1" t="s">
        <v>74</v>
      </c>
      <c r="AZ737" s="1" t="s">
        <v>74</v>
      </c>
      <c r="BA737" s="1" t="s">
        <v>74</v>
      </c>
      <c r="BB737" s="1">
        <v>3087.0</v>
      </c>
      <c r="BC737" s="1">
        <v>3097.0</v>
      </c>
      <c r="BD737" s="1" t="s">
        <v>74</v>
      </c>
      <c r="BE737" s="1" t="s">
        <v>6232</v>
      </c>
      <c r="BF737" s="2" t="str">
        <f>HYPERLINK("http://dx.doi.org/10.1081/CSS-120001109","http://dx.doi.org/10.1081/CSS-120001109")</f>
        <v>http://dx.doi.org/10.1081/CSS-120001109</v>
      </c>
      <c r="BG737" s="1" t="s">
        <v>74</v>
      </c>
      <c r="BH737" s="1" t="s">
        <v>74</v>
      </c>
      <c r="BI737" s="1" t="s">
        <v>74</v>
      </c>
      <c r="BJ737" s="1" t="s">
        <v>74</v>
      </c>
      <c r="BK737" s="1" t="s">
        <v>74</v>
      </c>
      <c r="BL737" s="1" t="s">
        <v>74</v>
      </c>
      <c r="BM737" s="1" t="s">
        <v>74</v>
      </c>
      <c r="BN737" s="1" t="s">
        <v>74</v>
      </c>
      <c r="BO737" s="1" t="s">
        <v>74</v>
      </c>
      <c r="BP737" s="1" t="s">
        <v>74</v>
      </c>
      <c r="BQ737" s="1" t="s">
        <v>74</v>
      </c>
      <c r="BR737" s="1" t="s">
        <v>74</v>
      </c>
      <c r="BS737" s="1" t="s">
        <v>6233</v>
      </c>
      <c r="BT737" s="1" t="str">
        <f>HYPERLINK("https%3A%2F%2Fwww.webofscience.com%2Fwos%2Fwoscc%2Ffull-record%2FWOS:000172821800008","View Full Record in Web of Science")</f>
        <v>View Full Record in Web of Science</v>
      </c>
    </row>
    <row r="738" ht="12.75" customHeight="1">
      <c r="A738" s="1" t="s">
        <v>72</v>
      </c>
      <c r="B738" s="1" t="s">
        <v>6234</v>
      </c>
      <c r="C738" s="1" t="s">
        <v>74</v>
      </c>
      <c r="D738" s="1" t="s">
        <v>74</v>
      </c>
      <c r="E738" s="1" t="s">
        <v>74</v>
      </c>
      <c r="F738" s="1" t="s">
        <v>6234</v>
      </c>
      <c r="G738" s="1" t="s">
        <v>74</v>
      </c>
      <c r="H738" s="1" t="s">
        <v>74</v>
      </c>
      <c r="I738" s="1" t="s">
        <v>6235</v>
      </c>
      <c r="J738" s="1" t="s">
        <v>6236</v>
      </c>
      <c r="K738" s="1" t="s">
        <v>74</v>
      </c>
      <c r="L738" s="1" t="s">
        <v>74</v>
      </c>
      <c r="M738" s="1" t="s">
        <v>74</v>
      </c>
      <c r="N738" s="1" t="s">
        <v>74</v>
      </c>
      <c r="O738" s="1" t="s">
        <v>74</v>
      </c>
      <c r="P738" s="1" t="s">
        <v>74</v>
      </c>
      <c r="Q738" s="1" t="s">
        <v>74</v>
      </c>
      <c r="R738" s="1" t="s">
        <v>74</v>
      </c>
      <c r="S738" s="1" t="s">
        <v>74</v>
      </c>
      <c r="T738" s="1" t="s">
        <v>74</v>
      </c>
      <c r="U738" s="1" t="s">
        <v>74</v>
      </c>
      <c r="V738" s="1" t="s">
        <v>6237</v>
      </c>
      <c r="W738" s="1" t="s">
        <v>74</v>
      </c>
      <c r="X738" s="1" t="s">
        <v>74</v>
      </c>
      <c r="Y738" s="1" t="s">
        <v>74</v>
      </c>
      <c r="Z738" s="1" t="s">
        <v>74</v>
      </c>
      <c r="AA738" s="1" t="s">
        <v>74</v>
      </c>
      <c r="AB738" s="1" t="s">
        <v>451</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6238</v>
      </c>
      <c r="AP738" s="1" t="s">
        <v>74</v>
      </c>
      <c r="AQ738" s="1" t="s">
        <v>74</v>
      </c>
      <c r="AR738" s="1" t="s">
        <v>74</v>
      </c>
      <c r="AS738" s="1" t="s">
        <v>74</v>
      </c>
      <c r="AT738" s="1" t="s">
        <v>74</v>
      </c>
      <c r="AU738" s="1">
        <v>2001.0</v>
      </c>
      <c r="AV738" s="1">
        <v>84.0</v>
      </c>
      <c r="AW738" s="1">
        <v>12.0</v>
      </c>
      <c r="AX738" s="1" t="s">
        <v>74</v>
      </c>
      <c r="AY738" s="1" t="s">
        <v>74</v>
      </c>
      <c r="AZ738" s="1" t="s">
        <v>74</v>
      </c>
      <c r="BA738" s="1" t="s">
        <v>74</v>
      </c>
      <c r="BB738" s="1">
        <v>3677.0</v>
      </c>
      <c r="BC738" s="1">
        <v>3685.0</v>
      </c>
      <c r="BD738" s="1" t="s">
        <v>74</v>
      </c>
      <c r="BE738" s="1" t="s">
        <v>6239</v>
      </c>
      <c r="BF738" s="2" t="str">
        <f>HYPERLINK("http://dx.doi.org/10.1002/1522-2675(20011219)84:12&lt;3677::AID-HLCA3677&gt;3.0.CO;2-X","http://dx.doi.org/10.1002/1522-2675(20011219)84:12&lt;3677::AID-HLCA3677&gt;3.0.CO;2-X")</f>
        <v>http://dx.doi.org/10.1002/1522-2675(20011219)84:12&lt;3677::AID-HLCA3677&gt;3.0.CO;2-X</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6240</v>
      </c>
      <c r="BT738" s="1" t="str">
        <f>HYPERLINK("https%3A%2F%2Fwww.webofscience.com%2Fwos%2Fwoscc%2Ffull-record%2FWOS:000173438100018","View Full Record in Web of Science")</f>
        <v>View Full Record in Web of Science</v>
      </c>
    </row>
    <row r="739" ht="12.75" customHeight="1">
      <c r="A739" s="1" t="s">
        <v>72</v>
      </c>
      <c r="B739" s="1" t="s">
        <v>6241</v>
      </c>
      <c r="C739" s="1" t="s">
        <v>74</v>
      </c>
      <c r="D739" s="1" t="s">
        <v>74</v>
      </c>
      <c r="E739" s="1" t="s">
        <v>74</v>
      </c>
      <c r="F739" s="1" t="s">
        <v>6241</v>
      </c>
      <c r="G739" s="1" t="s">
        <v>74</v>
      </c>
      <c r="H739" s="1" t="s">
        <v>74</v>
      </c>
      <c r="I739" s="1" t="s">
        <v>6242</v>
      </c>
      <c r="J739" s="1" t="s">
        <v>748</v>
      </c>
      <c r="K739" s="1" t="s">
        <v>74</v>
      </c>
      <c r="L739" s="1" t="s">
        <v>74</v>
      </c>
      <c r="M739" s="1" t="s">
        <v>74</v>
      </c>
      <c r="N739" s="1" t="s">
        <v>74</v>
      </c>
      <c r="O739" s="1" t="s">
        <v>74</v>
      </c>
      <c r="P739" s="1" t="s">
        <v>74</v>
      </c>
      <c r="Q739" s="1" t="s">
        <v>74</v>
      </c>
      <c r="R739" s="1" t="s">
        <v>74</v>
      </c>
      <c r="S739" s="1" t="s">
        <v>74</v>
      </c>
      <c r="T739" s="1" t="s">
        <v>74</v>
      </c>
      <c r="U739" s="1" t="s">
        <v>74</v>
      </c>
      <c r="V739" s="1" t="s">
        <v>6243</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750</v>
      </c>
      <c r="AP739" s="1" t="s">
        <v>74</v>
      </c>
      <c r="AQ739" s="1" t="s">
        <v>74</v>
      </c>
      <c r="AR739" s="1" t="s">
        <v>74</v>
      </c>
      <c r="AS739" s="1" t="s">
        <v>74</v>
      </c>
      <c r="AT739" s="1" t="s">
        <v>256</v>
      </c>
      <c r="AU739" s="1">
        <v>1999.0</v>
      </c>
      <c r="AV739" s="1">
        <v>44.0</v>
      </c>
      <c r="AW739" s="1">
        <v>1.0</v>
      </c>
      <c r="AX739" s="1" t="s">
        <v>74</v>
      </c>
      <c r="AY739" s="1" t="s">
        <v>74</v>
      </c>
      <c r="AZ739" s="1" t="s">
        <v>74</v>
      </c>
      <c r="BA739" s="1" t="s">
        <v>74</v>
      </c>
      <c r="BB739" s="1">
        <v>11.0</v>
      </c>
      <c r="BC739" s="1">
        <v>23.0</v>
      </c>
      <c r="BD739" s="1" t="s">
        <v>74</v>
      </c>
      <c r="BE739" s="1" t="s">
        <v>74</v>
      </c>
      <c r="BF739" s="1" t="s">
        <v>74</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6244</v>
      </c>
      <c r="BT739" s="1" t="str">
        <f>HYPERLINK("https%3A%2F%2Fwww.webofscience.com%2Fwos%2Fwoscc%2Ffull-record%2FWOS:000079614900003","View Full Record in Web of Science")</f>
        <v>View Full Record in Web of Science</v>
      </c>
    </row>
    <row r="740" ht="12.75" customHeight="1">
      <c r="A740" s="1" t="s">
        <v>126</v>
      </c>
      <c r="B740" s="1" t="s">
        <v>6245</v>
      </c>
      <c r="C740" s="1" t="s">
        <v>74</v>
      </c>
      <c r="D740" s="1" t="s">
        <v>6246</v>
      </c>
      <c r="E740" s="1" t="s">
        <v>74</v>
      </c>
      <c r="F740" s="1" t="s">
        <v>6245</v>
      </c>
      <c r="G740" s="1" t="s">
        <v>74</v>
      </c>
      <c r="H740" s="1" t="s">
        <v>74</v>
      </c>
      <c r="I740" s="1" t="s">
        <v>6247</v>
      </c>
      <c r="J740" s="1" t="s">
        <v>6248</v>
      </c>
      <c r="K740" s="1" t="s">
        <v>6249</v>
      </c>
      <c r="L740" s="1" t="s">
        <v>74</v>
      </c>
      <c r="M740" s="1" t="s">
        <v>74</v>
      </c>
      <c r="N740" s="1" t="s">
        <v>74</v>
      </c>
      <c r="O740" s="1" t="s">
        <v>6250</v>
      </c>
      <c r="P740" s="1" t="s">
        <v>6251</v>
      </c>
      <c r="Q740" s="1" t="s">
        <v>6252</v>
      </c>
      <c r="R740" s="1" t="s">
        <v>6253</v>
      </c>
      <c r="S740" s="1" t="s">
        <v>74</v>
      </c>
      <c r="T740" s="1" t="s">
        <v>74</v>
      </c>
      <c r="U740" s="1" t="s">
        <v>74</v>
      </c>
      <c r="V740" s="1" t="s">
        <v>6254</v>
      </c>
      <c r="W740" s="1" t="s">
        <v>74</v>
      </c>
      <c r="X740" s="1" t="s">
        <v>74</v>
      </c>
      <c r="Y740" s="1" t="s">
        <v>74</v>
      </c>
      <c r="Z740" s="1" t="s">
        <v>74</v>
      </c>
      <c r="AA740" s="1" t="s">
        <v>6255</v>
      </c>
      <c r="AB740" s="1" t="s">
        <v>6256</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6257</v>
      </c>
      <c r="AP740" s="1" t="s">
        <v>74</v>
      </c>
      <c r="AQ740" s="1" t="s">
        <v>6258</v>
      </c>
      <c r="AR740" s="1" t="s">
        <v>74</v>
      </c>
      <c r="AS740" s="1" t="s">
        <v>74</v>
      </c>
      <c r="AT740" s="1" t="s">
        <v>74</v>
      </c>
      <c r="AU740" s="1">
        <v>1997.0</v>
      </c>
      <c r="AV740" s="1">
        <v>446.0</v>
      </c>
      <c r="AW740" s="1" t="s">
        <v>74</v>
      </c>
      <c r="AX740" s="1" t="s">
        <v>74</v>
      </c>
      <c r="AY740" s="1" t="s">
        <v>74</v>
      </c>
      <c r="AZ740" s="1" t="s">
        <v>74</v>
      </c>
      <c r="BA740" s="1" t="s">
        <v>74</v>
      </c>
      <c r="BB740" s="1">
        <v>355.0</v>
      </c>
      <c r="BC740" s="1">
        <v>360.0</v>
      </c>
      <c r="BD740" s="1" t="s">
        <v>74</v>
      </c>
      <c r="BE740" s="1" t="s">
        <v>74</v>
      </c>
      <c r="BF740" s="1" t="s">
        <v>74</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6259</v>
      </c>
      <c r="BT740" s="1" t="str">
        <f>HYPERLINK("https%3A%2F%2Fwww.webofscience.com%2Fwos%2Fwoscc%2Ffull-record%2FWOS:A1997BH92V00053","View Full Record in Web of Science")</f>
        <v>View Full Record in Web of Science</v>
      </c>
    </row>
    <row r="741" ht="12.75" customHeight="1">
      <c r="A741" s="1" t="s">
        <v>126</v>
      </c>
      <c r="B741" s="1" t="s">
        <v>6260</v>
      </c>
      <c r="C741" s="1" t="s">
        <v>74</v>
      </c>
      <c r="D741" s="1" t="s">
        <v>6261</v>
      </c>
      <c r="E741" s="1" t="s">
        <v>74</v>
      </c>
      <c r="F741" s="1" t="s">
        <v>6260</v>
      </c>
      <c r="G741" s="1" t="s">
        <v>74</v>
      </c>
      <c r="H741" s="1" t="s">
        <v>74</v>
      </c>
      <c r="I741" s="1" t="s">
        <v>6262</v>
      </c>
      <c r="J741" s="1" t="s">
        <v>6263</v>
      </c>
      <c r="K741" s="1" t="s">
        <v>74</v>
      </c>
      <c r="L741" s="1" t="s">
        <v>74</v>
      </c>
      <c r="M741" s="1" t="s">
        <v>74</v>
      </c>
      <c r="N741" s="1" t="s">
        <v>74</v>
      </c>
      <c r="O741" s="1" t="s">
        <v>6264</v>
      </c>
      <c r="P741" s="1" t="s">
        <v>6265</v>
      </c>
      <c r="Q741" s="1" t="s">
        <v>6266</v>
      </c>
      <c r="R741" s="1" t="s">
        <v>74</v>
      </c>
      <c r="S741" s="1" t="s">
        <v>6267</v>
      </c>
      <c r="T741" s="1" t="s">
        <v>74</v>
      </c>
      <c r="U741" s="1" t="s">
        <v>74</v>
      </c>
      <c r="V741" s="1" t="s">
        <v>6268</v>
      </c>
      <c r="W741" s="1" t="s">
        <v>74</v>
      </c>
      <c r="X741" s="1" t="s">
        <v>74</v>
      </c>
      <c r="Y741" s="1" t="s">
        <v>74</v>
      </c>
      <c r="Z741" s="1" t="s">
        <v>74</v>
      </c>
      <c r="AA741" s="1" t="s">
        <v>74</v>
      </c>
      <c r="AB741" s="1" t="s">
        <v>74</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74</v>
      </c>
      <c r="AP741" s="1" t="s">
        <v>74</v>
      </c>
      <c r="AQ741" s="1" t="s">
        <v>6269</v>
      </c>
      <c r="AR741" s="1" t="s">
        <v>74</v>
      </c>
      <c r="AS741" s="1" t="s">
        <v>74</v>
      </c>
      <c r="AT741" s="1" t="s">
        <v>74</v>
      </c>
      <c r="AU741" s="1">
        <v>1997.0</v>
      </c>
      <c r="AV741" s="1" t="s">
        <v>74</v>
      </c>
      <c r="AW741" s="1" t="s">
        <v>74</v>
      </c>
      <c r="AX741" s="1" t="s">
        <v>74</v>
      </c>
      <c r="AY741" s="1" t="s">
        <v>74</v>
      </c>
      <c r="AZ741" s="1" t="s">
        <v>74</v>
      </c>
      <c r="BA741" s="1" t="s">
        <v>74</v>
      </c>
      <c r="BB741" s="1">
        <v>271.0</v>
      </c>
      <c r="BC741" s="1">
        <v>277.0</v>
      </c>
      <c r="BD741" s="1" t="s">
        <v>74</v>
      </c>
      <c r="BE741" s="1" t="s">
        <v>74</v>
      </c>
      <c r="BF741" s="1" t="s">
        <v>74</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6270</v>
      </c>
      <c r="BT741" s="1" t="str">
        <f>HYPERLINK("https%3A%2F%2Fwww.webofscience.com%2Fwos%2Fwoscc%2Ffull-record%2FWOS:000072975000033","View Full Record in Web of Science")</f>
        <v>View Full Record in Web of Science</v>
      </c>
    </row>
    <row r="742" ht="12.75" customHeight="1">
      <c r="A742" s="1" t="s">
        <v>126</v>
      </c>
      <c r="B742" s="1" t="s">
        <v>6271</v>
      </c>
      <c r="C742" s="1" t="s">
        <v>74</v>
      </c>
      <c r="D742" s="1" t="s">
        <v>2502</v>
      </c>
      <c r="E742" s="1" t="s">
        <v>74</v>
      </c>
      <c r="F742" s="1" t="s">
        <v>6271</v>
      </c>
      <c r="G742" s="1" t="s">
        <v>74</v>
      </c>
      <c r="H742" s="1" t="s">
        <v>74</v>
      </c>
      <c r="I742" s="1" t="s">
        <v>6272</v>
      </c>
      <c r="J742" s="1" t="s">
        <v>6273</v>
      </c>
      <c r="K742" s="1" t="s">
        <v>74</v>
      </c>
      <c r="L742" s="1" t="s">
        <v>74</v>
      </c>
      <c r="M742" s="1" t="s">
        <v>74</v>
      </c>
      <c r="N742" s="1" t="s">
        <v>74</v>
      </c>
      <c r="O742" s="1" t="s">
        <v>2505</v>
      </c>
      <c r="P742" s="1" t="s">
        <v>2506</v>
      </c>
      <c r="Q742" s="1" t="s">
        <v>2507</v>
      </c>
      <c r="R742" s="1" t="s">
        <v>2508</v>
      </c>
      <c r="S742" s="1" t="s">
        <v>74</v>
      </c>
      <c r="T742" s="1" t="s">
        <v>74</v>
      </c>
      <c r="U742" s="1" t="s">
        <v>74</v>
      </c>
      <c r="V742" s="1" t="s">
        <v>74</v>
      </c>
      <c r="W742" s="1" t="s">
        <v>74</v>
      </c>
      <c r="X742" s="1" t="s">
        <v>74</v>
      </c>
      <c r="Y742" s="1" t="s">
        <v>74</v>
      </c>
      <c r="Z742" s="1" t="s">
        <v>74</v>
      </c>
      <c r="AA742" s="1" t="s">
        <v>74</v>
      </c>
      <c r="AB742" s="1" t="s">
        <v>74</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74</v>
      </c>
      <c r="AP742" s="1" t="s">
        <v>74</v>
      </c>
      <c r="AQ742" s="1" t="s">
        <v>6274</v>
      </c>
      <c r="AR742" s="1" t="s">
        <v>74</v>
      </c>
      <c r="AS742" s="1" t="s">
        <v>74</v>
      </c>
      <c r="AT742" s="1" t="s">
        <v>74</v>
      </c>
      <c r="AU742" s="1">
        <v>1996.0</v>
      </c>
      <c r="AV742" s="1" t="s">
        <v>74</v>
      </c>
      <c r="AW742" s="1" t="s">
        <v>74</v>
      </c>
      <c r="AX742" s="1" t="s">
        <v>74</v>
      </c>
      <c r="AY742" s="1" t="s">
        <v>74</v>
      </c>
      <c r="AZ742" s="1" t="s">
        <v>74</v>
      </c>
      <c r="BA742" s="1" t="s">
        <v>74</v>
      </c>
      <c r="BB742" s="1">
        <v>743.0</v>
      </c>
      <c r="BC742" s="1">
        <v>748.0</v>
      </c>
      <c r="BD742" s="1" t="s">
        <v>74</v>
      </c>
      <c r="BE742" s="1" t="s">
        <v>74</v>
      </c>
      <c r="BF742" s="1" t="s">
        <v>74</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6275</v>
      </c>
      <c r="BT742" s="1" t="str">
        <f>HYPERLINK("https%3A%2F%2Fwww.webofscience.com%2Fwos%2Fwoscc%2Ffull-record%2FWOS:A1996BG33X00001","View Full Record in Web of Science")</f>
        <v>View Full Record in Web of Science</v>
      </c>
    </row>
    <row r="743" ht="12.75" customHeight="1">
      <c r="A743" s="1" t="s">
        <v>126</v>
      </c>
      <c r="B743" s="1" t="s">
        <v>6276</v>
      </c>
      <c r="C743" s="1" t="s">
        <v>74</v>
      </c>
      <c r="D743" s="1" t="s">
        <v>2502</v>
      </c>
      <c r="E743" s="1" t="s">
        <v>74</v>
      </c>
      <c r="F743" s="1" t="s">
        <v>6276</v>
      </c>
      <c r="G743" s="1" t="s">
        <v>74</v>
      </c>
      <c r="H743" s="1" t="s">
        <v>74</v>
      </c>
      <c r="I743" s="1" t="s">
        <v>6277</v>
      </c>
      <c r="J743" s="1" t="s">
        <v>6273</v>
      </c>
      <c r="K743" s="1" t="s">
        <v>74</v>
      </c>
      <c r="L743" s="1" t="s">
        <v>74</v>
      </c>
      <c r="M743" s="1" t="s">
        <v>74</v>
      </c>
      <c r="N743" s="1" t="s">
        <v>74</v>
      </c>
      <c r="O743" s="1" t="s">
        <v>2505</v>
      </c>
      <c r="P743" s="1" t="s">
        <v>2506</v>
      </c>
      <c r="Q743" s="1" t="s">
        <v>2507</v>
      </c>
      <c r="R743" s="1" t="s">
        <v>2508</v>
      </c>
      <c r="S743" s="1" t="s">
        <v>74</v>
      </c>
      <c r="T743" s="1" t="s">
        <v>74</v>
      </c>
      <c r="U743" s="1" t="s">
        <v>74</v>
      </c>
      <c r="V743" s="1" t="s">
        <v>74</v>
      </c>
      <c r="W743" s="1" t="s">
        <v>74</v>
      </c>
      <c r="X743" s="1" t="s">
        <v>74</v>
      </c>
      <c r="Y743" s="1" t="s">
        <v>74</v>
      </c>
      <c r="Z743" s="1" t="s">
        <v>74</v>
      </c>
      <c r="AA743" s="1" t="s">
        <v>74</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74</v>
      </c>
      <c r="AP743" s="1" t="s">
        <v>74</v>
      </c>
      <c r="AQ743" s="1" t="s">
        <v>6274</v>
      </c>
      <c r="AR743" s="1" t="s">
        <v>74</v>
      </c>
      <c r="AS743" s="1" t="s">
        <v>74</v>
      </c>
      <c r="AT743" s="1" t="s">
        <v>74</v>
      </c>
      <c r="AU743" s="1">
        <v>1996.0</v>
      </c>
      <c r="AV743" s="1" t="s">
        <v>74</v>
      </c>
      <c r="AW743" s="1" t="s">
        <v>74</v>
      </c>
      <c r="AX743" s="1" t="s">
        <v>74</v>
      </c>
      <c r="AY743" s="1" t="s">
        <v>74</v>
      </c>
      <c r="AZ743" s="1" t="s">
        <v>74</v>
      </c>
      <c r="BA743" s="1" t="s">
        <v>74</v>
      </c>
      <c r="BB743" s="1">
        <v>755.0</v>
      </c>
      <c r="BC743" s="1">
        <v>762.0</v>
      </c>
      <c r="BD743" s="1" t="s">
        <v>74</v>
      </c>
      <c r="BE743" s="1" t="s">
        <v>74</v>
      </c>
      <c r="BF743" s="1" t="s">
        <v>74</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6278</v>
      </c>
      <c r="BT743" s="1" t="str">
        <f>HYPERLINK("https%3A%2F%2Fwww.webofscience.com%2Fwos%2Fwoscc%2Ffull-record%2FWOS:A1996BG33X00003","View Full Record in Web of Science")</f>
        <v>View Full Record in Web of Science</v>
      </c>
    </row>
    <row r="744" ht="12.75" customHeight="1">
      <c r="A744" s="1" t="s">
        <v>126</v>
      </c>
      <c r="B744" s="1" t="s">
        <v>6279</v>
      </c>
      <c r="C744" s="1" t="s">
        <v>74</v>
      </c>
      <c r="D744" s="1" t="s">
        <v>6280</v>
      </c>
      <c r="E744" s="1" t="s">
        <v>74</v>
      </c>
      <c r="F744" s="1" t="s">
        <v>6279</v>
      </c>
      <c r="G744" s="1" t="s">
        <v>74</v>
      </c>
      <c r="H744" s="1" t="s">
        <v>74</v>
      </c>
      <c r="I744" s="1" t="s">
        <v>6281</v>
      </c>
      <c r="J744" s="1" t="s">
        <v>6282</v>
      </c>
      <c r="K744" s="1" t="s">
        <v>74</v>
      </c>
      <c r="L744" s="1" t="s">
        <v>74</v>
      </c>
      <c r="M744" s="1" t="s">
        <v>74</v>
      </c>
      <c r="N744" s="1" t="s">
        <v>74</v>
      </c>
      <c r="O744" s="1" t="s">
        <v>6283</v>
      </c>
      <c r="P744" s="1" t="s">
        <v>6284</v>
      </c>
      <c r="Q744" s="1" t="s">
        <v>6285</v>
      </c>
      <c r="R744" s="1" t="s">
        <v>6286</v>
      </c>
      <c r="S744" s="1" t="s">
        <v>74</v>
      </c>
      <c r="T744" s="1" t="s">
        <v>74</v>
      </c>
      <c r="U744" s="1" t="s">
        <v>74</v>
      </c>
      <c r="V744" s="1" t="s">
        <v>6287</v>
      </c>
      <c r="W744" s="1" t="s">
        <v>74</v>
      </c>
      <c r="X744" s="1" t="s">
        <v>74</v>
      </c>
      <c r="Y744" s="1" t="s">
        <v>74</v>
      </c>
      <c r="Z744" s="1" t="s">
        <v>74</v>
      </c>
      <c r="AA744" s="1" t="s">
        <v>74</v>
      </c>
      <c r="AB744" s="1" t="s">
        <v>74</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74</v>
      </c>
      <c r="AP744" s="1" t="s">
        <v>74</v>
      </c>
      <c r="AQ744" s="1" t="s">
        <v>6288</v>
      </c>
      <c r="AR744" s="1" t="s">
        <v>74</v>
      </c>
      <c r="AS744" s="1" t="s">
        <v>74</v>
      </c>
      <c r="AT744" s="1" t="s">
        <v>74</v>
      </c>
      <c r="AU744" s="1">
        <v>1996.0</v>
      </c>
      <c r="AV744" s="1" t="s">
        <v>74</v>
      </c>
      <c r="AW744" s="1" t="s">
        <v>74</v>
      </c>
      <c r="AX744" s="1" t="s">
        <v>74</v>
      </c>
      <c r="AY744" s="1" t="s">
        <v>74</v>
      </c>
      <c r="AZ744" s="1" t="s">
        <v>74</v>
      </c>
      <c r="BA744" s="1" t="s">
        <v>74</v>
      </c>
      <c r="BB744" s="1">
        <v>525.0</v>
      </c>
      <c r="BC744" s="1">
        <v>534.0</v>
      </c>
      <c r="BD744" s="1" t="s">
        <v>74</v>
      </c>
      <c r="BE744" s="1" t="s">
        <v>74</v>
      </c>
      <c r="BF744" s="1" t="s">
        <v>74</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6289</v>
      </c>
      <c r="BT744" s="1" t="str">
        <f>HYPERLINK("https%3A%2F%2Fwww.webofscience.com%2Fwos%2Fwoscc%2Ffull-record%2FWOS:000071918000050","View Full Record in Web of Science")</f>
        <v>View Full Record in Web of Science</v>
      </c>
    </row>
    <row r="745" ht="12.75" customHeight="1">
      <c r="A745" s="1" t="s">
        <v>72</v>
      </c>
      <c r="B745" s="1" t="s">
        <v>6290</v>
      </c>
      <c r="C745" s="1" t="s">
        <v>74</v>
      </c>
      <c r="D745" s="1" t="s">
        <v>74</v>
      </c>
      <c r="E745" s="1" t="s">
        <v>74</v>
      </c>
      <c r="F745" s="1" t="s">
        <v>6290</v>
      </c>
      <c r="G745" s="1" t="s">
        <v>74</v>
      </c>
      <c r="H745" s="1" t="s">
        <v>74</v>
      </c>
      <c r="I745" s="1" t="s">
        <v>6291</v>
      </c>
      <c r="J745" s="1" t="s">
        <v>6292</v>
      </c>
      <c r="K745" s="1" t="s">
        <v>74</v>
      </c>
      <c r="L745" s="1" t="s">
        <v>74</v>
      </c>
      <c r="M745" s="1" t="s">
        <v>74</v>
      </c>
      <c r="N745" s="1" t="s">
        <v>74</v>
      </c>
      <c r="O745" s="1" t="s">
        <v>74</v>
      </c>
      <c r="P745" s="1" t="s">
        <v>74</v>
      </c>
      <c r="Q745" s="1" t="s">
        <v>74</v>
      </c>
      <c r="R745" s="1" t="s">
        <v>74</v>
      </c>
      <c r="S745" s="1" t="s">
        <v>74</v>
      </c>
      <c r="T745" s="1" t="s">
        <v>74</v>
      </c>
      <c r="U745" s="1" t="s">
        <v>74</v>
      </c>
      <c r="V745" s="1" t="s">
        <v>6293</v>
      </c>
      <c r="W745" s="1" t="s">
        <v>74</v>
      </c>
      <c r="X745" s="1" t="s">
        <v>74</v>
      </c>
      <c r="Y745" s="1" t="s">
        <v>74</v>
      </c>
      <c r="Z745" s="1" t="s">
        <v>74</v>
      </c>
      <c r="AA745" s="1" t="s">
        <v>390</v>
      </c>
      <c r="AB745" s="1" t="s">
        <v>391</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6294</v>
      </c>
      <c r="AP745" s="1" t="s">
        <v>74</v>
      </c>
      <c r="AQ745" s="1" t="s">
        <v>74</v>
      </c>
      <c r="AR745" s="1" t="s">
        <v>74</v>
      </c>
      <c r="AS745" s="1" t="s">
        <v>74</v>
      </c>
      <c r="AT745" s="1" t="s">
        <v>818</v>
      </c>
      <c r="AU745" s="1">
        <v>1995.0</v>
      </c>
      <c r="AV745" s="1">
        <v>38.0</v>
      </c>
      <c r="AW745" s="1">
        <v>2.0</v>
      </c>
      <c r="AX745" s="1" t="s">
        <v>74</v>
      </c>
      <c r="AY745" s="1" t="s">
        <v>74</v>
      </c>
      <c r="AZ745" s="1" t="s">
        <v>74</v>
      </c>
      <c r="BA745" s="1" t="s">
        <v>74</v>
      </c>
      <c r="BB745" s="1">
        <v>131.0</v>
      </c>
      <c r="BC745" s="1">
        <v>138.0</v>
      </c>
      <c r="BD745" s="1" t="s">
        <v>74</v>
      </c>
      <c r="BE745" s="1" t="s">
        <v>6295</v>
      </c>
      <c r="BF745" s="2" t="str">
        <f>HYPERLINK("http://dx.doi.org/10.1007/BF00992842","http://dx.doi.org/10.1007/BF00992842")</f>
        <v>http://dx.doi.org/10.1007/BF00992842</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6296</v>
      </c>
      <c r="BT745" s="1" t="str">
        <f>HYPERLINK("https%3A%2F%2Fwww.webofscience.com%2Fwos%2Fwoscc%2Ffull-record%2FWOS:A1995QU51500001","View Full Record in Web of Science")</f>
        <v>View Full Record in Web of Science</v>
      </c>
    </row>
    <row r="746" ht="12.75" customHeight="1">
      <c r="A746" s="1" t="s">
        <v>72</v>
      </c>
      <c r="B746" s="1" t="s">
        <v>6297</v>
      </c>
      <c r="C746" s="1" t="s">
        <v>74</v>
      </c>
      <c r="D746" s="1" t="s">
        <v>74</v>
      </c>
      <c r="E746" s="1" t="s">
        <v>74</v>
      </c>
      <c r="F746" s="1" t="s">
        <v>6297</v>
      </c>
      <c r="G746" s="1" t="s">
        <v>74</v>
      </c>
      <c r="H746" s="1" t="s">
        <v>74</v>
      </c>
      <c r="I746" s="1" t="s">
        <v>6298</v>
      </c>
      <c r="J746" s="1" t="s">
        <v>6299</v>
      </c>
      <c r="K746" s="1" t="s">
        <v>74</v>
      </c>
      <c r="L746" s="1" t="s">
        <v>74</v>
      </c>
      <c r="M746" s="1" t="s">
        <v>74</v>
      </c>
      <c r="N746" s="1" t="s">
        <v>74</v>
      </c>
      <c r="O746" s="1" t="s">
        <v>74</v>
      </c>
      <c r="P746" s="1" t="s">
        <v>74</v>
      </c>
      <c r="Q746" s="1" t="s">
        <v>74</v>
      </c>
      <c r="R746" s="1" t="s">
        <v>74</v>
      </c>
      <c r="S746" s="1" t="s">
        <v>74</v>
      </c>
      <c r="T746" s="1" t="s">
        <v>74</v>
      </c>
      <c r="U746" s="1" t="s">
        <v>74</v>
      </c>
      <c r="V746" s="1" t="s">
        <v>6300</v>
      </c>
      <c r="W746" s="1" t="s">
        <v>74</v>
      </c>
      <c r="X746" s="1" t="s">
        <v>74</v>
      </c>
      <c r="Y746" s="1" t="s">
        <v>74</v>
      </c>
      <c r="Z746" s="1" t="s">
        <v>74</v>
      </c>
      <c r="AA746" s="1" t="s">
        <v>74</v>
      </c>
      <c r="AB746" s="1" t="s">
        <v>74</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6301</v>
      </c>
      <c r="AP746" s="1" t="s">
        <v>74</v>
      </c>
      <c r="AQ746" s="1" t="s">
        <v>74</v>
      </c>
      <c r="AR746" s="1" t="s">
        <v>74</v>
      </c>
      <c r="AS746" s="1" t="s">
        <v>74</v>
      </c>
      <c r="AT746" s="1" t="s">
        <v>818</v>
      </c>
      <c r="AU746" s="1">
        <v>1992.0</v>
      </c>
      <c r="AV746" s="1">
        <v>31.0</v>
      </c>
      <c r="AW746" s="1">
        <v>2.0</v>
      </c>
      <c r="AX746" s="1" t="s">
        <v>74</v>
      </c>
      <c r="AY746" s="1" t="s">
        <v>74</v>
      </c>
      <c r="AZ746" s="1" t="s">
        <v>74</v>
      </c>
      <c r="BA746" s="1" t="s">
        <v>74</v>
      </c>
      <c r="BB746" s="1">
        <v>531.0</v>
      </c>
      <c r="BC746" s="1">
        <v>534.0</v>
      </c>
      <c r="BD746" s="1" t="s">
        <v>74</v>
      </c>
      <c r="BE746" s="1" t="s">
        <v>6302</v>
      </c>
      <c r="BF746" s="2" t="str">
        <f>HYPERLINK("http://dx.doi.org/10.1016/0031-9422(92)90032-L","http://dx.doi.org/10.1016/0031-9422(92)90032-L")</f>
        <v>http://dx.doi.org/10.1016/0031-9422(92)90032-L</v>
      </c>
      <c r="BG746" s="1" t="s">
        <v>74</v>
      </c>
      <c r="BH746" s="1" t="s">
        <v>74</v>
      </c>
      <c r="BI746" s="1" t="s">
        <v>74</v>
      </c>
      <c r="BJ746" s="1" t="s">
        <v>74</v>
      </c>
      <c r="BK746" s="1" t="s">
        <v>74</v>
      </c>
      <c r="BL746" s="1" t="s">
        <v>74</v>
      </c>
      <c r="BM746" s="1" t="s">
        <v>74</v>
      </c>
      <c r="BN746" s="1">
        <v>1367970.0</v>
      </c>
      <c r="BO746" s="1" t="s">
        <v>74</v>
      </c>
      <c r="BP746" s="1" t="s">
        <v>74</v>
      </c>
      <c r="BQ746" s="1" t="s">
        <v>74</v>
      </c>
      <c r="BR746" s="1" t="s">
        <v>74</v>
      </c>
      <c r="BS746" s="1" t="s">
        <v>6303</v>
      </c>
      <c r="BT746" s="1" t="str">
        <f>HYPERLINK("https%3A%2F%2Fwww.webofscience.com%2Fwos%2Fwoscc%2Ffull-record%2FWOS:A1992HC57100030","View Full Record in Web of Science")</f>
        <v>View Full Record in Web of Science</v>
      </c>
    </row>
    <row r="747" ht="12.75" customHeight="1">
      <c r="A747" s="1" t="s">
        <v>72</v>
      </c>
      <c r="B747" s="1" t="s">
        <v>6304</v>
      </c>
      <c r="C747" s="1" t="s">
        <v>74</v>
      </c>
      <c r="D747" s="1" t="s">
        <v>74</v>
      </c>
      <c r="E747" s="1" t="s">
        <v>74</v>
      </c>
      <c r="F747" s="1" t="s">
        <v>6304</v>
      </c>
      <c r="G747" s="1" t="s">
        <v>74</v>
      </c>
      <c r="H747" s="1" t="s">
        <v>74</v>
      </c>
      <c r="I747" s="1" t="s">
        <v>6305</v>
      </c>
      <c r="J747" s="1" t="s">
        <v>748</v>
      </c>
      <c r="K747" s="1" t="s">
        <v>74</v>
      </c>
      <c r="L747" s="1" t="s">
        <v>74</v>
      </c>
      <c r="M747" s="1" t="s">
        <v>74</v>
      </c>
      <c r="N747" s="1" t="s">
        <v>74</v>
      </c>
      <c r="O747" s="1" t="s">
        <v>74</v>
      </c>
      <c r="P747" s="1" t="s">
        <v>74</v>
      </c>
      <c r="Q747" s="1" t="s">
        <v>74</v>
      </c>
      <c r="R747" s="1" t="s">
        <v>74</v>
      </c>
      <c r="S747" s="1" t="s">
        <v>74</v>
      </c>
      <c r="T747" s="1" t="s">
        <v>74</v>
      </c>
      <c r="U747" s="1" t="s">
        <v>74</v>
      </c>
      <c r="V747" s="1" t="s">
        <v>74</v>
      </c>
      <c r="W747" s="1" t="s">
        <v>74</v>
      </c>
      <c r="X747" s="1" t="s">
        <v>74</v>
      </c>
      <c r="Y747" s="1" t="s">
        <v>74</v>
      </c>
      <c r="Z747" s="1" t="s">
        <v>74</v>
      </c>
      <c r="AA747" s="1" t="s">
        <v>74</v>
      </c>
      <c r="AB747" s="1" t="s">
        <v>74</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750</v>
      </c>
      <c r="AP747" s="1" t="s">
        <v>74</v>
      </c>
      <c r="AQ747" s="1" t="s">
        <v>74</v>
      </c>
      <c r="AR747" s="1" t="s">
        <v>74</v>
      </c>
      <c r="AS747" s="1" t="s">
        <v>74</v>
      </c>
      <c r="AT747" s="1" t="s">
        <v>158</v>
      </c>
      <c r="AU747" s="1">
        <v>1990.0</v>
      </c>
      <c r="AV747" s="1">
        <v>35.0</v>
      </c>
      <c r="AW747" s="1">
        <v>3.0</v>
      </c>
      <c r="AX747" s="1" t="s">
        <v>74</v>
      </c>
      <c r="AY747" s="1" t="s">
        <v>74</v>
      </c>
      <c r="AZ747" s="1" t="s">
        <v>74</v>
      </c>
      <c r="BA747" s="1" t="s">
        <v>74</v>
      </c>
      <c r="BB747" s="1">
        <v>309.0</v>
      </c>
      <c r="BC747" s="1">
        <v>311.0</v>
      </c>
      <c r="BD747" s="1" t="s">
        <v>74</v>
      </c>
      <c r="BE747" s="1" t="s">
        <v>74</v>
      </c>
      <c r="BF747" s="1" t="s">
        <v>74</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6306</v>
      </c>
      <c r="BT747" s="1" t="str">
        <f>HYPERLINK("https%3A%2F%2Fwww.webofscience.com%2Fwos%2Fwoscc%2Ffull-record%2FWOS:A1990DZ69900010","View Full Record in Web of Science")</f>
        <v>View Full Record in Web of Science</v>
      </c>
    </row>
    <row r="748" ht="12.75" customHeight="1">
      <c r="A748" s="1" t="s">
        <v>72</v>
      </c>
      <c r="B748" s="1" t="s">
        <v>6307</v>
      </c>
      <c r="C748" s="1" t="s">
        <v>74</v>
      </c>
      <c r="D748" s="1" t="s">
        <v>74</v>
      </c>
      <c r="E748" s="1" t="s">
        <v>74</v>
      </c>
      <c r="F748" s="1" t="s">
        <v>6307</v>
      </c>
      <c r="G748" s="1" t="s">
        <v>74</v>
      </c>
      <c r="H748" s="1" t="s">
        <v>74</v>
      </c>
      <c r="I748" s="1" t="s">
        <v>6308</v>
      </c>
      <c r="J748" s="1" t="s">
        <v>748</v>
      </c>
      <c r="K748" s="1" t="s">
        <v>74</v>
      </c>
      <c r="L748" s="1" t="s">
        <v>74</v>
      </c>
      <c r="M748" s="1" t="s">
        <v>74</v>
      </c>
      <c r="N748" s="1" t="s">
        <v>74</v>
      </c>
      <c r="O748" s="1" t="s">
        <v>74</v>
      </c>
      <c r="P748" s="1" t="s">
        <v>74</v>
      </c>
      <c r="Q748" s="1" t="s">
        <v>74</v>
      </c>
      <c r="R748" s="1" t="s">
        <v>74</v>
      </c>
      <c r="S748" s="1" t="s">
        <v>74</v>
      </c>
      <c r="T748" s="1" t="s">
        <v>74</v>
      </c>
      <c r="U748" s="1" t="s">
        <v>74</v>
      </c>
      <c r="V748" s="1" t="s">
        <v>74</v>
      </c>
      <c r="W748" s="1" t="s">
        <v>74</v>
      </c>
      <c r="X748" s="1" t="s">
        <v>74</v>
      </c>
      <c r="Y748" s="1" t="s">
        <v>74</v>
      </c>
      <c r="Z748" s="1" t="s">
        <v>74</v>
      </c>
      <c r="AA748" s="1" t="s">
        <v>74</v>
      </c>
      <c r="AB748" s="1" t="s">
        <v>74</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750</v>
      </c>
      <c r="AP748" s="1" t="s">
        <v>74</v>
      </c>
      <c r="AQ748" s="1" t="s">
        <v>74</v>
      </c>
      <c r="AR748" s="1" t="s">
        <v>74</v>
      </c>
      <c r="AS748" s="1" t="s">
        <v>74</v>
      </c>
      <c r="AT748" s="1" t="s">
        <v>82</v>
      </c>
      <c r="AU748" s="1">
        <v>1988.0</v>
      </c>
      <c r="AV748" s="1">
        <v>33.0</v>
      </c>
      <c r="AW748" s="1">
        <v>4.0</v>
      </c>
      <c r="AX748" s="1" t="s">
        <v>74</v>
      </c>
      <c r="AY748" s="1" t="s">
        <v>74</v>
      </c>
      <c r="AZ748" s="1" t="s">
        <v>74</v>
      </c>
      <c r="BA748" s="1" t="s">
        <v>74</v>
      </c>
      <c r="BB748" s="1">
        <v>177.0</v>
      </c>
      <c r="BC748" s="1">
        <v>186.0</v>
      </c>
      <c r="BD748" s="1" t="s">
        <v>74</v>
      </c>
      <c r="BE748" s="1" t="s">
        <v>74</v>
      </c>
      <c r="BF748" s="1" t="s">
        <v>74</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6309</v>
      </c>
      <c r="BT748" s="1" t="str">
        <f>HYPERLINK("https%3A%2F%2Fwww.webofscience.com%2Fwos%2Fwoscc%2Ffull-record%2FWOS:A1988R501200003","View Full Record in Web of Science")</f>
        <v>View Full Record in Web of Science</v>
      </c>
    </row>
    <row r="749" ht="12.75" customHeight="1">
      <c r="A749" s="1" t="s">
        <v>72</v>
      </c>
      <c r="B749" s="1" t="s">
        <v>6310</v>
      </c>
      <c r="C749" s="1" t="s">
        <v>74</v>
      </c>
      <c r="D749" s="1" t="s">
        <v>74</v>
      </c>
      <c r="E749" s="1" t="s">
        <v>74</v>
      </c>
      <c r="F749" s="1" t="s">
        <v>6310</v>
      </c>
      <c r="G749" s="1" t="s">
        <v>74</v>
      </c>
      <c r="H749" s="1" t="s">
        <v>74</v>
      </c>
      <c r="I749" s="1" t="s">
        <v>6311</v>
      </c>
      <c r="J749" s="1" t="s">
        <v>6312</v>
      </c>
      <c r="K749" s="1" t="s">
        <v>74</v>
      </c>
      <c r="L749" s="1" t="s">
        <v>74</v>
      </c>
      <c r="M749" s="1" t="s">
        <v>74</v>
      </c>
      <c r="N749" s="1" t="s">
        <v>74</v>
      </c>
      <c r="O749" s="1" t="s">
        <v>74</v>
      </c>
      <c r="P749" s="1" t="s">
        <v>74</v>
      </c>
      <c r="Q749" s="1" t="s">
        <v>74</v>
      </c>
      <c r="R749" s="1" t="s">
        <v>74</v>
      </c>
      <c r="S749" s="1" t="s">
        <v>74</v>
      </c>
      <c r="T749" s="1" t="s">
        <v>74</v>
      </c>
      <c r="U749" s="1" t="s">
        <v>74</v>
      </c>
      <c r="V749" s="1" t="s">
        <v>74</v>
      </c>
      <c r="W749" s="1" t="s">
        <v>74</v>
      </c>
      <c r="X749" s="1" t="s">
        <v>74</v>
      </c>
      <c r="Y749" s="1" t="s">
        <v>74</v>
      </c>
      <c r="Z749" s="1" t="s">
        <v>74</v>
      </c>
      <c r="AA749" s="1" t="s">
        <v>74</v>
      </c>
      <c r="AB749" s="1" t="s">
        <v>701</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6313</v>
      </c>
      <c r="AP749" s="1" t="s">
        <v>74</v>
      </c>
      <c r="AQ749" s="1" t="s">
        <v>74</v>
      </c>
      <c r="AR749" s="1" t="s">
        <v>74</v>
      </c>
      <c r="AS749" s="1" t="s">
        <v>74</v>
      </c>
      <c r="AT749" s="1" t="s">
        <v>74</v>
      </c>
      <c r="AU749" s="1">
        <v>1984.0</v>
      </c>
      <c r="AV749" s="1">
        <v>47.0</v>
      </c>
      <c r="AW749" s="1">
        <v>6.0</v>
      </c>
      <c r="AX749" s="1" t="s">
        <v>74</v>
      </c>
      <c r="AY749" s="1" t="s">
        <v>74</v>
      </c>
      <c r="AZ749" s="1" t="s">
        <v>74</v>
      </c>
      <c r="BA749" s="1" t="s">
        <v>74</v>
      </c>
      <c r="BB749" s="1">
        <v>1040.0</v>
      </c>
      <c r="BC749" s="1">
        <v>1041.0</v>
      </c>
      <c r="BD749" s="1" t="s">
        <v>74</v>
      </c>
      <c r="BE749" s="1" t="s">
        <v>6314</v>
      </c>
      <c r="BF749" s="2" t="str">
        <f>HYPERLINK("http://dx.doi.org/10.1021/np50036a027","http://dx.doi.org/10.1021/np50036a027")</f>
        <v>http://dx.doi.org/10.1021/np50036a027</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6315</v>
      </c>
      <c r="BT749" s="1" t="str">
        <f>HYPERLINK("https%3A%2F%2Fwww.webofscience.com%2Fwos%2Fwoscc%2Ffull-record%2FWOS:A1984ABE1000027","View Full Record in Web of Science")</f>
        <v>View Full Record in Web of Science</v>
      </c>
    </row>
    <row r="750" ht="12.75" customHeight="1">
      <c r="A750" s="1" t="s">
        <v>72</v>
      </c>
      <c r="B750" s="1" t="s">
        <v>6316</v>
      </c>
      <c r="C750" s="1" t="s">
        <v>74</v>
      </c>
      <c r="D750" s="1" t="s">
        <v>74</v>
      </c>
      <c r="E750" s="1" t="s">
        <v>74</v>
      </c>
      <c r="F750" s="1" t="s">
        <v>6316</v>
      </c>
      <c r="G750" s="1" t="s">
        <v>74</v>
      </c>
      <c r="H750" s="1" t="s">
        <v>74</v>
      </c>
      <c r="I750" s="1" t="s">
        <v>6317</v>
      </c>
      <c r="J750" s="1" t="s">
        <v>936</v>
      </c>
      <c r="K750" s="1" t="s">
        <v>74</v>
      </c>
      <c r="L750" s="1" t="s">
        <v>74</v>
      </c>
      <c r="M750" s="1" t="s">
        <v>74</v>
      </c>
      <c r="N750" s="1" t="s">
        <v>74</v>
      </c>
      <c r="O750" s="1" t="s">
        <v>74</v>
      </c>
      <c r="P750" s="1" t="s">
        <v>74</v>
      </c>
      <c r="Q750" s="1" t="s">
        <v>74</v>
      </c>
      <c r="R750" s="1" t="s">
        <v>74</v>
      </c>
      <c r="S750" s="1" t="s">
        <v>74</v>
      </c>
      <c r="T750" s="1" t="s">
        <v>74</v>
      </c>
      <c r="U750" s="1" t="s">
        <v>74</v>
      </c>
      <c r="V750" s="1" t="s">
        <v>74</v>
      </c>
      <c r="W750" s="1" t="s">
        <v>74</v>
      </c>
      <c r="X750" s="1" t="s">
        <v>74</v>
      </c>
      <c r="Y750" s="1" t="s">
        <v>74</v>
      </c>
      <c r="Z750" s="1" t="s">
        <v>74</v>
      </c>
      <c r="AA750" s="1" t="s">
        <v>74</v>
      </c>
      <c r="AB750" s="1" t="s">
        <v>74</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937</v>
      </c>
      <c r="AP750" s="1" t="s">
        <v>74</v>
      </c>
      <c r="AQ750" s="1" t="s">
        <v>74</v>
      </c>
      <c r="AR750" s="1" t="s">
        <v>74</v>
      </c>
      <c r="AS750" s="1" t="s">
        <v>74</v>
      </c>
      <c r="AT750" s="1" t="s">
        <v>74</v>
      </c>
      <c r="AU750" s="1">
        <v>1980.0</v>
      </c>
      <c r="AV750" s="1">
        <v>14.0</v>
      </c>
      <c r="AW750" s="1">
        <v>4.0</v>
      </c>
      <c r="AX750" s="1" t="s">
        <v>74</v>
      </c>
      <c r="AY750" s="1" t="s">
        <v>74</v>
      </c>
      <c r="AZ750" s="1" t="s">
        <v>74</v>
      </c>
      <c r="BA750" s="1" t="s">
        <v>74</v>
      </c>
      <c r="BB750" s="1">
        <v>345.0</v>
      </c>
      <c r="BC750" s="1">
        <v>346.0</v>
      </c>
      <c r="BD750" s="1" t="s">
        <v>74</v>
      </c>
      <c r="BE750" s="1" t="s">
        <v>6318</v>
      </c>
      <c r="BF750" s="2" t="str">
        <f>HYPERLINK("http://dx.doi.org/10.1016/0047-2670(80)85107-0","http://dx.doi.org/10.1016/0047-2670(80)85107-0")</f>
        <v>http://dx.doi.org/10.1016/0047-2670(80)85107-0</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6319</v>
      </c>
      <c r="BT750" s="1" t="str">
        <f>HYPERLINK("https%3A%2F%2Fwww.webofscience.com%2Fwos%2Fwoscc%2Ffull-record%2FWOS:A1980KW66300009","View Full Record in Web of Science")</f>
        <v>View Full Record in Web of Science</v>
      </c>
    </row>
    <row r="751" ht="12.75" customHeight="1">
      <c r="A751" s="1" t="s">
        <v>72</v>
      </c>
      <c r="B751" s="1" t="s">
        <v>6320</v>
      </c>
      <c r="C751" s="1" t="s">
        <v>74</v>
      </c>
      <c r="D751" s="1" t="s">
        <v>74</v>
      </c>
      <c r="E751" s="1" t="s">
        <v>74</v>
      </c>
      <c r="F751" s="1" t="s">
        <v>6320</v>
      </c>
      <c r="G751" s="1" t="s">
        <v>74</v>
      </c>
      <c r="H751" s="1" t="s">
        <v>74</v>
      </c>
      <c r="I751" s="1" t="s">
        <v>6321</v>
      </c>
      <c r="J751" s="1" t="s">
        <v>6322</v>
      </c>
      <c r="K751" s="1" t="s">
        <v>74</v>
      </c>
      <c r="L751" s="1" t="s">
        <v>74</v>
      </c>
      <c r="M751" s="1" t="s">
        <v>74</v>
      </c>
      <c r="N751" s="1" t="s">
        <v>74</v>
      </c>
      <c r="O751" s="1" t="s">
        <v>74</v>
      </c>
      <c r="P751" s="1" t="s">
        <v>74</v>
      </c>
      <c r="Q751" s="1" t="s">
        <v>74</v>
      </c>
      <c r="R751" s="1" t="s">
        <v>74</v>
      </c>
      <c r="S751" s="1" t="s">
        <v>74</v>
      </c>
      <c r="T751" s="1" t="s">
        <v>74</v>
      </c>
      <c r="U751" s="1" t="s">
        <v>74</v>
      </c>
      <c r="V751" s="1" t="s">
        <v>74</v>
      </c>
      <c r="W751" s="1" t="s">
        <v>74</v>
      </c>
      <c r="X751" s="1" t="s">
        <v>74</v>
      </c>
      <c r="Y751" s="1" t="s">
        <v>74</v>
      </c>
      <c r="Z751" s="1" t="s">
        <v>74</v>
      </c>
      <c r="AA751" s="1" t="s">
        <v>74</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6323</v>
      </c>
      <c r="AP751" s="1" t="s">
        <v>74</v>
      </c>
      <c r="AQ751" s="1" t="s">
        <v>74</v>
      </c>
      <c r="AR751" s="1" t="s">
        <v>74</v>
      </c>
      <c r="AS751" s="1" t="s">
        <v>74</v>
      </c>
      <c r="AT751" s="1" t="s">
        <v>74</v>
      </c>
      <c r="AU751" s="1">
        <v>1979.0</v>
      </c>
      <c r="AV751" s="1" t="s">
        <v>74</v>
      </c>
      <c r="AW751" s="1" t="s">
        <v>6324</v>
      </c>
      <c r="AX751" s="1" t="s">
        <v>74</v>
      </c>
      <c r="AY751" s="1" t="s">
        <v>74</v>
      </c>
      <c r="AZ751" s="1" t="s">
        <v>74</v>
      </c>
      <c r="BA751" s="1" t="s">
        <v>74</v>
      </c>
      <c r="BB751" s="1">
        <v>664.0</v>
      </c>
      <c r="BC751" s="1">
        <v>680.0</v>
      </c>
      <c r="BD751" s="1" t="s">
        <v>74</v>
      </c>
      <c r="BE751" s="1" t="s">
        <v>74</v>
      </c>
      <c r="BF751" s="1" t="s">
        <v>74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6325</v>
      </c>
      <c r="BT751" s="1" t="str">
        <f>HYPERLINK("https%3A%2F%2Fwww.webofscience.com%2Fwos%2Fwoscc%2Ffull-record%2FWOS:A1979GQ93400084","View Full Record in Web of Science")</f>
        <v>View Full Record in Web of Science</v>
      </c>
    </row>
    <row r="752" ht="12.75" customHeight="1">
      <c r="A752" s="1" t="s">
        <v>72</v>
      </c>
      <c r="B752" s="1" t="s">
        <v>6326</v>
      </c>
      <c r="C752" s="1" t="s">
        <v>74</v>
      </c>
      <c r="D752" s="1" t="s">
        <v>74</v>
      </c>
      <c r="E752" s="1" t="s">
        <v>74</v>
      </c>
      <c r="F752" s="1" t="s">
        <v>6327</v>
      </c>
      <c r="G752" s="1" t="s">
        <v>74</v>
      </c>
      <c r="H752" s="1" t="s">
        <v>74</v>
      </c>
      <c r="I752" s="1" t="s">
        <v>6328</v>
      </c>
      <c r="J752" s="1" t="s">
        <v>5608</v>
      </c>
      <c r="K752" s="1" t="s">
        <v>74</v>
      </c>
      <c r="L752" s="1" t="s">
        <v>74</v>
      </c>
      <c r="M752" s="1" t="s">
        <v>74</v>
      </c>
      <c r="N752" s="1" t="s">
        <v>74</v>
      </c>
      <c r="O752" s="1" t="s">
        <v>74</v>
      </c>
      <c r="P752" s="1" t="s">
        <v>74</v>
      </c>
      <c r="Q752" s="1" t="s">
        <v>74</v>
      </c>
      <c r="R752" s="1" t="s">
        <v>74</v>
      </c>
      <c r="S752" s="1" t="s">
        <v>74</v>
      </c>
      <c r="T752" s="1" t="s">
        <v>74</v>
      </c>
      <c r="U752" s="1" t="s">
        <v>74</v>
      </c>
      <c r="V752" s="1" t="s">
        <v>6329</v>
      </c>
      <c r="W752" s="1" t="s">
        <v>74</v>
      </c>
      <c r="X752" s="1" t="s">
        <v>74</v>
      </c>
      <c r="Y752" s="1" t="s">
        <v>74</v>
      </c>
      <c r="Z752" s="1" t="s">
        <v>74</v>
      </c>
      <c r="AA752" s="1" t="s">
        <v>2321</v>
      </c>
      <c r="AB752" s="1" t="s">
        <v>6330</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74</v>
      </c>
      <c r="AP752" s="1" t="s">
        <v>5610</v>
      </c>
      <c r="AQ752" s="1" t="s">
        <v>74</v>
      </c>
      <c r="AR752" s="1" t="s">
        <v>74</v>
      </c>
      <c r="AS752" s="1" t="s">
        <v>74</v>
      </c>
      <c r="AT752" s="1" t="s">
        <v>82</v>
      </c>
      <c r="AU752" s="1">
        <v>2024.0</v>
      </c>
      <c r="AV752" s="1">
        <v>10.0</v>
      </c>
      <c r="AW752" s="1">
        <v>12.0</v>
      </c>
      <c r="AX752" s="1" t="s">
        <v>74</v>
      </c>
      <c r="AY752" s="1" t="s">
        <v>74</v>
      </c>
      <c r="AZ752" s="1" t="s">
        <v>74</v>
      </c>
      <c r="BA752" s="1" t="s">
        <v>74</v>
      </c>
      <c r="BB752" s="1" t="s">
        <v>74</v>
      </c>
      <c r="BC752" s="1" t="s">
        <v>74</v>
      </c>
      <c r="BD752" s="1">
        <v>463.0</v>
      </c>
      <c r="BE752" s="1" t="s">
        <v>6331</v>
      </c>
      <c r="BF752" s="2" t="str">
        <f>HYPERLINK("http://dx.doi.org/10.3390/universe10120463","http://dx.doi.org/10.3390/universe10120463")</f>
        <v>http://dx.doi.org/10.3390/universe10120463</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6332</v>
      </c>
      <c r="BT752" s="1" t="str">
        <f>HYPERLINK("https%3A%2F%2Fwww.webofscience.com%2Fwos%2Fwoscc%2Ffull-record%2FWOS:001384484300001","View Full Record in Web of Science")</f>
        <v>View Full Record in Web of Science</v>
      </c>
    </row>
    <row r="753" ht="12.75" customHeight="1">
      <c r="A753" s="1" t="s">
        <v>72</v>
      </c>
      <c r="B753" s="1" t="s">
        <v>6333</v>
      </c>
      <c r="C753" s="1" t="s">
        <v>74</v>
      </c>
      <c r="D753" s="1" t="s">
        <v>74</v>
      </c>
      <c r="E753" s="1" t="s">
        <v>74</v>
      </c>
      <c r="F753" s="1" t="s">
        <v>6334</v>
      </c>
      <c r="G753" s="1" t="s">
        <v>74</v>
      </c>
      <c r="H753" s="1" t="s">
        <v>74</v>
      </c>
      <c r="I753" s="1" t="s">
        <v>6335</v>
      </c>
      <c r="J753" s="1" t="s">
        <v>6336</v>
      </c>
      <c r="K753" s="1" t="s">
        <v>74</v>
      </c>
      <c r="L753" s="1" t="s">
        <v>74</v>
      </c>
      <c r="M753" s="1" t="s">
        <v>74</v>
      </c>
      <c r="N753" s="1" t="s">
        <v>74</v>
      </c>
      <c r="O753" s="1" t="s">
        <v>74</v>
      </c>
      <c r="P753" s="1" t="s">
        <v>74</v>
      </c>
      <c r="Q753" s="1" t="s">
        <v>74</v>
      </c>
      <c r="R753" s="1" t="s">
        <v>74</v>
      </c>
      <c r="S753" s="1" t="s">
        <v>74</v>
      </c>
      <c r="T753" s="1" t="s">
        <v>74</v>
      </c>
      <c r="U753" s="1" t="s">
        <v>74</v>
      </c>
      <c r="V753" s="1" t="s">
        <v>6337</v>
      </c>
      <c r="W753" s="1" t="s">
        <v>74</v>
      </c>
      <c r="X753" s="1" t="s">
        <v>74</v>
      </c>
      <c r="Y753" s="1" t="s">
        <v>74</v>
      </c>
      <c r="Z753" s="1" t="s">
        <v>74</v>
      </c>
      <c r="AA753" s="1" t="s">
        <v>2009</v>
      </c>
      <c r="AB753" s="1" t="s">
        <v>6338</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6339</v>
      </c>
      <c r="AP753" s="1" t="s">
        <v>6340</v>
      </c>
      <c r="AQ753" s="1" t="s">
        <v>74</v>
      </c>
      <c r="AR753" s="1" t="s">
        <v>74</v>
      </c>
      <c r="AS753" s="1" t="s">
        <v>74</v>
      </c>
      <c r="AT753" s="1" t="s">
        <v>91</v>
      </c>
      <c r="AU753" s="1">
        <v>2024.0</v>
      </c>
      <c r="AV753" s="1">
        <v>241.0</v>
      </c>
      <c r="AW753" s="1" t="s">
        <v>74</v>
      </c>
      <c r="AX753" s="1" t="s">
        <v>74</v>
      </c>
      <c r="AY753" s="1" t="s">
        <v>74</v>
      </c>
      <c r="AZ753" s="1" t="s">
        <v>74</v>
      </c>
      <c r="BA753" s="1" t="s">
        <v>74</v>
      </c>
      <c r="BB753" s="1" t="s">
        <v>74</v>
      </c>
      <c r="BC753" s="1" t="s">
        <v>74</v>
      </c>
      <c r="BD753" s="1">
        <v>105231.0</v>
      </c>
      <c r="BE753" s="1" t="s">
        <v>6341</v>
      </c>
      <c r="BF753" s="2" t="str">
        <f>HYPERLINK("http://dx.doi.org/10.1016/j.biosystems.2024.105231","http://dx.doi.org/10.1016/j.biosystems.2024.105231")</f>
        <v>http://dx.doi.org/10.1016/j.biosystems.2024.105231</v>
      </c>
      <c r="BG753" s="1" t="s">
        <v>74</v>
      </c>
      <c r="BH753" s="1" t="s">
        <v>2639</v>
      </c>
      <c r="BI753" s="1" t="s">
        <v>74</v>
      </c>
      <c r="BJ753" s="1" t="s">
        <v>74</v>
      </c>
      <c r="BK753" s="1" t="s">
        <v>74</v>
      </c>
      <c r="BL753" s="1" t="s">
        <v>74</v>
      </c>
      <c r="BM753" s="1" t="s">
        <v>74</v>
      </c>
      <c r="BN753" s="1">
        <v>3.8754621E7</v>
      </c>
      <c r="BO753" s="1" t="s">
        <v>74</v>
      </c>
      <c r="BP753" s="1" t="s">
        <v>74</v>
      </c>
      <c r="BQ753" s="1" t="s">
        <v>74</v>
      </c>
      <c r="BR753" s="1" t="s">
        <v>74</v>
      </c>
      <c r="BS753" s="1" t="s">
        <v>6342</v>
      </c>
      <c r="BT753" s="1" t="str">
        <f>HYPERLINK("https%3A%2F%2Fwww.webofscience.com%2Fwos%2Fwoscc%2Ffull-record%2FWOS:001247629500001","View Full Record in Web of Science")</f>
        <v>View Full Record in Web of Science</v>
      </c>
    </row>
    <row r="754" ht="12.75" customHeight="1">
      <c r="A754" s="1" t="s">
        <v>72</v>
      </c>
      <c r="B754" s="1" t="s">
        <v>6343</v>
      </c>
      <c r="C754" s="1" t="s">
        <v>74</v>
      </c>
      <c r="D754" s="1" t="s">
        <v>74</v>
      </c>
      <c r="E754" s="1" t="s">
        <v>74</v>
      </c>
      <c r="F754" s="1" t="s">
        <v>6344</v>
      </c>
      <c r="G754" s="1" t="s">
        <v>74</v>
      </c>
      <c r="H754" s="1" t="s">
        <v>74</v>
      </c>
      <c r="I754" s="1" t="s">
        <v>6345</v>
      </c>
      <c r="J754" s="1" t="s">
        <v>2602</v>
      </c>
      <c r="K754" s="1" t="s">
        <v>74</v>
      </c>
      <c r="L754" s="1" t="s">
        <v>74</v>
      </c>
      <c r="M754" s="1" t="s">
        <v>74</v>
      </c>
      <c r="N754" s="1" t="s">
        <v>74</v>
      </c>
      <c r="O754" s="1" t="s">
        <v>74</v>
      </c>
      <c r="P754" s="1" t="s">
        <v>74</v>
      </c>
      <c r="Q754" s="1" t="s">
        <v>74</v>
      </c>
      <c r="R754" s="1" t="s">
        <v>74</v>
      </c>
      <c r="S754" s="1" t="s">
        <v>74</v>
      </c>
      <c r="T754" s="1" t="s">
        <v>74</v>
      </c>
      <c r="U754" s="1" t="s">
        <v>74</v>
      </c>
      <c r="V754" s="1" t="s">
        <v>6346</v>
      </c>
      <c r="W754" s="1" t="s">
        <v>74</v>
      </c>
      <c r="X754" s="1" t="s">
        <v>74</v>
      </c>
      <c r="Y754" s="1" t="s">
        <v>74</v>
      </c>
      <c r="Z754" s="1" t="s">
        <v>74</v>
      </c>
      <c r="AA754" s="1" t="s">
        <v>4529</v>
      </c>
      <c r="AB754" s="1" t="s">
        <v>6347</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74</v>
      </c>
      <c r="AP754" s="1" t="s">
        <v>2606</v>
      </c>
      <c r="AQ754" s="1" t="s">
        <v>74</v>
      </c>
      <c r="AR754" s="1" t="s">
        <v>74</v>
      </c>
      <c r="AS754" s="1" t="s">
        <v>74</v>
      </c>
      <c r="AT754" s="1" t="s">
        <v>123</v>
      </c>
      <c r="AU754" s="1">
        <v>2024.0</v>
      </c>
      <c r="AV754" s="1">
        <v>12.0</v>
      </c>
      <c r="AW754" s="1">
        <v>2.0</v>
      </c>
      <c r="AX754" s="1" t="s">
        <v>74</v>
      </c>
      <c r="AY754" s="1" t="s">
        <v>74</v>
      </c>
      <c r="AZ754" s="1" t="s">
        <v>74</v>
      </c>
      <c r="BA754" s="1" t="s">
        <v>74</v>
      </c>
      <c r="BB754" s="1" t="s">
        <v>74</v>
      </c>
      <c r="BC754" s="1" t="s">
        <v>74</v>
      </c>
      <c r="BD754" s="1">
        <v>336.0</v>
      </c>
      <c r="BE754" s="1" t="s">
        <v>6348</v>
      </c>
      <c r="BF754" s="2" t="str">
        <f>HYPERLINK("http://dx.doi.org/10.3390/math12020336","http://dx.doi.org/10.3390/math12020336")</f>
        <v>http://dx.doi.org/10.3390/math12020336</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6349</v>
      </c>
      <c r="BT754" s="1" t="str">
        <f>HYPERLINK("https%3A%2F%2Fwww.webofscience.com%2Fwos%2Fwoscc%2Ffull-record%2FWOS:001150898400001","View Full Record in Web of Science")</f>
        <v>View Full Record in Web of Science</v>
      </c>
    </row>
    <row r="755" ht="12.75" customHeight="1">
      <c r="A755" s="1" t="s">
        <v>72</v>
      </c>
      <c r="B755" s="1" t="s">
        <v>6350</v>
      </c>
      <c r="C755" s="1" t="s">
        <v>74</v>
      </c>
      <c r="D755" s="1" t="s">
        <v>74</v>
      </c>
      <c r="E755" s="1" t="s">
        <v>74</v>
      </c>
      <c r="F755" s="1" t="s">
        <v>6351</v>
      </c>
      <c r="G755" s="1" t="s">
        <v>74</v>
      </c>
      <c r="H755" s="1" t="s">
        <v>74</v>
      </c>
      <c r="I755" s="1" t="s">
        <v>6352</v>
      </c>
      <c r="J755" s="1" t="s">
        <v>6353</v>
      </c>
      <c r="K755" s="1" t="s">
        <v>74</v>
      </c>
      <c r="L755" s="1" t="s">
        <v>74</v>
      </c>
      <c r="M755" s="1" t="s">
        <v>74</v>
      </c>
      <c r="N755" s="1" t="s">
        <v>74</v>
      </c>
      <c r="O755" s="1" t="s">
        <v>74</v>
      </c>
      <c r="P755" s="1" t="s">
        <v>74</v>
      </c>
      <c r="Q755" s="1" t="s">
        <v>74</v>
      </c>
      <c r="R755" s="1" t="s">
        <v>74</v>
      </c>
      <c r="S755" s="1" t="s">
        <v>74</v>
      </c>
      <c r="T755" s="1" t="s">
        <v>74</v>
      </c>
      <c r="U755" s="1" t="s">
        <v>74</v>
      </c>
      <c r="V755" s="1" t="s">
        <v>6354</v>
      </c>
      <c r="W755" s="1" t="s">
        <v>74</v>
      </c>
      <c r="X755" s="1" t="s">
        <v>74</v>
      </c>
      <c r="Y755" s="1" t="s">
        <v>74</v>
      </c>
      <c r="Z755" s="1" t="s">
        <v>74</v>
      </c>
      <c r="AA755" s="1" t="s">
        <v>74</v>
      </c>
      <c r="AB755" s="1" t="s">
        <v>74</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6355</v>
      </c>
      <c r="AP755" s="1" t="s">
        <v>6356</v>
      </c>
      <c r="AQ755" s="1" t="s">
        <v>74</v>
      </c>
      <c r="AR755" s="1" t="s">
        <v>74</v>
      </c>
      <c r="AS755" s="1" t="s">
        <v>74</v>
      </c>
      <c r="AT755" s="1" t="s">
        <v>74</v>
      </c>
      <c r="AU755" s="1">
        <v>2024.0</v>
      </c>
      <c r="AV755" s="1">
        <v>19.0</v>
      </c>
      <c r="AW755" s="1" t="s">
        <v>74</v>
      </c>
      <c r="AX755" s="1" t="s">
        <v>74</v>
      </c>
      <c r="AY755" s="1" t="s">
        <v>74</v>
      </c>
      <c r="AZ755" s="1" t="s">
        <v>74</v>
      </c>
      <c r="BA755" s="1" t="s">
        <v>74</v>
      </c>
      <c r="BB755" s="1" t="s">
        <v>74</v>
      </c>
      <c r="BC755" s="1" t="s">
        <v>74</v>
      </c>
      <c r="BD755" s="1">
        <v>22.0</v>
      </c>
      <c r="BE755" s="1" t="s">
        <v>6357</v>
      </c>
      <c r="BF755" s="2" t="str">
        <f>HYPERLINK("http://dx.doi.org/10.4067/s0718-50652024000100222","http://dx.doi.org/10.4067/s0718-50652024000100222")</f>
        <v>http://dx.doi.org/10.4067/s0718-50652024000100222</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6358</v>
      </c>
      <c r="BT755" s="1" t="str">
        <f>HYPERLINK("https%3A%2F%2Fwww.webofscience.com%2Fwos%2Fwoscc%2Ffull-record%2FWOS:001461656700004","View Full Record in Web of Science")</f>
        <v>View Full Record in Web of Science</v>
      </c>
    </row>
    <row r="756" ht="12.75" customHeight="1">
      <c r="A756" s="1" t="s">
        <v>126</v>
      </c>
      <c r="B756" s="1" t="s">
        <v>6359</v>
      </c>
      <c r="C756" s="1" t="s">
        <v>74</v>
      </c>
      <c r="D756" s="1" t="s">
        <v>1840</v>
      </c>
      <c r="E756" s="1" t="s">
        <v>74</v>
      </c>
      <c r="F756" s="1" t="s">
        <v>6360</v>
      </c>
      <c r="G756" s="1" t="s">
        <v>74</v>
      </c>
      <c r="H756" s="1" t="s">
        <v>74</v>
      </c>
      <c r="I756" s="1" t="s">
        <v>6361</v>
      </c>
      <c r="J756" s="1" t="s">
        <v>1843</v>
      </c>
      <c r="K756" s="1" t="s">
        <v>1844</v>
      </c>
      <c r="L756" s="1" t="s">
        <v>74</v>
      </c>
      <c r="M756" s="1" t="s">
        <v>74</v>
      </c>
      <c r="N756" s="1" t="s">
        <v>74</v>
      </c>
      <c r="O756" s="1" t="s">
        <v>1845</v>
      </c>
      <c r="P756" s="1" t="s">
        <v>1846</v>
      </c>
      <c r="Q756" s="1" t="s">
        <v>1847</v>
      </c>
      <c r="R756" s="1" t="s">
        <v>74</v>
      </c>
      <c r="S756" s="1" t="s">
        <v>74</v>
      </c>
      <c r="T756" s="1" t="s">
        <v>74</v>
      </c>
      <c r="U756" s="1" t="s">
        <v>74</v>
      </c>
      <c r="V756" s="1" t="s">
        <v>6362</v>
      </c>
      <c r="W756" s="1" t="s">
        <v>74</v>
      </c>
      <c r="X756" s="1" t="s">
        <v>74</v>
      </c>
      <c r="Y756" s="1" t="s">
        <v>74</v>
      </c>
      <c r="Z756" s="1" t="s">
        <v>74</v>
      </c>
      <c r="AA756" s="1" t="s">
        <v>74</v>
      </c>
      <c r="AB756" s="1" t="s">
        <v>74</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1849</v>
      </c>
      <c r="AP756" s="1" t="s">
        <v>1850</v>
      </c>
      <c r="AQ756" s="1" t="s">
        <v>1851</v>
      </c>
      <c r="AR756" s="1" t="s">
        <v>74</v>
      </c>
      <c r="AS756" s="1" t="s">
        <v>74</v>
      </c>
      <c r="AT756" s="1" t="s">
        <v>74</v>
      </c>
      <c r="AU756" s="1">
        <v>2024.0</v>
      </c>
      <c r="AV756" s="1" t="s">
        <v>74</v>
      </c>
      <c r="AW756" s="1" t="s">
        <v>74</v>
      </c>
      <c r="AX756" s="1" t="s">
        <v>74</v>
      </c>
      <c r="AY756" s="1" t="s">
        <v>74</v>
      </c>
      <c r="AZ756" s="1" t="s">
        <v>74</v>
      </c>
      <c r="BA756" s="1" t="s">
        <v>74</v>
      </c>
      <c r="BB756" s="1">
        <v>273.0</v>
      </c>
      <c r="BC756" s="1">
        <v>281.0</v>
      </c>
      <c r="BD756" s="1" t="s">
        <v>74</v>
      </c>
      <c r="BE756" s="1" t="s">
        <v>6363</v>
      </c>
      <c r="BF756" s="2" t="str">
        <f>HYPERLINK("http://dx.doi.org/10.1007/978-3-031-72486-2_29","http://dx.doi.org/10.1007/978-3-031-72486-2_29")</f>
        <v>http://dx.doi.org/10.1007/978-3-031-72486-2_29</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6364</v>
      </c>
      <c r="BT756" s="1" t="str">
        <f>HYPERLINK("https%3A%2F%2Fwww.webofscience.com%2Fwos%2Fwoscc%2Ffull-record%2FWOS:001445604600028","View Full Record in Web of Science")</f>
        <v>View Full Record in Web of Science</v>
      </c>
    </row>
    <row r="757" ht="12.75" customHeight="1">
      <c r="A757" s="1" t="s">
        <v>72</v>
      </c>
      <c r="B757" s="1" t="s">
        <v>6365</v>
      </c>
      <c r="C757" s="1" t="s">
        <v>74</v>
      </c>
      <c r="D757" s="1" t="s">
        <v>74</v>
      </c>
      <c r="E757" s="1" t="s">
        <v>74</v>
      </c>
      <c r="F757" s="1" t="s">
        <v>6366</v>
      </c>
      <c r="G757" s="1" t="s">
        <v>74</v>
      </c>
      <c r="H757" s="1" t="s">
        <v>74</v>
      </c>
      <c r="I757" s="1" t="s">
        <v>6367</v>
      </c>
      <c r="J757" s="1" t="s">
        <v>6368</v>
      </c>
      <c r="K757" s="1" t="s">
        <v>74</v>
      </c>
      <c r="L757" s="1" t="s">
        <v>74</v>
      </c>
      <c r="M757" s="1" t="s">
        <v>74</v>
      </c>
      <c r="N757" s="1" t="s">
        <v>74</v>
      </c>
      <c r="O757" s="1" t="s">
        <v>74</v>
      </c>
      <c r="P757" s="1" t="s">
        <v>74</v>
      </c>
      <c r="Q757" s="1" t="s">
        <v>74</v>
      </c>
      <c r="R757" s="1" t="s">
        <v>74</v>
      </c>
      <c r="S757" s="1" t="s">
        <v>74</v>
      </c>
      <c r="T757" s="1" t="s">
        <v>74</v>
      </c>
      <c r="U757" s="1" t="s">
        <v>74</v>
      </c>
      <c r="V757" s="1" t="s">
        <v>6369</v>
      </c>
      <c r="W757" s="1" t="s">
        <v>74</v>
      </c>
      <c r="X757" s="1" t="s">
        <v>74</v>
      </c>
      <c r="Y757" s="1" t="s">
        <v>74</v>
      </c>
      <c r="Z757" s="1" t="s">
        <v>74</v>
      </c>
      <c r="AA757" s="1" t="s">
        <v>74</v>
      </c>
      <c r="AB757" s="1" t="s">
        <v>74</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6370</v>
      </c>
      <c r="AP757" s="1" t="s">
        <v>6371</v>
      </c>
      <c r="AQ757" s="1" t="s">
        <v>74</v>
      </c>
      <c r="AR757" s="1" t="s">
        <v>74</v>
      </c>
      <c r="AS757" s="1" t="s">
        <v>74</v>
      </c>
      <c r="AT757" s="1" t="s">
        <v>74</v>
      </c>
      <c r="AU757" s="1">
        <v>2024.0</v>
      </c>
      <c r="AV757" s="1">
        <v>13.0</v>
      </c>
      <c r="AW757" s="1" t="s">
        <v>74</v>
      </c>
      <c r="AX757" s="1" t="s">
        <v>74</v>
      </c>
      <c r="AY757" s="1" t="s">
        <v>74</v>
      </c>
      <c r="AZ757" s="1" t="s">
        <v>74</v>
      </c>
      <c r="BA757" s="1" t="s">
        <v>74</v>
      </c>
      <c r="BB757" s="1" t="s">
        <v>74</v>
      </c>
      <c r="BC757" s="1" t="s">
        <v>74</v>
      </c>
      <c r="BD757" s="1" t="s">
        <v>6372</v>
      </c>
      <c r="BE757" s="1" t="s">
        <v>6373</v>
      </c>
      <c r="BF757" s="2" t="str">
        <f>HYPERLINK("http://dx.doi.org/10.5354/0719-2584.2024.71922","http://dx.doi.org/10.5354/0719-2584.2024.71922")</f>
        <v>http://dx.doi.org/10.5354/0719-2584.2024.71922</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6374</v>
      </c>
      <c r="BT757" s="1" t="str">
        <f>HYPERLINK("https%3A%2F%2Fwww.webofscience.com%2Fwos%2Fwoscc%2Ffull-record%2FWOS:001415848100001","View Full Record in Web of Science")</f>
        <v>View Full Record in Web of Science</v>
      </c>
    </row>
    <row r="758" ht="12.75" customHeight="1">
      <c r="A758" s="1" t="s">
        <v>72</v>
      </c>
      <c r="B758" s="1" t="s">
        <v>6375</v>
      </c>
      <c r="C758" s="1" t="s">
        <v>74</v>
      </c>
      <c r="D758" s="1" t="s">
        <v>74</v>
      </c>
      <c r="E758" s="1" t="s">
        <v>74</v>
      </c>
      <c r="F758" s="1" t="s">
        <v>6376</v>
      </c>
      <c r="G758" s="1" t="s">
        <v>74</v>
      </c>
      <c r="H758" s="1" t="s">
        <v>74</v>
      </c>
      <c r="I758" s="1" t="s">
        <v>6377</v>
      </c>
      <c r="J758" s="1" t="s">
        <v>3531</v>
      </c>
      <c r="K758" s="1" t="s">
        <v>74</v>
      </c>
      <c r="L758" s="1" t="s">
        <v>74</v>
      </c>
      <c r="M758" s="1" t="s">
        <v>74</v>
      </c>
      <c r="N758" s="1" t="s">
        <v>74</v>
      </c>
      <c r="O758" s="1" t="s">
        <v>74</v>
      </c>
      <c r="P758" s="1" t="s">
        <v>74</v>
      </c>
      <c r="Q758" s="1" t="s">
        <v>74</v>
      </c>
      <c r="R758" s="1" t="s">
        <v>74</v>
      </c>
      <c r="S758" s="1" t="s">
        <v>74</v>
      </c>
      <c r="T758" s="1" t="s">
        <v>74</v>
      </c>
      <c r="U758" s="1" t="s">
        <v>74</v>
      </c>
      <c r="V758" s="1" t="s">
        <v>6378</v>
      </c>
      <c r="W758" s="1" t="s">
        <v>74</v>
      </c>
      <c r="X758" s="1" t="s">
        <v>74</v>
      </c>
      <c r="Y758" s="1" t="s">
        <v>74</v>
      </c>
      <c r="Z758" s="1" t="s">
        <v>74</v>
      </c>
      <c r="AA758" s="1" t="s">
        <v>6379</v>
      </c>
      <c r="AB758" s="1" t="s">
        <v>6380</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3535</v>
      </c>
      <c r="AP758" s="1" t="s">
        <v>3536</v>
      </c>
      <c r="AQ758" s="1" t="s">
        <v>74</v>
      </c>
      <c r="AR758" s="1" t="s">
        <v>74</v>
      </c>
      <c r="AS758" s="1" t="s">
        <v>74</v>
      </c>
      <c r="AT758" s="1" t="s">
        <v>82</v>
      </c>
      <c r="AU758" s="1">
        <v>2023.0</v>
      </c>
      <c r="AV758" s="1">
        <v>11.0</v>
      </c>
      <c r="AW758" s="1">
        <v>6.0</v>
      </c>
      <c r="AX758" s="1" t="s">
        <v>74</v>
      </c>
      <c r="AY758" s="1" t="s">
        <v>74</v>
      </c>
      <c r="AZ758" s="1" t="s">
        <v>74</v>
      </c>
      <c r="BA758" s="1" t="s">
        <v>74</v>
      </c>
      <c r="BB758" s="1" t="s">
        <v>74</v>
      </c>
      <c r="BC758" s="1" t="s">
        <v>74</v>
      </c>
      <c r="BD758" s="1">
        <v>111193.0</v>
      </c>
      <c r="BE758" s="1" t="s">
        <v>6381</v>
      </c>
      <c r="BF758" s="2" t="str">
        <f>HYPERLINK("http://dx.doi.org/10.1016/j.jece.2023.111193","http://dx.doi.org/10.1016/j.jece.2023.111193")</f>
        <v>http://dx.doi.org/10.1016/j.jece.2023.111193</v>
      </c>
      <c r="BG758" s="1" t="s">
        <v>74</v>
      </c>
      <c r="BH758" s="1" t="s">
        <v>6382</v>
      </c>
      <c r="BI758" s="1" t="s">
        <v>74</v>
      </c>
      <c r="BJ758" s="1" t="s">
        <v>74</v>
      </c>
      <c r="BK758" s="1" t="s">
        <v>74</v>
      </c>
      <c r="BL758" s="1" t="s">
        <v>74</v>
      </c>
      <c r="BM758" s="1" t="s">
        <v>74</v>
      </c>
      <c r="BN758" s="1" t="s">
        <v>74</v>
      </c>
      <c r="BO758" s="1" t="s">
        <v>74</v>
      </c>
      <c r="BP758" s="1" t="s">
        <v>74</v>
      </c>
      <c r="BQ758" s="1" t="s">
        <v>74</v>
      </c>
      <c r="BR758" s="1" t="s">
        <v>74</v>
      </c>
      <c r="BS758" s="1" t="s">
        <v>6383</v>
      </c>
      <c r="BT758" s="1" t="str">
        <f>HYPERLINK("https%3A%2F%2Fwww.webofscience.com%2Fwos%2Fwoscc%2Ffull-record%2FWOS:001114088800001","View Full Record in Web of Science")</f>
        <v>View Full Record in Web of Science</v>
      </c>
    </row>
    <row r="759" ht="12.75" customHeight="1">
      <c r="A759" s="1" t="s">
        <v>72</v>
      </c>
      <c r="B759" s="1" t="s">
        <v>6384</v>
      </c>
      <c r="C759" s="1" t="s">
        <v>74</v>
      </c>
      <c r="D759" s="1" t="s">
        <v>74</v>
      </c>
      <c r="E759" s="1" t="s">
        <v>74</v>
      </c>
      <c r="F759" s="1" t="s">
        <v>6385</v>
      </c>
      <c r="G759" s="1" t="s">
        <v>74</v>
      </c>
      <c r="H759" s="1" t="s">
        <v>74</v>
      </c>
      <c r="I759" s="1" t="s">
        <v>6386</v>
      </c>
      <c r="J759" s="1" t="s">
        <v>4056</v>
      </c>
      <c r="K759" s="1" t="s">
        <v>74</v>
      </c>
      <c r="L759" s="1" t="s">
        <v>74</v>
      </c>
      <c r="M759" s="1" t="s">
        <v>74</v>
      </c>
      <c r="N759" s="1" t="s">
        <v>74</v>
      </c>
      <c r="O759" s="1" t="s">
        <v>74</v>
      </c>
      <c r="P759" s="1" t="s">
        <v>74</v>
      </c>
      <c r="Q759" s="1" t="s">
        <v>74</v>
      </c>
      <c r="R759" s="1" t="s">
        <v>74</v>
      </c>
      <c r="S759" s="1" t="s">
        <v>74</v>
      </c>
      <c r="T759" s="1" t="s">
        <v>74</v>
      </c>
      <c r="U759" s="1" t="s">
        <v>74</v>
      </c>
      <c r="V759" s="1" t="s">
        <v>6387</v>
      </c>
      <c r="W759" s="1" t="s">
        <v>74</v>
      </c>
      <c r="X759" s="1" t="s">
        <v>74</v>
      </c>
      <c r="Y759" s="1" t="s">
        <v>74</v>
      </c>
      <c r="Z759" s="1" t="s">
        <v>74</v>
      </c>
      <c r="AA759" s="1" t="s">
        <v>6388</v>
      </c>
      <c r="AB759" s="1" t="s">
        <v>6389</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4063</v>
      </c>
      <c r="AP759" s="1" t="s">
        <v>6390</v>
      </c>
      <c r="AQ759" s="1" t="s">
        <v>74</v>
      </c>
      <c r="AR759" s="1" t="s">
        <v>74</v>
      </c>
      <c r="AS759" s="1" t="s">
        <v>74</v>
      </c>
      <c r="AT759" s="1" t="s">
        <v>6391</v>
      </c>
      <c r="AU759" s="1">
        <v>2023.0</v>
      </c>
      <c r="AV759" s="1">
        <v>230.0</v>
      </c>
      <c r="AW759" s="1" t="s">
        <v>74</v>
      </c>
      <c r="AX759" s="1" t="s">
        <v>105</v>
      </c>
      <c r="AY759" s="1" t="s">
        <v>74</v>
      </c>
      <c r="AZ759" s="1" t="s">
        <v>74</v>
      </c>
      <c r="BA759" s="1" t="s">
        <v>74</v>
      </c>
      <c r="BB759" s="1" t="s">
        <v>74</v>
      </c>
      <c r="BC759" s="1" t="s">
        <v>74</v>
      </c>
      <c r="BD759" s="1">
        <v>120829.0</v>
      </c>
      <c r="BE759" s="1" t="s">
        <v>6392</v>
      </c>
      <c r="BF759" s="2" t="str">
        <f>HYPERLINK("http://dx.doi.org/10.1016/j.applthermaleng.2023.120829","http://dx.doi.org/10.1016/j.applthermaleng.2023.120829")</f>
        <v>http://dx.doi.org/10.1016/j.applthermaleng.2023.120829</v>
      </c>
      <c r="BG759" s="1" t="s">
        <v>74</v>
      </c>
      <c r="BH759" s="1" t="s">
        <v>1876</v>
      </c>
      <c r="BI759" s="1" t="s">
        <v>74</v>
      </c>
      <c r="BJ759" s="1" t="s">
        <v>74</v>
      </c>
      <c r="BK759" s="1" t="s">
        <v>74</v>
      </c>
      <c r="BL759" s="1" t="s">
        <v>74</v>
      </c>
      <c r="BM759" s="1" t="s">
        <v>74</v>
      </c>
      <c r="BN759" s="1" t="s">
        <v>74</v>
      </c>
      <c r="BO759" s="1" t="s">
        <v>74</v>
      </c>
      <c r="BP759" s="1" t="s">
        <v>74</v>
      </c>
      <c r="BQ759" s="1" t="s">
        <v>74</v>
      </c>
      <c r="BR759" s="1" t="s">
        <v>74</v>
      </c>
      <c r="BS759" s="1" t="s">
        <v>6393</v>
      </c>
      <c r="BT759" s="1" t="str">
        <f>HYPERLINK("https%3A%2F%2Fwww.webofscience.com%2Fwos%2Fwoscc%2Ffull-record%2FWOS:001057848700001","View Full Record in Web of Science")</f>
        <v>View Full Record in Web of Science</v>
      </c>
    </row>
    <row r="760" ht="12.75" customHeight="1">
      <c r="A760" s="1" t="s">
        <v>72</v>
      </c>
      <c r="B760" s="1" t="s">
        <v>6394</v>
      </c>
      <c r="C760" s="1" t="s">
        <v>74</v>
      </c>
      <c r="D760" s="1" t="s">
        <v>74</v>
      </c>
      <c r="E760" s="1" t="s">
        <v>74</v>
      </c>
      <c r="F760" s="1" t="s">
        <v>6395</v>
      </c>
      <c r="G760" s="1" t="s">
        <v>74</v>
      </c>
      <c r="H760" s="1" t="s">
        <v>74</v>
      </c>
      <c r="I760" s="1" t="s">
        <v>6396</v>
      </c>
      <c r="J760" s="1" t="s">
        <v>6397</v>
      </c>
      <c r="K760" s="1" t="s">
        <v>74</v>
      </c>
      <c r="L760" s="1" t="s">
        <v>74</v>
      </c>
      <c r="M760" s="1" t="s">
        <v>74</v>
      </c>
      <c r="N760" s="1" t="s">
        <v>74</v>
      </c>
      <c r="O760" s="1" t="s">
        <v>74</v>
      </c>
      <c r="P760" s="1" t="s">
        <v>74</v>
      </c>
      <c r="Q760" s="1" t="s">
        <v>74</v>
      </c>
      <c r="R760" s="1" t="s">
        <v>74</v>
      </c>
      <c r="S760" s="1" t="s">
        <v>74</v>
      </c>
      <c r="T760" s="1" t="s">
        <v>74</v>
      </c>
      <c r="U760" s="1" t="s">
        <v>74</v>
      </c>
      <c r="V760" s="1" t="s">
        <v>6398</v>
      </c>
      <c r="W760" s="1" t="s">
        <v>74</v>
      </c>
      <c r="X760" s="1" t="s">
        <v>74</v>
      </c>
      <c r="Y760" s="1" t="s">
        <v>74</v>
      </c>
      <c r="Z760" s="1" t="s">
        <v>74</v>
      </c>
      <c r="AA760" s="1" t="s">
        <v>74</v>
      </c>
      <c r="AB760" s="1" t="s">
        <v>74</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74</v>
      </c>
      <c r="AP760" s="1" t="s">
        <v>6399</v>
      </c>
      <c r="AQ760" s="1" t="s">
        <v>74</v>
      </c>
      <c r="AR760" s="1" t="s">
        <v>74</v>
      </c>
      <c r="AS760" s="1" t="s">
        <v>74</v>
      </c>
      <c r="AT760" s="1" t="s">
        <v>2880</v>
      </c>
      <c r="AU760" s="1">
        <v>2023.0</v>
      </c>
      <c r="AV760" s="1">
        <v>13.0</v>
      </c>
      <c r="AW760" s="1" t="s">
        <v>74</v>
      </c>
      <c r="AX760" s="1" t="s">
        <v>74</v>
      </c>
      <c r="AY760" s="1" t="s">
        <v>74</v>
      </c>
      <c r="AZ760" s="1" t="s">
        <v>74</v>
      </c>
      <c r="BA760" s="1" t="s">
        <v>74</v>
      </c>
      <c r="BB760" s="1" t="s">
        <v>74</v>
      </c>
      <c r="BC760" s="1" t="s">
        <v>74</v>
      </c>
      <c r="BD760" s="1">
        <v>1031223.0</v>
      </c>
      <c r="BE760" s="1" t="s">
        <v>6400</v>
      </c>
      <c r="BF760" s="2" t="str">
        <f>HYPERLINK("http://dx.doi.org/10.3389/fphar.2022.1031223","http://dx.doi.org/10.3389/fphar.2022.1031223")</f>
        <v>http://dx.doi.org/10.3389/fphar.2022.1031223</v>
      </c>
      <c r="BG760" s="1" t="s">
        <v>74</v>
      </c>
      <c r="BH760" s="1" t="s">
        <v>74</v>
      </c>
      <c r="BI760" s="1" t="s">
        <v>74</v>
      </c>
      <c r="BJ760" s="1" t="s">
        <v>74</v>
      </c>
      <c r="BK760" s="1" t="s">
        <v>74</v>
      </c>
      <c r="BL760" s="1" t="s">
        <v>74</v>
      </c>
      <c r="BM760" s="1" t="s">
        <v>74</v>
      </c>
      <c r="BN760" s="1">
        <v>3.6744214E7</v>
      </c>
      <c r="BO760" s="1" t="s">
        <v>74</v>
      </c>
      <c r="BP760" s="1" t="s">
        <v>74</v>
      </c>
      <c r="BQ760" s="1" t="s">
        <v>74</v>
      </c>
      <c r="BR760" s="1" t="s">
        <v>74</v>
      </c>
      <c r="BS760" s="1" t="s">
        <v>6401</v>
      </c>
      <c r="BT760" s="1" t="str">
        <f>HYPERLINK("https%3A%2F%2Fwww.webofscience.com%2Fwos%2Fwoscc%2Ffull-record%2FWOS:000925504400001","View Full Record in Web of Science")</f>
        <v>View Full Record in Web of Science</v>
      </c>
    </row>
    <row r="761" ht="12.75" customHeight="1">
      <c r="A761" s="1" t="s">
        <v>72</v>
      </c>
      <c r="B761" s="1" t="s">
        <v>6402</v>
      </c>
      <c r="C761" s="1" t="s">
        <v>74</v>
      </c>
      <c r="D761" s="1" t="s">
        <v>74</v>
      </c>
      <c r="E761" s="1" t="s">
        <v>74</v>
      </c>
      <c r="F761" s="1" t="s">
        <v>6403</v>
      </c>
      <c r="G761" s="1" t="s">
        <v>74</v>
      </c>
      <c r="H761" s="1" t="s">
        <v>74</v>
      </c>
      <c r="I761" s="1" t="s">
        <v>6404</v>
      </c>
      <c r="J761" s="1" t="s">
        <v>2728</v>
      </c>
      <c r="K761" s="1" t="s">
        <v>74</v>
      </c>
      <c r="L761" s="1" t="s">
        <v>74</v>
      </c>
      <c r="M761" s="1" t="s">
        <v>74</v>
      </c>
      <c r="N761" s="1" t="s">
        <v>74</v>
      </c>
      <c r="O761" s="1" t="s">
        <v>74</v>
      </c>
      <c r="P761" s="1" t="s">
        <v>74</v>
      </c>
      <c r="Q761" s="1" t="s">
        <v>74</v>
      </c>
      <c r="R761" s="1" t="s">
        <v>74</v>
      </c>
      <c r="S761" s="1" t="s">
        <v>74</v>
      </c>
      <c r="T761" s="1" t="s">
        <v>74</v>
      </c>
      <c r="U761" s="1" t="s">
        <v>74</v>
      </c>
      <c r="V761" s="1" t="s">
        <v>6405</v>
      </c>
      <c r="W761" s="1" t="s">
        <v>74</v>
      </c>
      <c r="X761" s="1" t="s">
        <v>74</v>
      </c>
      <c r="Y761" s="1" t="s">
        <v>74</v>
      </c>
      <c r="Z761" s="1" t="s">
        <v>74</v>
      </c>
      <c r="AA761" s="1" t="s">
        <v>6406</v>
      </c>
      <c r="AB761" s="1" t="s">
        <v>74</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2730</v>
      </c>
      <c r="AP761" s="1" t="s">
        <v>2731</v>
      </c>
      <c r="AQ761" s="1" t="s">
        <v>74</v>
      </c>
      <c r="AR761" s="1" t="s">
        <v>74</v>
      </c>
      <c r="AS761" s="1" t="s">
        <v>74</v>
      </c>
      <c r="AT761" s="1" t="s">
        <v>74</v>
      </c>
      <c r="AU761" s="1">
        <v>2023.0</v>
      </c>
      <c r="AV761" s="1">
        <v>15.0</v>
      </c>
      <c r="AW761" s="1">
        <v>2.0</v>
      </c>
      <c r="AX761" s="1" t="s">
        <v>74</v>
      </c>
      <c r="AY761" s="1" t="s">
        <v>74</v>
      </c>
      <c r="AZ761" s="1" t="s">
        <v>74</v>
      </c>
      <c r="BA761" s="1" t="s">
        <v>74</v>
      </c>
      <c r="BB761" s="1">
        <v>8.0</v>
      </c>
      <c r="BC761" s="1">
        <v>21.0</v>
      </c>
      <c r="BD761" s="1" t="s">
        <v>74</v>
      </c>
      <c r="BE761" s="1" t="s">
        <v>6407</v>
      </c>
      <c r="BF761" s="2" t="str">
        <f>HYPERLINK("http://dx.doi.org/10.53689/ea.v15i2.210","http://dx.doi.org/10.53689/ea.v15i2.210")</f>
        <v>http://dx.doi.org/10.53689/ea.v15i2.210</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6408</v>
      </c>
      <c r="BT761" s="1" t="str">
        <f>HYPERLINK("https%3A%2F%2Fwww.webofscience.com%2Fwos%2Fwoscc%2Ffull-record%2FWOS:001136773600001","View Full Record in Web of Science")</f>
        <v>View Full Record in Web of Science</v>
      </c>
    </row>
    <row r="762" ht="12.75" customHeight="1">
      <c r="A762" s="1" t="s">
        <v>72</v>
      </c>
      <c r="B762" s="1" t="s">
        <v>6409</v>
      </c>
      <c r="C762" s="1" t="s">
        <v>74</v>
      </c>
      <c r="D762" s="1" t="s">
        <v>74</v>
      </c>
      <c r="E762" s="1" t="s">
        <v>74</v>
      </c>
      <c r="F762" s="1" t="s">
        <v>6410</v>
      </c>
      <c r="G762" s="1" t="s">
        <v>74</v>
      </c>
      <c r="H762" s="1" t="s">
        <v>74</v>
      </c>
      <c r="I762" s="1" t="s">
        <v>6411</v>
      </c>
      <c r="J762" s="1" t="s">
        <v>1889</v>
      </c>
      <c r="K762" s="1" t="s">
        <v>74</v>
      </c>
      <c r="L762" s="1" t="s">
        <v>74</v>
      </c>
      <c r="M762" s="1" t="s">
        <v>74</v>
      </c>
      <c r="N762" s="1" t="s">
        <v>74</v>
      </c>
      <c r="O762" s="1" t="s">
        <v>74</v>
      </c>
      <c r="P762" s="1" t="s">
        <v>74</v>
      </c>
      <c r="Q762" s="1" t="s">
        <v>74</v>
      </c>
      <c r="R762" s="1" t="s">
        <v>74</v>
      </c>
      <c r="S762" s="1" t="s">
        <v>74</v>
      </c>
      <c r="T762" s="1" t="s">
        <v>74</v>
      </c>
      <c r="U762" s="1" t="s">
        <v>74</v>
      </c>
      <c r="V762" s="1" t="s">
        <v>6412</v>
      </c>
      <c r="W762" s="1" t="s">
        <v>74</v>
      </c>
      <c r="X762" s="1" t="s">
        <v>74</v>
      </c>
      <c r="Y762" s="1" t="s">
        <v>74</v>
      </c>
      <c r="Z762" s="1" t="s">
        <v>74</v>
      </c>
      <c r="AA762" s="1" t="s">
        <v>74</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1891</v>
      </c>
      <c r="AP762" s="1" t="s">
        <v>1892</v>
      </c>
      <c r="AQ762" s="1" t="s">
        <v>74</v>
      </c>
      <c r="AR762" s="1" t="s">
        <v>74</v>
      </c>
      <c r="AS762" s="1" t="s">
        <v>74</v>
      </c>
      <c r="AT762" s="1" t="s">
        <v>74</v>
      </c>
      <c r="AU762" s="1">
        <v>2023.0</v>
      </c>
      <c r="AV762" s="1">
        <v>33.0</v>
      </c>
      <c r="AW762" s="1">
        <v>2.0</v>
      </c>
      <c r="AX762" s="1" t="s">
        <v>74</v>
      </c>
      <c r="AY762" s="1" t="s">
        <v>74</v>
      </c>
      <c r="AZ762" s="1" t="s">
        <v>74</v>
      </c>
      <c r="BA762" s="1" t="s">
        <v>74</v>
      </c>
      <c r="BB762" s="1">
        <v>339.0</v>
      </c>
      <c r="BC762" s="1">
        <v>364.0</v>
      </c>
      <c r="BD762" s="1" t="s">
        <v>74</v>
      </c>
      <c r="BE762" s="1" t="s">
        <v>6413</v>
      </c>
      <c r="BF762" s="2" t="str">
        <f>HYPERLINK("http://dx.doi.org/10.15443/RL3319","http://dx.doi.org/10.15443/RL3319")</f>
        <v>http://dx.doi.org/10.15443/RL3319</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6414</v>
      </c>
      <c r="BT762" s="1" t="str">
        <f>HYPERLINK("https%3A%2F%2Fwww.webofscience.com%2Fwos%2Fwoscc%2Ffull-record%2FWOS:001137454700012","View Full Record in Web of Science")</f>
        <v>View Full Record in Web of Science</v>
      </c>
    </row>
    <row r="763" ht="12.75" customHeight="1">
      <c r="A763" s="1" t="s">
        <v>72</v>
      </c>
      <c r="B763" s="1" t="s">
        <v>6415</v>
      </c>
      <c r="C763" s="1" t="s">
        <v>74</v>
      </c>
      <c r="D763" s="1" t="s">
        <v>74</v>
      </c>
      <c r="E763" s="1" t="s">
        <v>74</v>
      </c>
      <c r="F763" s="1" t="s">
        <v>6416</v>
      </c>
      <c r="G763" s="1" t="s">
        <v>74</v>
      </c>
      <c r="H763" s="1" t="s">
        <v>74</v>
      </c>
      <c r="I763" s="1" t="s">
        <v>6417</v>
      </c>
      <c r="J763" s="1" t="s">
        <v>6418</v>
      </c>
      <c r="K763" s="1" t="s">
        <v>74</v>
      </c>
      <c r="L763" s="1" t="s">
        <v>74</v>
      </c>
      <c r="M763" s="1" t="s">
        <v>74</v>
      </c>
      <c r="N763" s="1" t="s">
        <v>74</v>
      </c>
      <c r="O763" s="1" t="s">
        <v>74</v>
      </c>
      <c r="P763" s="1" t="s">
        <v>74</v>
      </c>
      <c r="Q763" s="1" t="s">
        <v>74</v>
      </c>
      <c r="R763" s="1" t="s">
        <v>74</v>
      </c>
      <c r="S763" s="1" t="s">
        <v>74</v>
      </c>
      <c r="T763" s="1" t="s">
        <v>74</v>
      </c>
      <c r="U763" s="1" t="s">
        <v>74</v>
      </c>
      <c r="V763" s="1" t="s">
        <v>6419</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6420</v>
      </c>
      <c r="AP763" s="1" t="s">
        <v>6421</v>
      </c>
      <c r="AQ763" s="1" t="s">
        <v>74</v>
      </c>
      <c r="AR763" s="1" t="s">
        <v>74</v>
      </c>
      <c r="AS763" s="1" t="s">
        <v>74</v>
      </c>
      <c r="AT763" s="1" t="s">
        <v>382</v>
      </c>
      <c r="AU763" s="1">
        <v>2023.0</v>
      </c>
      <c r="AV763" s="1" t="s">
        <v>74</v>
      </c>
      <c r="AW763" s="1">
        <v>30.0</v>
      </c>
      <c r="AX763" s="1" t="s">
        <v>74</v>
      </c>
      <c r="AY763" s="1" t="s">
        <v>74</v>
      </c>
      <c r="AZ763" s="1" t="s">
        <v>74</v>
      </c>
      <c r="BA763" s="1" t="s">
        <v>74</v>
      </c>
      <c r="BB763" s="1">
        <v>91.0</v>
      </c>
      <c r="BC763" s="1">
        <v>115.0</v>
      </c>
      <c r="BD763" s="1" t="s">
        <v>74</v>
      </c>
      <c r="BE763" s="1" t="s">
        <v>74</v>
      </c>
      <c r="BF763" s="1" t="s">
        <v>74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6422</v>
      </c>
      <c r="BT763" s="1" t="str">
        <f>HYPERLINK("https%3A%2F%2Fwww.webofscience.com%2Fwos%2Fwoscc%2Ffull-record%2FWOS:001000745800004","View Full Record in Web of Science")</f>
        <v>View Full Record in Web of Science</v>
      </c>
    </row>
    <row r="764" ht="12.75" customHeight="1">
      <c r="A764" s="1" t="s">
        <v>72</v>
      </c>
      <c r="B764" s="1" t="s">
        <v>6423</v>
      </c>
      <c r="C764" s="1" t="s">
        <v>74</v>
      </c>
      <c r="D764" s="1" t="s">
        <v>74</v>
      </c>
      <c r="E764" s="1" t="s">
        <v>74</v>
      </c>
      <c r="F764" s="1" t="s">
        <v>6424</v>
      </c>
      <c r="G764" s="1" t="s">
        <v>74</v>
      </c>
      <c r="H764" s="1" t="s">
        <v>74</v>
      </c>
      <c r="I764" s="1" t="s">
        <v>6425</v>
      </c>
      <c r="J764" s="1" t="s">
        <v>6426</v>
      </c>
      <c r="K764" s="1" t="s">
        <v>74</v>
      </c>
      <c r="L764" s="1" t="s">
        <v>74</v>
      </c>
      <c r="M764" s="1" t="s">
        <v>74</v>
      </c>
      <c r="N764" s="1" t="s">
        <v>74</v>
      </c>
      <c r="O764" s="1" t="s">
        <v>74</v>
      </c>
      <c r="P764" s="1" t="s">
        <v>74</v>
      </c>
      <c r="Q764" s="1" t="s">
        <v>74</v>
      </c>
      <c r="R764" s="1" t="s">
        <v>74</v>
      </c>
      <c r="S764" s="1" t="s">
        <v>74</v>
      </c>
      <c r="T764" s="1" t="s">
        <v>74</v>
      </c>
      <c r="U764" s="1" t="s">
        <v>74</v>
      </c>
      <c r="V764" s="1" t="s">
        <v>6427</v>
      </c>
      <c r="W764" s="1" t="s">
        <v>74</v>
      </c>
      <c r="X764" s="1" t="s">
        <v>74</v>
      </c>
      <c r="Y764" s="1" t="s">
        <v>74</v>
      </c>
      <c r="Z764" s="1" t="s">
        <v>74</v>
      </c>
      <c r="AA764" s="1" t="s">
        <v>74</v>
      </c>
      <c r="AB764" s="1" t="s">
        <v>74</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6428</v>
      </c>
      <c r="AP764" s="1" t="s">
        <v>74</v>
      </c>
      <c r="AQ764" s="1" t="s">
        <v>74</v>
      </c>
      <c r="AR764" s="1" t="s">
        <v>74</v>
      </c>
      <c r="AS764" s="1" t="s">
        <v>74</v>
      </c>
      <c r="AT764" s="1" t="s">
        <v>382</v>
      </c>
      <c r="AU764" s="1">
        <v>2023.0</v>
      </c>
      <c r="AV764" s="1" t="s">
        <v>74</v>
      </c>
      <c r="AW764" s="1">
        <v>17.0</v>
      </c>
      <c r="AX764" s="1" t="s">
        <v>74</v>
      </c>
      <c r="AY764" s="1" t="s">
        <v>74</v>
      </c>
      <c r="AZ764" s="1" t="s">
        <v>74</v>
      </c>
      <c r="BA764" s="1" t="s">
        <v>74</v>
      </c>
      <c r="BB764" s="1">
        <v>148.0</v>
      </c>
      <c r="BC764" s="1">
        <v>176.0</v>
      </c>
      <c r="BD764" s="1" t="s">
        <v>74</v>
      </c>
      <c r="BE764" s="1" t="s">
        <v>74</v>
      </c>
      <c r="BF764" s="1" t="s">
        <v>74</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6429</v>
      </c>
      <c r="BT764" s="1" t="str">
        <f>HYPERLINK("https%3A%2F%2Fwww.webofscience.com%2Fwos%2Fwoscc%2Ffull-record%2FWOS:001027579800006","View Full Record in Web of Science")</f>
        <v>View Full Record in Web of Science</v>
      </c>
    </row>
    <row r="765" ht="12.75" customHeight="1">
      <c r="A765" s="1" t="s">
        <v>72</v>
      </c>
      <c r="B765" s="1" t="s">
        <v>6430</v>
      </c>
      <c r="C765" s="1" t="s">
        <v>74</v>
      </c>
      <c r="D765" s="1" t="s">
        <v>74</v>
      </c>
      <c r="E765" s="1" t="s">
        <v>74</v>
      </c>
      <c r="F765" s="1" t="s">
        <v>6431</v>
      </c>
      <c r="G765" s="1" t="s">
        <v>74</v>
      </c>
      <c r="H765" s="1" t="s">
        <v>74</v>
      </c>
      <c r="I765" s="1" t="s">
        <v>6432</v>
      </c>
      <c r="J765" s="1" t="s">
        <v>1390</v>
      </c>
      <c r="K765" s="1" t="s">
        <v>74</v>
      </c>
      <c r="L765" s="1" t="s">
        <v>74</v>
      </c>
      <c r="M765" s="1" t="s">
        <v>74</v>
      </c>
      <c r="N765" s="1" t="s">
        <v>74</v>
      </c>
      <c r="O765" s="1" t="s">
        <v>74</v>
      </c>
      <c r="P765" s="1" t="s">
        <v>74</v>
      </c>
      <c r="Q765" s="1" t="s">
        <v>74</v>
      </c>
      <c r="R765" s="1" t="s">
        <v>74</v>
      </c>
      <c r="S765" s="1" t="s">
        <v>74</v>
      </c>
      <c r="T765" s="1" t="s">
        <v>74</v>
      </c>
      <c r="U765" s="1" t="s">
        <v>74</v>
      </c>
      <c r="V765" s="1" t="s">
        <v>74</v>
      </c>
      <c r="W765" s="1" t="s">
        <v>74</v>
      </c>
      <c r="X765" s="1" t="s">
        <v>74</v>
      </c>
      <c r="Y765" s="1" t="s">
        <v>74</v>
      </c>
      <c r="Z765" s="1" t="s">
        <v>74</v>
      </c>
      <c r="AA765" s="1" t="s">
        <v>6433</v>
      </c>
      <c r="AB765" s="1" t="s">
        <v>74</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1393</v>
      </c>
      <c r="AP765" s="1" t="s">
        <v>1394</v>
      </c>
      <c r="AQ765" s="1" t="s">
        <v>74</v>
      </c>
      <c r="AR765" s="1" t="s">
        <v>74</v>
      </c>
      <c r="AS765" s="1" t="s">
        <v>74</v>
      </c>
      <c r="AT765" s="1" t="s">
        <v>123</v>
      </c>
      <c r="AU765" s="1">
        <v>2023.0</v>
      </c>
      <c r="AV765" s="1">
        <v>46.0</v>
      </c>
      <c r="AW765" s="1">
        <v>1.0</v>
      </c>
      <c r="AX765" s="1" t="s">
        <v>74</v>
      </c>
      <c r="AY765" s="1" t="s">
        <v>74</v>
      </c>
      <c r="AZ765" s="1" t="s">
        <v>74</v>
      </c>
      <c r="BA765" s="1" t="s">
        <v>74</v>
      </c>
      <c r="BB765" s="1">
        <v>85.0</v>
      </c>
      <c r="BC765" s="1">
        <v>89.0</v>
      </c>
      <c r="BD765" s="1" t="s">
        <v>74</v>
      </c>
      <c r="BE765" s="1" t="s">
        <v>6434</v>
      </c>
      <c r="BF765" s="2" t="str">
        <f>HYPERLINK("http://dx.doi.org/10.1111/jfd.13720","http://dx.doi.org/10.1111/jfd.13720")</f>
        <v>http://dx.doi.org/10.1111/jfd.13720</v>
      </c>
      <c r="BG765" s="1" t="s">
        <v>74</v>
      </c>
      <c r="BH765" s="1" t="s">
        <v>6435</v>
      </c>
      <c r="BI765" s="1" t="s">
        <v>74</v>
      </c>
      <c r="BJ765" s="1" t="s">
        <v>74</v>
      </c>
      <c r="BK765" s="1" t="s">
        <v>74</v>
      </c>
      <c r="BL765" s="1" t="s">
        <v>74</v>
      </c>
      <c r="BM765" s="1" t="s">
        <v>74</v>
      </c>
      <c r="BN765" s="1">
        <v>3.6179045E7</v>
      </c>
      <c r="BO765" s="1" t="s">
        <v>74</v>
      </c>
      <c r="BP765" s="1" t="s">
        <v>74</v>
      </c>
      <c r="BQ765" s="1" t="s">
        <v>74</v>
      </c>
      <c r="BR765" s="1" t="s">
        <v>74</v>
      </c>
      <c r="BS765" s="1" t="s">
        <v>6436</v>
      </c>
      <c r="BT765" s="1" t="str">
        <f>HYPERLINK("https%3A%2F%2Fwww.webofscience.com%2Fwos%2Fwoscc%2Ffull-record%2FWOS:000862029400001","View Full Record in Web of Science")</f>
        <v>View Full Record in Web of Science</v>
      </c>
    </row>
    <row r="766" ht="12.75" customHeight="1">
      <c r="A766" s="1" t="s">
        <v>72</v>
      </c>
      <c r="B766" s="1" t="s">
        <v>6437</v>
      </c>
      <c r="C766" s="1" t="s">
        <v>74</v>
      </c>
      <c r="D766" s="1" t="s">
        <v>74</v>
      </c>
      <c r="E766" s="1" t="s">
        <v>74</v>
      </c>
      <c r="F766" s="1" t="s">
        <v>6438</v>
      </c>
      <c r="G766" s="1" t="s">
        <v>74</v>
      </c>
      <c r="H766" s="1" t="s">
        <v>74</v>
      </c>
      <c r="I766" s="1" t="s">
        <v>6439</v>
      </c>
      <c r="J766" s="1" t="s">
        <v>6440</v>
      </c>
      <c r="K766" s="1" t="s">
        <v>74</v>
      </c>
      <c r="L766" s="1" t="s">
        <v>74</v>
      </c>
      <c r="M766" s="1" t="s">
        <v>74</v>
      </c>
      <c r="N766" s="1" t="s">
        <v>74</v>
      </c>
      <c r="O766" s="1" t="s">
        <v>74</v>
      </c>
      <c r="P766" s="1" t="s">
        <v>74</v>
      </c>
      <c r="Q766" s="1" t="s">
        <v>74</v>
      </c>
      <c r="R766" s="1" t="s">
        <v>74</v>
      </c>
      <c r="S766" s="1" t="s">
        <v>74</v>
      </c>
      <c r="T766" s="1" t="s">
        <v>74</v>
      </c>
      <c r="U766" s="1" t="s">
        <v>74</v>
      </c>
      <c r="V766" s="1" t="s">
        <v>6441</v>
      </c>
      <c r="W766" s="1" t="s">
        <v>74</v>
      </c>
      <c r="X766" s="1" t="s">
        <v>74</v>
      </c>
      <c r="Y766" s="1" t="s">
        <v>74</v>
      </c>
      <c r="Z766" s="1" t="s">
        <v>74</v>
      </c>
      <c r="AA766" s="1" t="s">
        <v>284</v>
      </c>
      <c r="AB766" s="1" t="s">
        <v>398</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6442</v>
      </c>
      <c r="AP766" s="1" t="s">
        <v>6443</v>
      </c>
      <c r="AQ766" s="1" t="s">
        <v>74</v>
      </c>
      <c r="AR766" s="1" t="s">
        <v>74</v>
      </c>
      <c r="AS766" s="1" t="s">
        <v>74</v>
      </c>
      <c r="AT766" s="1" t="s">
        <v>410</v>
      </c>
      <c r="AU766" s="1">
        <v>2022.0</v>
      </c>
      <c r="AV766" s="1">
        <v>128.0</v>
      </c>
      <c r="AW766" s="1" t="s">
        <v>74</v>
      </c>
      <c r="AX766" s="1" t="s">
        <v>74</v>
      </c>
      <c r="AY766" s="1" t="s">
        <v>74</v>
      </c>
      <c r="AZ766" s="1" t="s">
        <v>74</v>
      </c>
      <c r="BA766" s="1" t="s">
        <v>74</v>
      </c>
      <c r="BB766" s="1" t="s">
        <v>74</v>
      </c>
      <c r="BC766" s="1" t="s">
        <v>74</v>
      </c>
      <c r="BD766" s="1">
        <v>105316.0</v>
      </c>
      <c r="BE766" s="1" t="s">
        <v>6444</v>
      </c>
      <c r="BF766" s="2" t="str">
        <f>HYPERLINK("http://dx.doi.org/10.1016/j.conengprac.2022.105316","http://dx.doi.org/10.1016/j.conengprac.2022.105316")</f>
        <v>http://dx.doi.org/10.1016/j.conengprac.2022.105316</v>
      </c>
      <c r="BG766" s="1" t="s">
        <v>74</v>
      </c>
      <c r="BH766" s="1" t="s">
        <v>6445</v>
      </c>
      <c r="BI766" s="1" t="s">
        <v>74</v>
      </c>
      <c r="BJ766" s="1" t="s">
        <v>74</v>
      </c>
      <c r="BK766" s="1" t="s">
        <v>74</v>
      </c>
      <c r="BL766" s="1" t="s">
        <v>74</v>
      </c>
      <c r="BM766" s="1" t="s">
        <v>74</v>
      </c>
      <c r="BN766" s="1" t="s">
        <v>74</v>
      </c>
      <c r="BO766" s="1" t="s">
        <v>74</v>
      </c>
      <c r="BP766" s="1" t="s">
        <v>74</v>
      </c>
      <c r="BQ766" s="1" t="s">
        <v>74</v>
      </c>
      <c r="BR766" s="1" t="s">
        <v>74</v>
      </c>
      <c r="BS766" s="1" t="s">
        <v>6446</v>
      </c>
      <c r="BT766" s="1" t="str">
        <f>HYPERLINK("https%3A%2F%2Fwww.webofscience.com%2Fwos%2Fwoscc%2Ffull-record%2FWOS:000864942400006","View Full Record in Web of Science")</f>
        <v>View Full Record in Web of Science</v>
      </c>
    </row>
    <row r="767" ht="12.75" customHeight="1">
      <c r="A767" s="1" t="s">
        <v>72</v>
      </c>
      <c r="B767" s="1" t="s">
        <v>6447</v>
      </c>
      <c r="C767" s="1" t="s">
        <v>74</v>
      </c>
      <c r="D767" s="1" t="s">
        <v>74</v>
      </c>
      <c r="E767" s="1" t="s">
        <v>74</v>
      </c>
      <c r="F767" s="1" t="s">
        <v>6448</v>
      </c>
      <c r="G767" s="1" t="s">
        <v>74</v>
      </c>
      <c r="H767" s="1" t="s">
        <v>74</v>
      </c>
      <c r="I767" s="1" t="s">
        <v>6449</v>
      </c>
      <c r="J767" s="1" t="s">
        <v>6450</v>
      </c>
      <c r="K767" s="1" t="s">
        <v>74</v>
      </c>
      <c r="L767" s="1" t="s">
        <v>74</v>
      </c>
      <c r="M767" s="1" t="s">
        <v>74</v>
      </c>
      <c r="N767" s="1" t="s">
        <v>74</v>
      </c>
      <c r="O767" s="1" t="s">
        <v>74</v>
      </c>
      <c r="P767" s="1" t="s">
        <v>74</v>
      </c>
      <c r="Q767" s="1" t="s">
        <v>74</v>
      </c>
      <c r="R767" s="1" t="s">
        <v>74</v>
      </c>
      <c r="S767" s="1" t="s">
        <v>74</v>
      </c>
      <c r="T767" s="1" t="s">
        <v>74</v>
      </c>
      <c r="U767" s="1" t="s">
        <v>74</v>
      </c>
      <c r="V767" s="1" t="s">
        <v>6451</v>
      </c>
      <c r="W767" s="1" t="s">
        <v>74</v>
      </c>
      <c r="X767" s="1" t="s">
        <v>74</v>
      </c>
      <c r="Y767" s="1" t="s">
        <v>74</v>
      </c>
      <c r="Z767" s="1" t="s">
        <v>74</v>
      </c>
      <c r="AA767" s="1" t="s">
        <v>6452</v>
      </c>
      <c r="AB767" s="1" t="s">
        <v>6453</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74</v>
      </c>
      <c r="AP767" s="1" t="s">
        <v>6454</v>
      </c>
      <c r="AQ767" s="1" t="s">
        <v>74</v>
      </c>
      <c r="AR767" s="1" t="s">
        <v>74</v>
      </c>
      <c r="AS767" s="1" t="s">
        <v>74</v>
      </c>
      <c r="AT767" s="1" t="s">
        <v>91</v>
      </c>
      <c r="AU767" s="1">
        <v>2022.0</v>
      </c>
      <c r="AV767" s="1">
        <v>14.0</v>
      </c>
      <c r="AW767" s="1">
        <v>7.0</v>
      </c>
      <c r="AX767" s="1" t="s">
        <v>74</v>
      </c>
      <c r="AY767" s="1" t="s">
        <v>74</v>
      </c>
      <c r="AZ767" s="1" t="s">
        <v>74</v>
      </c>
      <c r="BA767" s="1" t="s">
        <v>74</v>
      </c>
      <c r="BB767" s="1" t="s">
        <v>74</v>
      </c>
      <c r="BC767" s="1" t="s">
        <v>74</v>
      </c>
      <c r="BD767" s="1">
        <v>1446.0</v>
      </c>
      <c r="BE767" s="1" t="s">
        <v>6455</v>
      </c>
      <c r="BF767" s="2" t="str">
        <f>HYPERLINK("http://dx.doi.org/10.3390/sym14071446","http://dx.doi.org/10.3390/sym14071446")</f>
        <v>http://dx.doi.org/10.3390/sym14071446</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6456</v>
      </c>
      <c r="BT767" s="1" t="str">
        <f>HYPERLINK("https%3A%2F%2Fwww.webofscience.com%2Fwos%2Fwoscc%2Ffull-record%2FWOS:000831477400001","View Full Record in Web of Science")</f>
        <v>View Full Record in Web of Science</v>
      </c>
    </row>
    <row r="768" ht="12.75" customHeight="1">
      <c r="A768" s="1" t="s">
        <v>72</v>
      </c>
      <c r="B768" s="1" t="s">
        <v>6457</v>
      </c>
      <c r="C768" s="1" t="s">
        <v>74</v>
      </c>
      <c r="D768" s="1" t="s">
        <v>74</v>
      </c>
      <c r="E768" s="1" t="s">
        <v>74</v>
      </c>
      <c r="F768" s="1" t="s">
        <v>6458</v>
      </c>
      <c r="G768" s="1" t="s">
        <v>74</v>
      </c>
      <c r="H768" s="1" t="s">
        <v>74</v>
      </c>
      <c r="I768" s="1" t="s">
        <v>6459</v>
      </c>
      <c r="J768" s="1" t="s">
        <v>5164</v>
      </c>
      <c r="K768" s="1" t="s">
        <v>74</v>
      </c>
      <c r="L768" s="1" t="s">
        <v>74</v>
      </c>
      <c r="M768" s="1" t="s">
        <v>74</v>
      </c>
      <c r="N768" s="1" t="s">
        <v>74</v>
      </c>
      <c r="O768" s="1" t="s">
        <v>74</v>
      </c>
      <c r="P768" s="1" t="s">
        <v>74</v>
      </c>
      <c r="Q768" s="1" t="s">
        <v>74</v>
      </c>
      <c r="R768" s="1" t="s">
        <v>74</v>
      </c>
      <c r="S768" s="1" t="s">
        <v>74</v>
      </c>
      <c r="T768" s="1" t="s">
        <v>74</v>
      </c>
      <c r="U768" s="1" t="s">
        <v>74</v>
      </c>
      <c r="V768" s="1" t="s">
        <v>6460</v>
      </c>
      <c r="W768" s="1" t="s">
        <v>74</v>
      </c>
      <c r="X768" s="1" t="s">
        <v>74</v>
      </c>
      <c r="Y768" s="1" t="s">
        <v>74</v>
      </c>
      <c r="Z768" s="1" t="s">
        <v>74</v>
      </c>
      <c r="AA768" s="1" t="s">
        <v>6461</v>
      </c>
      <c r="AB768" s="1" t="s">
        <v>6462</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5171</v>
      </c>
      <c r="AP768" s="1" t="s">
        <v>5172</v>
      </c>
      <c r="AQ768" s="1" t="s">
        <v>74</v>
      </c>
      <c r="AR768" s="1" t="s">
        <v>74</v>
      </c>
      <c r="AS768" s="1" t="s">
        <v>74</v>
      </c>
      <c r="AT768" s="1" t="s">
        <v>158</v>
      </c>
      <c r="AU768" s="1">
        <v>2022.0</v>
      </c>
      <c r="AV768" s="1">
        <v>39.0</v>
      </c>
      <c r="AW768" s="1">
        <v>9.0</v>
      </c>
      <c r="AX768" s="1" t="s">
        <v>74</v>
      </c>
      <c r="AY768" s="1" t="s">
        <v>74</v>
      </c>
      <c r="AZ768" s="1" t="s">
        <v>74</v>
      </c>
      <c r="BA768" s="1" t="s">
        <v>74</v>
      </c>
      <c r="BB768" s="1">
        <v>482.0</v>
      </c>
      <c r="BC768" s="1">
        <v>492.0</v>
      </c>
      <c r="BD768" s="1" t="s">
        <v>74</v>
      </c>
      <c r="BE768" s="1" t="s">
        <v>6463</v>
      </c>
      <c r="BF768" s="2" t="str">
        <f>HYPERLINK("http://dx.doi.org/10.1002/yea.3708","http://dx.doi.org/10.1002/yea.3708")</f>
        <v>http://dx.doi.org/10.1002/yea.3708</v>
      </c>
      <c r="BG768" s="1" t="s">
        <v>74</v>
      </c>
      <c r="BH768" s="1" t="s">
        <v>6464</v>
      </c>
      <c r="BI768" s="1" t="s">
        <v>74</v>
      </c>
      <c r="BJ768" s="1" t="s">
        <v>74</v>
      </c>
      <c r="BK768" s="1" t="s">
        <v>74</v>
      </c>
      <c r="BL768" s="1" t="s">
        <v>74</v>
      </c>
      <c r="BM768" s="1" t="s">
        <v>74</v>
      </c>
      <c r="BN768" s="1">
        <v>3.5581681E7</v>
      </c>
      <c r="BO768" s="1" t="s">
        <v>74</v>
      </c>
      <c r="BP768" s="1" t="s">
        <v>74</v>
      </c>
      <c r="BQ768" s="1" t="s">
        <v>74</v>
      </c>
      <c r="BR768" s="1" t="s">
        <v>74</v>
      </c>
      <c r="BS768" s="1" t="s">
        <v>6465</v>
      </c>
      <c r="BT768" s="1" t="str">
        <f>HYPERLINK("https%3A%2F%2Fwww.webofscience.com%2Fwos%2Fwoscc%2Ffull-record%2FWOS:000804806800001","View Full Record in Web of Science")</f>
        <v>View Full Record in Web of Science</v>
      </c>
    </row>
    <row r="769" ht="12.75" customHeight="1">
      <c r="A769" s="1" t="s">
        <v>72</v>
      </c>
      <c r="B769" s="1" t="s">
        <v>6466</v>
      </c>
      <c r="C769" s="1" t="s">
        <v>74</v>
      </c>
      <c r="D769" s="1" t="s">
        <v>74</v>
      </c>
      <c r="E769" s="1" t="s">
        <v>74</v>
      </c>
      <c r="F769" s="1" t="s">
        <v>6467</v>
      </c>
      <c r="G769" s="1" t="s">
        <v>74</v>
      </c>
      <c r="H769" s="1" t="s">
        <v>74</v>
      </c>
      <c r="I769" s="1" t="s">
        <v>6468</v>
      </c>
      <c r="J769" s="1" t="s">
        <v>6469</v>
      </c>
      <c r="K769" s="1" t="s">
        <v>74</v>
      </c>
      <c r="L769" s="1" t="s">
        <v>74</v>
      </c>
      <c r="M769" s="1" t="s">
        <v>74</v>
      </c>
      <c r="N769" s="1" t="s">
        <v>74</v>
      </c>
      <c r="O769" s="1" t="s">
        <v>74</v>
      </c>
      <c r="P769" s="1" t="s">
        <v>74</v>
      </c>
      <c r="Q769" s="1" t="s">
        <v>74</v>
      </c>
      <c r="R769" s="1" t="s">
        <v>74</v>
      </c>
      <c r="S769" s="1" t="s">
        <v>74</v>
      </c>
      <c r="T769" s="1" t="s">
        <v>74</v>
      </c>
      <c r="U769" s="1" t="s">
        <v>74</v>
      </c>
      <c r="V769" s="1" t="s">
        <v>6470</v>
      </c>
      <c r="W769" s="1" t="s">
        <v>74</v>
      </c>
      <c r="X769" s="1" t="s">
        <v>74</v>
      </c>
      <c r="Y769" s="1" t="s">
        <v>74</v>
      </c>
      <c r="Z769" s="1" t="s">
        <v>74</v>
      </c>
      <c r="AA769" s="1" t="s">
        <v>6471</v>
      </c>
      <c r="AB769" s="1" t="s">
        <v>6472</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6473</v>
      </c>
      <c r="AP769" s="1" t="s">
        <v>74</v>
      </c>
      <c r="AQ769" s="1" t="s">
        <v>74</v>
      </c>
      <c r="AR769" s="1" t="s">
        <v>74</v>
      </c>
      <c r="AS769" s="1" t="s">
        <v>74</v>
      </c>
      <c r="AT769" s="1" t="s">
        <v>74</v>
      </c>
      <c r="AU769" s="1">
        <v>2022.0</v>
      </c>
      <c r="AV769" s="1" t="s">
        <v>74</v>
      </c>
      <c r="AW769" s="1">
        <v>30.0</v>
      </c>
      <c r="AX769" s="1" t="s">
        <v>74</v>
      </c>
      <c r="AY769" s="1" t="s">
        <v>74</v>
      </c>
      <c r="AZ769" s="1" t="s">
        <v>74</v>
      </c>
      <c r="BA769" s="1" t="s">
        <v>74</v>
      </c>
      <c r="BB769" s="1" t="s">
        <v>74</v>
      </c>
      <c r="BC769" s="1" t="s">
        <v>74</v>
      </c>
      <c r="BD769" s="1" t="s">
        <v>74</v>
      </c>
      <c r="BE769" s="1" t="s">
        <v>6474</v>
      </c>
      <c r="BF769" s="2" t="str">
        <f>HYPERLINK("http://dx.doi.org/10.7238/d.v0i30.402843","http://dx.doi.org/10.7238/d.v0i30.402843")</f>
        <v>http://dx.doi.org/10.7238/d.v0i30.402843</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6475</v>
      </c>
      <c r="BT769" s="1" t="str">
        <f>HYPERLINK("https%3A%2F%2Fwww.webofscience.com%2Fwos%2Fwoscc%2Ffull-record%2FWOS:000891052500001","View Full Record in Web of Science")</f>
        <v>View Full Record in Web of Science</v>
      </c>
    </row>
    <row r="770" ht="12.75" customHeight="1">
      <c r="A770" s="1" t="s">
        <v>72</v>
      </c>
      <c r="B770" s="1" t="s">
        <v>6476</v>
      </c>
      <c r="C770" s="1" t="s">
        <v>74</v>
      </c>
      <c r="D770" s="1" t="s">
        <v>74</v>
      </c>
      <c r="E770" s="1" t="s">
        <v>74</v>
      </c>
      <c r="F770" s="1" t="s">
        <v>6477</v>
      </c>
      <c r="G770" s="1" t="s">
        <v>74</v>
      </c>
      <c r="H770" s="1" t="s">
        <v>74</v>
      </c>
      <c r="I770" s="1" t="s">
        <v>6478</v>
      </c>
      <c r="J770" s="1" t="s">
        <v>3482</v>
      </c>
      <c r="K770" s="1" t="s">
        <v>74</v>
      </c>
      <c r="L770" s="1" t="s">
        <v>74</v>
      </c>
      <c r="M770" s="1" t="s">
        <v>74</v>
      </c>
      <c r="N770" s="1" t="s">
        <v>74</v>
      </c>
      <c r="O770" s="1" t="s">
        <v>74</v>
      </c>
      <c r="P770" s="1" t="s">
        <v>74</v>
      </c>
      <c r="Q770" s="1" t="s">
        <v>74</v>
      </c>
      <c r="R770" s="1" t="s">
        <v>74</v>
      </c>
      <c r="S770" s="1" t="s">
        <v>74</v>
      </c>
      <c r="T770" s="1" t="s">
        <v>74</v>
      </c>
      <c r="U770" s="1" t="s">
        <v>74</v>
      </c>
      <c r="V770" s="1" t="s">
        <v>6479</v>
      </c>
      <c r="W770" s="1" t="s">
        <v>74</v>
      </c>
      <c r="X770" s="1" t="s">
        <v>74</v>
      </c>
      <c r="Y770" s="1" t="s">
        <v>74</v>
      </c>
      <c r="Z770" s="1" t="s">
        <v>74</v>
      </c>
      <c r="AA770" s="1" t="s">
        <v>74</v>
      </c>
      <c r="AB770" s="1" t="s">
        <v>74</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3484</v>
      </c>
      <c r="AP770" s="1" t="s">
        <v>3485</v>
      </c>
      <c r="AQ770" s="1" t="s">
        <v>74</v>
      </c>
      <c r="AR770" s="1" t="s">
        <v>74</v>
      </c>
      <c r="AS770" s="1" t="s">
        <v>74</v>
      </c>
      <c r="AT770" s="1" t="s">
        <v>148</v>
      </c>
      <c r="AU770" s="1">
        <v>2021.0</v>
      </c>
      <c r="AV770" s="1">
        <v>11.0</v>
      </c>
      <c r="AW770" s="1">
        <v>2.0</v>
      </c>
      <c r="AX770" s="1" t="s">
        <v>74</v>
      </c>
      <c r="AY770" s="1" t="s">
        <v>74</v>
      </c>
      <c r="AZ770" s="1" t="s">
        <v>74</v>
      </c>
      <c r="BA770" s="1" t="s">
        <v>74</v>
      </c>
      <c r="BB770" s="1">
        <v>265.0</v>
      </c>
      <c r="BC770" s="1">
        <v>304.0</v>
      </c>
      <c r="BD770" s="1" t="s">
        <v>74</v>
      </c>
      <c r="BE770" s="1" t="s">
        <v>74</v>
      </c>
      <c r="BF770" s="1" t="s">
        <v>74</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6480</v>
      </c>
      <c r="BT770" s="1" t="str">
        <f>HYPERLINK("https%3A%2F%2Fwww.webofscience.com%2Fwos%2Fwoscc%2Ffull-record%2FWOS:000744274700001","View Full Record in Web of Science")</f>
        <v>View Full Record in Web of Science</v>
      </c>
    </row>
    <row r="771" ht="12.75" customHeight="1">
      <c r="A771" s="1" t="s">
        <v>72</v>
      </c>
      <c r="B771" s="1" t="s">
        <v>6481</v>
      </c>
      <c r="C771" s="1" t="s">
        <v>74</v>
      </c>
      <c r="D771" s="1" t="s">
        <v>74</v>
      </c>
      <c r="E771" s="1" t="s">
        <v>74</v>
      </c>
      <c r="F771" s="1" t="s">
        <v>6482</v>
      </c>
      <c r="G771" s="1" t="s">
        <v>74</v>
      </c>
      <c r="H771" s="1" t="s">
        <v>74</v>
      </c>
      <c r="I771" s="1" t="s">
        <v>6483</v>
      </c>
      <c r="J771" s="1" t="s">
        <v>166</v>
      </c>
      <c r="K771" s="1" t="s">
        <v>74</v>
      </c>
      <c r="L771" s="1" t="s">
        <v>74</v>
      </c>
      <c r="M771" s="1" t="s">
        <v>74</v>
      </c>
      <c r="N771" s="1" t="s">
        <v>74</v>
      </c>
      <c r="O771" s="1" t="s">
        <v>74</v>
      </c>
      <c r="P771" s="1" t="s">
        <v>74</v>
      </c>
      <c r="Q771" s="1" t="s">
        <v>74</v>
      </c>
      <c r="R771" s="1" t="s">
        <v>74</v>
      </c>
      <c r="S771" s="1" t="s">
        <v>74</v>
      </c>
      <c r="T771" s="1" t="s">
        <v>74</v>
      </c>
      <c r="U771" s="1" t="s">
        <v>74</v>
      </c>
      <c r="V771" s="1" t="s">
        <v>6484</v>
      </c>
      <c r="W771" s="1" t="s">
        <v>74</v>
      </c>
      <c r="X771" s="1" t="s">
        <v>74</v>
      </c>
      <c r="Y771" s="1" t="s">
        <v>74</v>
      </c>
      <c r="Z771" s="1" t="s">
        <v>74</v>
      </c>
      <c r="AA771" s="1" t="s">
        <v>74</v>
      </c>
      <c r="AB771" s="1" t="s">
        <v>74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169</v>
      </c>
      <c r="AP771" s="1" t="s">
        <v>170</v>
      </c>
      <c r="AQ771" s="1" t="s">
        <v>74</v>
      </c>
      <c r="AR771" s="1" t="s">
        <v>74</v>
      </c>
      <c r="AS771" s="1" t="s">
        <v>74</v>
      </c>
      <c r="AT771" s="1" t="s">
        <v>171</v>
      </c>
      <c r="AU771" s="1">
        <v>2021.0</v>
      </c>
      <c r="AV771" s="1" t="s">
        <v>74</v>
      </c>
      <c r="AW771" s="1">
        <v>34.0</v>
      </c>
      <c r="AX771" s="1" t="s">
        <v>74</v>
      </c>
      <c r="AY771" s="1" t="s">
        <v>74</v>
      </c>
      <c r="AZ771" s="1" t="s">
        <v>74</v>
      </c>
      <c r="BA771" s="1" t="s">
        <v>74</v>
      </c>
      <c r="BB771" s="1">
        <v>1.0</v>
      </c>
      <c r="BC771" s="1">
        <v>14.0</v>
      </c>
      <c r="BD771" s="1" t="s">
        <v>74</v>
      </c>
      <c r="BE771" s="1" t="s">
        <v>6485</v>
      </c>
      <c r="BF771" s="2" t="str">
        <f>HYPERLINK("http://dx.doi.org/10.35588/estudav.v0i34.4824","http://dx.doi.org/10.35588/estudav.v0i34.4824")</f>
        <v>http://dx.doi.org/10.35588/estudav.v0i34.4824</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6486</v>
      </c>
      <c r="BT771" s="1" t="str">
        <f>HYPERLINK("https%3A%2F%2Fwww.webofscience.com%2Fwos%2Fwoscc%2Ffull-record%2FWOS:000668091500001","View Full Record in Web of Science")</f>
        <v>View Full Record in Web of Science</v>
      </c>
    </row>
    <row r="772" ht="12.75" customHeight="1">
      <c r="A772" s="1" t="s">
        <v>72</v>
      </c>
      <c r="B772" s="1" t="s">
        <v>6487</v>
      </c>
      <c r="C772" s="1" t="s">
        <v>74</v>
      </c>
      <c r="D772" s="1" t="s">
        <v>74</v>
      </c>
      <c r="E772" s="1" t="s">
        <v>74</v>
      </c>
      <c r="F772" s="1" t="s">
        <v>6488</v>
      </c>
      <c r="G772" s="1" t="s">
        <v>74</v>
      </c>
      <c r="H772" s="1" t="s">
        <v>74</v>
      </c>
      <c r="I772" s="1" t="s">
        <v>6489</v>
      </c>
      <c r="J772" s="1" t="s">
        <v>6490</v>
      </c>
      <c r="K772" s="1" t="s">
        <v>74</v>
      </c>
      <c r="L772" s="1" t="s">
        <v>74</v>
      </c>
      <c r="M772" s="1" t="s">
        <v>74</v>
      </c>
      <c r="N772" s="1" t="s">
        <v>74</v>
      </c>
      <c r="O772" s="1" t="s">
        <v>74</v>
      </c>
      <c r="P772" s="1" t="s">
        <v>74</v>
      </c>
      <c r="Q772" s="1" t="s">
        <v>74</v>
      </c>
      <c r="R772" s="1" t="s">
        <v>74</v>
      </c>
      <c r="S772" s="1" t="s">
        <v>74</v>
      </c>
      <c r="T772" s="1" t="s">
        <v>74</v>
      </c>
      <c r="U772" s="1" t="s">
        <v>74</v>
      </c>
      <c r="V772" s="1" t="s">
        <v>6491</v>
      </c>
      <c r="W772" s="1" t="s">
        <v>74</v>
      </c>
      <c r="X772" s="1" t="s">
        <v>74</v>
      </c>
      <c r="Y772" s="1" t="s">
        <v>74</v>
      </c>
      <c r="Z772" s="1" t="s">
        <v>74</v>
      </c>
      <c r="AA772" s="1" t="s">
        <v>6492</v>
      </c>
      <c r="AB772" s="1" t="s">
        <v>6493</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6494</v>
      </c>
      <c r="AP772" s="1" t="s">
        <v>6495</v>
      </c>
      <c r="AQ772" s="1" t="s">
        <v>74</v>
      </c>
      <c r="AR772" s="1" t="s">
        <v>74</v>
      </c>
      <c r="AS772" s="1" t="s">
        <v>74</v>
      </c>
      <c r="AT772" s="1" t="s">
        <v>533</v>
      </c>
      <c r="AU772" s="1">
        <v>2021.0</v>
      </c>
      <c r="AV772" s="1">
        <v>42.0</v>
      </c>
      <c r="AW772" s="1">
        <v>5.0</v>
      </c>
      <c r="AX772" s="1" t="s">
        <v>74</v>
      </c>
      <c r="AY772" s="1" t="s">
        <v>74</v>
      </c>
      <c r="AZ772" s="1" t="s">
        <v>74</v>
      </c>
      <c r="BA772" s="1" t="s">
        <v>74</v>
      </c>
      <c r="BB772" s="1" t="s">
        <v>74</v>
      </c>
      <c r="BC772" s="1" t="s">
        <v>74</v>
      </c>
      <c r="BD772" s="1">
        <v>55002.0</v>
      </c>
      <c r="BE772" s="1" t="s">
        <v>6496</v>
      </c>
      <c r="BF772" s="2" t="str">
        <f>HYPERLINK("http://dx.doi.org/10.1088/1361-6579/abf885","http://dx.doi.org/10.1088/1361-6579/abf885")</f>
        <v>http://dx.doi.org/10.1088/1361-6579/abf885</v>
      </c>
      <c r="BG772" s="1" t="s">
        <v>74</v>
      </c>
      <c r="BH772" s="1" t="s">
        <v>74</v>
      </c>
      <c r="BI772" s="1" t="s">
        <v>74</v>
      </c>
      <c r="BJ772" s="1" t="s">
        <v>74</v>
      </c>
      <c r="BK772" s="1" t="s">
        <v>74</v>
      </c>
      <c r="BL772" s="1" t="s">
        <v>74</v>
      </c>
      <c r="BM772" s="1" t="s">
        <v>74</v>
      </c>
      <c r="BN772" s="1">
        <v>3.3857935E7</v>
      </c>
      <c r="BO772" s="1" t="s">
        <v>74</v>
      </c>
      <c r="BP772" s="1" t="s">
        <v>74</v>
      </c>
      <c r="BQ772" s="1" t="s">
        <v>74</v>
      </c>
      <c r="BR772" s="1" t="s">
        <v>74</v>
      </c>
      <c r="BS772" s="1" t="s">
        <v>6497</v>
      </c>
      <c r="BT772" s="1" t="str">
        <f>HYPERLINK("https%3A%2F%2Fwww.webofscience.com%2Fwos%2Fwoscc%2Ffull-record%2FWOS:000663112500001","View Full Record in Web of Science")</f>
        <v>View Full Record in Web of Science</v>
      </c>
    </row>
    <row r="773" ht="12.75" customHeight="1">
      <c r="A773" s="1" t="s">
        <v>72</v>
      </c>
      <c r="B773" s="1" t="s">
        <v>6498</v>
      </c>
      <c r="C773" s="1" t="s">
        <v>74</v>
      </c>
      <c r="D773" s="1" t="s">
        <v>74</v>
      </c>
      <c r="E773" s="1" t="s">
        <v>74</v>
      </c>
      <c r="F773" s="1" t="s">
        <v>6499</v>
      </c>
      <c r="G773" s="1" t="s">
        <v>74</v>
      </c>
      <c r="H773" s="1" t="s">
        <v>74</v>
      </c>
      <c r="I773" s="1" t="s">
        <v>6500</v>
      </c>
      <c r="J773" s="1" t="s">
        <v>1535</v>
      </c>
      <c r="K773" s="1" t="s">
        <v>74</v>
      </c>
      <c r="L773" s="1" t="s">
        <v>74</v>
      </c>
      <c r="M773" s="1" t="s">
        <v>74</v>
      </c>
      <c r="N773" s="1" t="s">
        <v>74</v>
      </c>
      <c r="O773" s="1" t="s">
        <v>74</v>
      </c>
      <c r="P773" s="1" t="s">
        <v>74</v>
      </c>
      <c r="Q773" s="1" t="s">
        <v>74</v>
      </c>
      <c r="R773" s="1" t="s">
        <v>74</v>
      </c>
      <c r="S773" s="1" t="s">
        <v>74</v>
      </c>
      <c r="T773" s="1" t="s">
        <v>74</v>
      </c>
      <c r="U773" s="1" t="s">
        <v>74</v>
      </c>
      <c r="V773" s="1" t="s">
        <v>6501</v>
      </c>
      <c r="W773" s="1" t="s">
        <v>74</v>
      </c>
      <c r="X773" s="1" t="s">
        <v>74</v>
      </c>
      <c r="Y773" s="1" t="s">
        <v>74</v>
      </c>
      <c r="Z773" s="1" t="s">
        <v>74</v>
      </c>
      <c r="AA773" s="1" t="s">
        <v>970</v>
      </c>
      <c r="AB773" s="1" t="s">
        <v>6502</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74</v>
      </c>
      <c r="AP773" s="1" t="s">
        <v>1538</v>
      </c>
      <c r="AQ773" s="1" t="s">
        <v>74</v>
      </c>
      <c r="AR773" s="1" t="s">
        <v>74</v>
      </c>
      <c r="AS773" s="1" t="s">
        <v>74</v>
      </c>
      <c r="AT773" s="1" t="s">
        <v>818</v>
      </c>
      <c r="AU773" s="1">
        <v>2021.0</v>
      </c>
      <c r="AV773" s="1">
        <v>26.0</v>
      </c>
      <c r="AW773" s="1">
        <v>3.0</v>
      </c>
      <c r="AX773" s="1" t="s">
        <v>74</v>
      </c>
      <c r="AY773" s="1" t="s">
        <v>74</v>
      </c>
      <c r="AZ773" s="1" t="s">
        <v>74</v>
      </c>
      <c r="BA773" s="1" t="s">
        <v>74</v>
      </c>
      <c r="BB773" s="1" t="s">
        <v>74</v>
      </c>
      <c r="BC773" s="1" t="s">
        <v>74</v>
      </c>
      <c r="BD773" s="1">
        <v>752.0</v>
      </c>
      <c r="BE773" s="1" t="s">
        <v>6503</v>
      </c>
      <c r="BF773" s="2" t="str">
        <f>HYPERLINK("http://dx.doi.org/10.3390/molecules26030752","http://dx.doi.org/10.3390/molecules26030752")</f>
        <v>http://dx.doi.org/10.3390/molecules26030752</v>
      </c>
      <c r="BG773" s="1" t="s">
        <v>74</v>
      </c>
      <c r="BH773" s="1" t="s">
        <v>74</v>
      </c>
      <c r="BI773" s="1" t="s">
        <v>74</v>
      </c>
      <c r="BJ773" s="1" t="s">
        <v>74</v>
      </c>
      <c r="BK773" s="1" t="s">
        <v>74</v>
      </c>
      <c r="BL773" s="1" t="s">
        <v>74</v>
      </c>
      <c r="BM773" s="1" t="s">
        <v>74</v>
      </c>
      <c r="BN773" s="1">
        <v>3.353556E7</v>
      </c>
      <c r="BO773" s="1" t="s">
        <v>74</v>
      </c>
      <c r="BP773" s="1" t="s">
        <v>74</v>
      </c>
      <c r="BQ773" s="1" t="s">
        <v>74</v>
      </c>
      <c r="BR773" s="1" t="s">
        <v>74</v>
      </c>
      <c r="BS773" s="1" t="s">
        <v>6504</v>
      </c>
      <c r="BT773" s="1" t="str">
        <f>HYPERLINK("https%3A%2F%2Fwww.webofscience.com%2Fwos%2Fwoscc%2Ffull-record%2FWOS:000615438200001","View Full Record in Web of Science")</f>
        <v>View Full Record in Web of Science</v>
      </c>
    </row>
    <row r="774" ht="12.75" customHeight="1">
      <c r="A774" s="1" t="s">
        <v>72</v>
      </c>
      <c r="B774" s="1" t="s">
        <v>6505</v>
      </c>
      <c r="C774" s="1" t="s">
        <v>74</v>
      </c>
      <c r="D774" s="1" t="s">
        <v>74</v>
      </c>
      <c r="E774" s="1" t="s">
        <v>74</v>
      </c>
      <c r="F774" s="1" t="s">
        <v>6506</v>
      </c>
      <c r="G774" s="1" t="s">
        <v>74</v>
      </c>
      <c r="H774" s="1" t="s">
        <v>74</v>
      </c>
      <c r="I774" s="1" t="s">
        <v>6507</v>
      </c>
      <c r="J774" s="1" t="s">
        <v>6508</v>
      </c>
      <c r="K774" s="1" t="s">
        <v>74</v>
      </c>
      <c r="L774" s="1" t="s">
        <v>74</v>
      </c>
      <c r="M774" s="1" t="s">
        <v>74</v>
      </c>
      <c r="N774" s="1" t="s">
        <v>74</v>
      </c>
      <c r="O774" s="1" t="s">
        <v>74</v>
      </c>
      <c r="P774" s="1" t="s">
        <v>74</v>
      </c>
      <c r="Q774" s="1" t="s">
        <v>74</v>
      </c>
      <c r="R774" s="1" t="s">
        <v>74</v>
      </c>
      <c r="S774" s="1" t="s">
        <v>74</v>
      </c>
      <c r="T774" s="1" t="s">
        <v>74</v>
      </c>
      <c r="U774" s="1" t="s">
        <v>74</v>
      </c>
      <c r="V774" s="1" t="s">
        <v>6509</v>
      </c>
      <c r="W774" s="1" t="s">
        <v>74</v>
      </c>
      <c r="X774" s="1" t="s">
        <v>74</v>
      </c>
      <c r="Y774" s="1" t="s">
        <v>74</v>
      </c>
      <c r="Z774" s="1" t="s">
        <v>74</v>
      </c>
      <c r="AA774" s="1" t="s">
        <v>74</v>
      </c>
      <c r="AB774" s="1" t="s">
        <v>6510</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6511</v>
      </c>
      <c r="AP774" s="1" t="s">
        <v>6512</v>
      </c>
      <c r="AQ774" s="1" t="s">
        <v>74</v>
      </c>
      <c r="AR774" s="1" t="s">
        <v>74</v>
      </c>
      <c r="AS774" s="1" t="s">
        <v>74</v>
      </c>
      <c r="AT774" s="1" t="s">
        <v>6513</v>
      </c>
      <c r="AU774" s="1">
        <v>2021.0</v>
      </c>
      <c r="AV774" s="1">
        <v>2021.0</v>
      </c>
      <c r="AW774" s="1" t="s">
        <v>74</v>
      </c>
      <c r="AX774" s="1" t="s">
        <v>74</v>
      </c>
      <c r="AY774" s="1" t="s">
        <v>74</v>
      </c>
      <c r="AZ774" s="1" t="s">
        <v>74</v>
      </c>
      <c r="BA774" s="1" t="s">
        <v>74</v>
      </c>
      <c r="BB774" s="1" t="s">
        <v>74</v>
      </c>
      <c r="BC774" s="1" t="s">
        <v>74</v>
      </c>
      <c r="BD774" s="1">
        <v>3491831.0</v>
      </c>
      <c r="BE774" s="1" t="s">
        <v>6514</v>
      </c>
      <c r="BF774" s="2" t="str">
        <f>HYPERLINK("http://dx.doi.org/10.1155/2021/3491831","http://dx.doi.org/10.1155/2021/3491831")</f>
        <v>http://dx.doi.org/10.1155/2021/3491831</v>
      </c>
      <c r="BG774" s="1" t="s">
        <v>74</v>
      </c>
      <c r="BH774" s="1" t="s">
        <v>74</v>
      </c>
      <c r="BI774" s="1" t="s">
        <v>74</v>
      </c>
      <c r="BJ774" s="1" t="s">
        <v>74</v>
      </c>
      <c r="BK774" s="1" t="s">
        <v>74</v>
      </c>
      <c r="BL774" s="1" t="s">
        <v>74</v>
      </c>
      <c r="BM774" s="1" t="s">
        <v>74</v>
      </c>
      <c r="BN774" s="1">
        <v>3.3575326E7</v>
      </c>
      <c r="BO774" s="1" t="s">
        <v>74</v>
      </c>
      <c r="BP774" s="1" t="s">
        <v>74</v>
      </c>
      <c r="BQ774" s="1" t="s">
        <v>74</v>
      </c>
      <c r="BR774" s="1" t="s">
        <v>74</v>
      </c>
      <c r="BS774" s="1" t="s">
        <v>6515</v>
      </c>
      <c r="BT774" s="1" t="str">
        <f>HYPERLINK("https%3A%2F%2Fwww.webofscience.com%2Fwos%2Fwoscc%2Ffull-record%2FWOS:000617613100008","View Full Record in Web of Science")</f>
        <v>View Full Record in Web of Science</v>
      </c>
    </row>
    <row r="775" ht="12.75" customHeight="1">
      <c r="A775" s="1" t="s">
        <v>72</v>
      </c>
      <c r="B775" s="1" t="s">
        <v>6516</v>
      </c>
      <c r="C775" s="1" t="s">
        <v>74</v>
      </c>
      <c r="D775" s="1" t="s">
        <v>74</v>
      </c>
      <c r="E775" s="1" t="s">
        <v>74</v>
      </c>
      <c r="F775" s="1" t="s">
        <v>6517</v>
      </c>
      <c r="G775" s="1" t="s">
        <v>74</v>
      </c>
      <c r="H775" s="1" t="s">
        <v>74</v>
      </c>
      <c r="I775" s="1" t="s">
        <v>6518</v>
      </c>
      <c r="J775" s="1" t="s">
        <v>6519</v>
      </c>
      <c r="K775" s="1" t="s">
        <v>74</v>
      </c>
      <c r="L775" s="1" t="s">
        <v>74</v>
      </c>
      <c r="M775" s="1" t="s">
        <v>74</v>
      </c>
      <c r="N775" s="1" t="s">
        <v>74</v>
      </c>
      <c r="O775" s="1" t="s">
        <v>74</v>
      </c>
      <c r="P775" s="1" t="s">
        <v>74</v>
      </c>
      <c r="Q775" s="1" t="s">
        <v>74</v>
      </c>
      <c r="R775" s="1" t="s">
        <v>74</v>
      </c>
      <c r="S775" s="1" t="s">
        <v>74</v>
      </c>
      <c r="T775" s="1" t="s">
        <v>74</v>
      </c>
      <c r="U775" s="1" t="s">
        <v>74</v>
      </c>
      <c r="V775" s="1" t="s">
        <v>6520</v>
      </c>
      <c r="W775" s="1" t="s">
        <v>74</v>
      </c>
      <c r="X775" s="1" t="s">
        <v>74</v>
      </c>
      <c r="Y775" s="1" t="s">
        <v>74</v>
      </c>
      <c r="Z775" s="1" t="s">
        <v>74</v>
      </c>
      <c r="AA775" s="1" t="s">
        <v>6521</v>
      </c>
      <c r="AB775" s="1" t="s">
        <v>74</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6522</v>
      </c>
      <c r="AP775" s="1" t="s">
        <v>6523</v>
      </c>
      <c r="AQ775" s="1" t="s">
        <v>74</v>
      </c>
      <c r="AR775" s="1" t="s">
        <v>74</v>
      </c>
      <c r="AS775" s="1" t="s">
        <v>74</v>
      </c>
      <c r="AT775" s="1" t="s">
        <v>74</v>
      </c>
      <c r="AU775" s="1">
        <v>2021.0</v>
      </c>
      <c r="AV775" s="1" t="s">
        <v>74</v>
      </c>
      <c r="AW775" s="1">
        <v>83.0</v>
      </c>
      <c r="AX775" s="1" t="s">
        <v>74</v>
      </c>
      <c r="AY775" s="1" t="s">
        <v>74</v>
      </c>
      <c r="AZ775" s="1" t="s">
        <v>74</v>
      </c>
      <c r="BA775" s="1" t="s">
        <v>74</v>
      </c>
      <c r="BB775" s="1">
        <v>123.0</v>
      </c>
      <c r="BC775" s="1">
        <v>146.0</v>
      </c>
      <c r="BD775" s="1" t="s">
        <v>74</v>
      </c>
      <c r="BE775" s="1" t="s">
        <v>6524</v>
      </c>
      <c r="BF775" s="2" t="str">
        <f>HYPERLINK("http://dx.doi.org/10.1344/BA2021.83.1018","http://dx.doi.org/10.1344/BA2021.83.1018")</f>
        <v>http://dx.doi.org/10.1344/BA2021.83.1018</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6525</v>
      </c>
      <c r="BT775" s="1" t="str">
        <f>HYPERLINK("https%3A%2F%2Fwww.webofscience.com%2Fwos%2Fwoscc%2Ffull-record%2FWOS:000739635400007","View Full Record in Web of Science")</f>
        <v>View Full Record in Web of Science</v>
      </c>
    </row>
    <row r="776" ht="12.75" customHeight="1">
      <c r="A776" s="1" t="s">
        <v>105</v>
      </c>
      <c r="B776" s="1" t="s">
        <v>106</v>
      </c>
      <c r="C776" s="1" t="s">
        <v>106</v>
      </c>
      <c r="D776" s="1" t="s">
        <v>74</v>
      </c>
      <c r="E776" s="1" t="s">
        <v>74</v>
      </c>
      <c r="F776" s="1" t="s">
        <v>107</v>
      </c>
      <c r="G776" s="1" t="s">
        <v>106</v>
      </c>
      <c r="H776" s="1" t="s">
        <v>74</v>
      </c>
      <c r="I776" s="1" t="s">
        <v>6526</v>
      </c>
      <c r="J776" s="1" t="s">
        <v>109</v>
      </c>
      <c r="K776" s="1" t="s">
        <v>110</v>
      </c>
      <c r="L776" s="1" t="s">
        <v>74</v>
      </c>
      <c r="M776" s="1" t="s">
        <v>74</v>
      </c>
      <c r="N776" s="1" t="s">
        <v>74</v>
      </c>
      <c r="O776" s="1" t="s">
        <v>74</v>
      </c>
      <c r="P776" s="1" t="s">
        <v>74</v>
      </c>
      <c r="Q776" s="1" t="s">
        <v>74</v>
      </c>
      <c r="R776" s="1" t="s">
        <v>74</v>
      </c>
      <c r="S776" s="1" t="s">
        <v>74</v>
      </c>
      <c r="T776" s="1" t="s">
        <v>74</v>
      </c>
      <c r="U776" s="1" t="s">
        <v>74</v>
      </c>
      <c r="V776" s="1" t="s">
        <v>74</v>
      </c>
      <c r="W776" s="1" t="s">
        <v>74</v>
      </c>
      <c r="X776" s="1" t="s">
        <v>74</v>
      </c>
      <c r="Y776" s="1" t="s">
        <v>74</v>
      </c>
      <c r="Z776" s="1" t="s">
        <v>74</v>
      </c>
      <c r="AA776" s="1" t="s">
        <v>74</v>
      </c>
      <c r="AB776" s="1" t="s">
        <v>74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74</v>
      </c>
      <c r="AP776" s="1" t="s">
        <v>74</v>
      </c>
      <c r="AQ776" s="1" t="s">
        <v>111</v>
      </c>
      <c r="AR776" s="1" t="s">
        <v>74</v>
      </c>
      <c r="AS776" s="1" t="s">
        <v>74</v>
      </c>
      <c r="AT776" s="1" t="s">
        <v>74</v>
      </c>
      <c r="AU776" s="1">
        <v>2021.0</v>
      </c>
      <c r="AV776" s="1" t="s">
        <v>74</v>
      </c>
      <c r="AW776" s="1" t="s">
        <v>74</v>
      </c>
      <c r="AX776" s="1" t="s">
        <v>74</v>
      </c>
      <c r="AY776" s="1" t="s">
        <v>74</v>
      </c>
      <c r="AZ776" s="1" t="s">
        <v>74</v>
      </c>
      <c r="BA776" s="1" t="s">
        <v>74</v>
      </c>
      <c r="BB776" s="1">
        <v>222.0</v>
      </c>
      <c r="BC776" s="1">
        <v>266.0</v>
      </c>
      <c r="BD776" s="1" t="s">
        <v>74</v>
      </c>
      <c r="BE776" s="1" t="s">
        <v>74</v>
      </c>
      <c r="BF776" s="1" t="s">
        <v>74</v>
      </c>
      <c r="BG776" s="1" t="s">
        <v>112</v>
      </c>
      <c r="BH776" s="1" t="s">
        <v>74</v>
      </c>
      <c r="BI776" s="1" t="s">
        <v>74</v>
      </c>
      <c r="BJ776" s="1" t="s">
        <v>74</v>
      </c>
      <c r="BK776" s="1" t="s">
        <v>74</v>
      </c>
      <c r="BL776" s="1" t="s">
        <v>74</v>
      </c>
      <c r="BM776" s="1" t="s">
        <v>74</v>
      </c>
      <c r="BN776" s="1" t="s">
        <v>74</v>
      </c>
      <c r="BO776" s="1" t="s">
        <v>74</v>
      </c>
      <c r="BP776" s="1" t="s">
        <v>74</v>
      </c>
      <c r="BQ776" s="1" t="s">
        <v>74</v>
      </c>
      <c r="BR776" s="1" t="s">
        <v>74</v>
      </c>
      <c r="BS776" s="1" t="s">
        <v>6527</v>
      </c>
      <c r="BT776" s="1" t="str">
        <f>HYPERLINK("https%3A%2F%2Fwww.webofscience.com%2Fwos%2Fwoscc%2Ffull-record%2FWOS:000807304300007","View Full Record in Web of Science")</f>
        <v>View Full Record in Web of Science</v>
      </c>
    </row>
    <row r="777" ht="12.75" customHeight="1">
      <c r="A777" s="1" t="s">
        <v>105</v>
      </c>
      <c r="B777" s="1" t="s">
        <v>6528</v>
      </c>
      <c r="C777" s="1" t="s">
        <v>74</v>
      </c>
      <c r="D777" s="1" t="s">
        <v>1969</v>
      </c>
      <c r="E777" s="1" t="s">
        <v>74</v>
      </c>
      <c r="F777" s="1" t="s">
        <v>6529</v>
      </c>
      <c r="G777" s="1" t="s">
        <v>74</v>
      </c>
      <c r="H777" s="1" t="s">
        <v>74</v>
      </c>
      <c r="I777" s="1" t="s">
        <v>6530</v>
      </c>
      <c r="J777" s="1" t="s">
        <v>1972</v>
      </c>
      <c r="K777" s="1" t="s">
        <v>74</v>
      </c>
      <c r="L777" s="1" t="s">
        <v>74</v>
      </c>
      <c r="M777" s="1" t="s">
        <v>74</v>
      </c>
      <c r="N777" s="1" t="s">
        <v>74</v>
      </c>
      <c r="O777" s="1" t="s">
        <v>74</v>
      </c>
      <c r="P777" s="1" t="s">
        <v>74</v>
      </c>
      <c r="Q777" s="1" t="s">
        <v>74</v>
      </c>
      <c r="R777" s="1" t="s">
        <v>74</v>
      </c>
      <c r="S777" s="1" t="s">
        <v>74</v>
      </c>
      <c r="T777" s="1" t="s">
        <v>74</v>
      </c>
      <c r="U777" s="1" t="s">
        <v>74</v>
      </c>
      <c r="V777" s="1" t="s">
        <v>74</v>
      </c>
      <c r="W777" s="1" t="s">
        <v>74</v>
      </c>
      <c r="X777" s="1" t="s">
        <v>74</v>
      </c>
      <c r="Y777" s="1" t="s">
        <v>74</v>
      </c>
      <c r="Z777" s="1" t="s">
        <v>74</v>
      </c>
      <c r="AA777" s="1" t="s">
        <v>74</v>
      </c>
      <c r="AB777" s="1" t="s">
        <v>74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74</v>
      </c>
      <c r="AP777" s="1" t="s">
        <v>74</v>
      </c>
      <c r="AQ777" s="1" t="s">
        <v>1974</v>
      </c>
      <c r="AR777" s="1" t="s">
        <v>74</v>
      </c>
      <c r="AS777" s="1" t="s">
        <v>74</v>
      </c>
      <c r="AT777" s="1" t="s">
        <v>74</v>
      </c>
      <c r="AU777" s="1">
        <v>2021.0</v>
      </c>
      <c r="AV777" s="1" t="s">
        <v>74</v>
      </c>
      <c r="AW777" s="1" t="s">
        <v>74</v>
      </c>
      <c r="AX777" s="1" t="s">
        <v>74</v>
      </c>
      <c r="AY777" s="1" t="s">
        <v>74</v>
      </c>
      <c r="AZ777" s="1" t="s">
        <v>74</v>
      </c>
      <c r="BA777" s="1" t="s">
        <v>74</v>
      </c>
      <c r="BB777" s="1">
        <v>211.0</v>
      </c>
      <c r="BC777" s="1">
        <v>233.0</v>
      </c>
      <c r="BD777" s="1" t="s">
        <v>74</v>
      </c>
      <c r="BE777" s="1" t="s">
        <v>74</v>
      </c>
      <c r="BF777" s="1" t="s">
        <v>74</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6531</v>
      </c>
      <c r="BT777" s="1" t="str">
        <f>HYPERLINK("https%3A%2F%2Fwww.webofscience.com%2Fwos%2Fwoscc%2Ffull-record%2FWOS:000651158400011","View Full Record in Web of Science")</f>
        <v>View Full Record in Web of Science</v>
      </c>
    </row>
    <row r="778" ht="12.75" customHeight="1">
      <c r="A778" s="1" t="s">
        <v>72</v>
      </c>
      <c r="B778" s="1" t="s">
        <v>6532</v>
      </c>
      <c r="C778" s="1" t="s">
        <v>74</v>
      </c>
      <c r="D778" s="1" t="s">
        <v>74</v>
      </c>
      <c r="E778" s="1" t="s">
        <v>74</v>
      </c>
      <c r="F778" s="1" t="s">
        <v>6533</v>
      </c>
      <c r="G778" s="1" t="s">
        <v>74</v>
      </c>
      <c r="H778" s="1" t="s">
        <v>74</v>
      </c>
      <c r="I778" s="1" t="s">
        <v>6534</v>
      </c>
      <c r="J778" s="1" t="s">
        <v>6535</v>
      </c>
      <c r="K778" s="1" t="s">
        <v>74</v>
      </c>
      <c r="L778" s="1" t="s">
        <v>74</v>
      </c>
      <c r="M778" s="1" t="s">
        <v>74</v>
      </c>
      <c r="N778" s="1" t="s">
        <v>74</v>
      </c>
      <c r="O778" s="1" t="s">
        <v>74</v>
      </c>
      <c r="P778" s="1" t="s">
        <v>74</v>
      </c>
      <c r="Q778" s="1" t="s">
        <v>74</v>
      </c>
      <c r="R778" s="1" t="s">
        <v>74</v>
      </c>
      <c r="S778" s="1" t="s">
        <v>74</v>
      </c>
      <c r="T778" s="1" t="s">
        <v>74</v>
      </c>
      <c r="U778" s="1" t="s">
        <v>74</v>
      </c>
      <c r="V778" s="1" t="s">
        <v>6536</v>
      </c>
      <c r="W778" s="1" t="s">
        <v>74</v>
      </c>
      <c r="X778" s="1" t="s">
        <v>74</v>
      </c>
      <c r="Y778" s="1" t="s">
        <v>74</v>
      </c>
      <c r="Z778" s="1" t="s">
        <v>74</v>
      </c>
      <c r="AA778" s="1" t="s">
        <v>6537</v>
      </c>
      <c r="AB778" s="1" t="s">
        <v>6538</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6539</v>
      </c>
      <c r="AP778" s="1" t="s">
        <v>6540</v>
      </c>
      <c r="AQ778" s="1" t="s">
        <v>74</v>
      </c>
      <c r="AR778" s="1" t="s">
        <v>74</v>
      </c>
      <c r="AS778" s="1" t="s">
        <v>74</v>
      </c>
      <c r="AT778" s="1" t="s">
        <v>171</v>
      </c>
      <c r="AU778" s="1">
        <v>2021.0</v>
      </c>
      <c r="AV778" s="1">
        <v>21.0</v>
      </c>
      <c r="AW778" s="1">
        <v>2.0</v>
      </c>
      <c r="AX778" s="1" t="s">
        <v>74</v>
      </c>
      <c r="AY778" s="1" t="s">
        <v>74</v>
      </c>
      <c r="AZ778" s="1" t="s">
        <v>74</v>
      </c>
      <c r="BA778" s="1" t="s">
        <v>74</v>
      </c>
      <c r="BB778" s="1">
        <v>1845.0</v>
      </c>
      <c r="BC778" s="1">
        <v>1864.0</v>
      </c>
      <c r="BD778" s="1" t="s">
        <v>74</v>
      </c>
      <c r="BE778" s="1" t="s">
        <v>6541</v>
      </c>
      <c r="BF778" s="2" t="str">
        <f>HYPERLINK("http://dx.doi.org/10.1007/s00028-020-00658-y","http://dx.doi.org/10.1007/s00028-020-00658-y")</f>
        <v>http://dx.doi.org/10.1007/s00028-020-00658-y</v>
      </c>
      <c r="BG778" s="1" t="s">
        <v>74</v>
      </c>
      <c r="BH778" s="1" t="s">
        <v>6542</v>
      </c>
      <c r="BI778" s="1" t="s">
        <v>74</v>
      </c>
      <c r="BJ778" s="1" t="s">
        <v>74</v>
      </c>
      <c r="BK778" s="1" t="s">
        <v>74</v>
      </c>
      <c r="BL778" s="1" t="s">
        <v>74</v>
      </c>
      <c r="BM778" s="1" t="s">
        <v>74</v>
      </c>
      <c r="BN778" s="1" t="s">
        <v>74</v>
      </c>
      <c r="BO778" s="1" t="s">
        <v>74</v>
      </c>
      <c r="BP778" s="1" t="s">
        <v>74</v>
      </c>
      <c r="BQ778" s="1" t="s">
        <v>74</v>
      </c>
      <c r="BR778" s="1" t="s">
        <v>74</v>
      </c>
      <c r="BS778" s="1" t="s">
        <v>6543</v>
      </c>
      <c r="BT778" s="1" t="str">
        <f>HYPERLINK("https%3A%2F%2Fwww.webofscience.com%2Fwos%2Fwoscc%2Ffull-record%2FWOS:000604065900002","View Full Record in Web of Science")</f>
        <v>View Full Record in Web of Science</v>
      </c>
    </row>
    <row r="779" ht="12.75" customHeight="1">
      <c r="A779" s="1" t="s">
        <v>105</v>
      </c>
      <c r="B779" s="1" t="s">
        <v>6544</v>
      </c>
      <c r="C779" s="1" t="s">
        <v>74</v>
      </c>
      <c r="D779" s="1" t="s">
        <v>1969</v>
      </c>
      <c r="E779" s="1" t="s">
        <v>74</v>
      </c>
      <c r="F779" s="1" t="s">
        <v>6545</v>
      </c>
      <c r="G779" s="1" t="s">
        <v>74</v>
      </c>
      <c r="H779" s="1" t="s">
        <v>74</v>
      </c>
      <c r="I779" s="1" t="s">
        <v>6546</v>
      </c>
      <c r="J779" s="1" t="s">
        <v>1972</v>
      </c>
      <c r="K779" s="1" t="s">
        <v>74</v>
      </c>
      <c r="L779" s="1" t="s">
        <v>74</v>
      </c>
      <c r="M779" s="1" t="s">
        <v>74</v>
      </c>
      <c r="N779" s="1" t="s">
        <v>74</v>
      </c>
      <c r="O779" s="1" t="s">
        <v>74</v>
      </c>
      <c r="P779" s="1" t="s">
        <v>74</v>
      </c>
      <c r="Q779" s="1" t="s">
        <v>74</v>
      </c>
      <c r="R779" s="1" t="s">
        <v>74</v>
      </c>
      <c r="S779" s="1" t="s">
        <v>74</v>
      </c>
      <c r="T779" s="1" t="s">
        <v>74</v>
      </c>
      <c r="U779" s="1" t="s">
        <v>74</v>
      </c>
      <c r="V779" s="1" t="s">
        <v>74</v>
      </c>
      <c r="W779" s="1" t="s">
        <v>74</v>
      </c>
      <c r="X779" s="1" t="s">
        <v>74</v>
      </c>
      <c r="Y779" s="1" t="s">
        <v>74</v>
      </c>
      <c r="Z779" s="1" t="s">
        <v>74</v>
      </c>
      <c r="AA779" s="1" t="s">
        <v>3864</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74</v>
      </c>
      <c r="AP779" s="1" t="s">
        <v>74</v>
      </c>
      <c r="AQ779" s="1" t="s">
        <v>1974</v>
      </c>
      <c r="AR779" s="1" t="s">
        <v>74</v>
      </c>
      <c r="AS779" s="1" t="s">
        <v>74</v>
      </c>
      <c r="AT779" s="1" t="s">
        <v>74</v>
      </c>
      <c r="AU779" s="1">
        <v>2021.0</v>
      </c>
      <c r="AV779" s="1" t="s">
        <v>74</v>
      </c>
      <c r="AW779" s="1" t="s">
        <v>74</v>
      </c>
      <c r="AX779" s="1" t="s">
        <v>74</v>
      </c>
      <c r="AY779" s="1" t="s">
        <v>74</v>
      </c>
      <c r="AZ779" s="1" t="s">
        <v>74</v>
      </c>
      <c r="BA779" s="1" t="s">
        <v>74</v>
      </c>
      <c r="BB779" s="1">
        <v>365.0</v>
      </c>
      <c r="BC779" s="1">
        <v>383.0</v>
      </c>
      <c r="BD779" s="1" t="s">
        <v>74</v>
      </c>
      <c r="BE779" s="1" t="s">
        <v>74</v>
      </c>
      <c r="BF779" s="1" t="s">
        <v>74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6547</v>
      </c>
      <c r="BT779" s="1" t="str">
        <f>HYPERLINK("https%3A%2F%2Fwww.webofscience.com%2Fwos%2Fwoscc%2Ffull-record%2FWOS:000651158400019","View Full Record in Web of Science")</f>
        <v>View Full Record in Web of Science</v>
      </c>
    </row>
    <row r="780" ht="12.75" customHeight="1">
      <c r="A780" s="1" t="s">
        <v>72</v>
      </c>
      <c r="B780" s="1" t="s">
        <v>6548</v>
      </c>
      <c r="C780" s="1" t="s">
        <v>74</v>
      </c>
      <c r="D780" s="1" t="s">
        <v>74</v>
      </c>
      <c r="E780" s="1" t="s">
        <v>74</v>
      </c>
      <c r="F780" s="1" t="s">
        <v>6549</v>
      </c>
      <c r="G780" s="1" t="s">
        <v>74</v>
      </c>
      <c r="H780" s="1" t="s">
        <v>74</v>
      </c>
      <c r="I780" s="1" t="s">
        <v>6550</v>
      </c>
      <c r="J780" s="1" t="s">
        <v>4257</v>
      </c>
      <c r="K780" s="1" t="s">
        <v>74</v>
      </c>
      <c r="L780" s="1" t="s">
        <v>74</v>
      </c>
      <c r="M780" s="1" t="s">
        <v>74</v>
      </c>
      <c r="N780" s="1" t="s">
        <v>74</v>
      </c>
      <c r="O780" s="1" t="s">
        <v>74</v>
      </c>
      <c r="P780" s="1" t="s">
        <v>74</v>
      </c>
      <c r="Q780" s="1" t="s">
        <v>74</v>
      </c>
      <c r="R780" s="1" t="s">
        <v>74</v>
      </c>
      <c r="S780" s="1" t="s">
        <v>74</v>
      </c>
      <c r="T780" s="1" t="s">
        <v>74</v>
      </c>
      <c r="U780" s="1" t="s">
        <v>74</v>
      </c>
      <c r="V780" s="1" t="s">
        <v>6551</v>
      </c>
      <c r="W780" s="1" t="s">
        <v>74</v>
      </c>
      <c r="X780" s="1" t="s">
        <v>74</v>
      </c>
      <c r="Y780" s="1" t="s">
        <v>74</v>
      </c>
      <c r="Z780" s="1" t="s">
        <v>74</v>
      </c>
      <c r="AA780" s="1" t="s">
        <v>284</v>
      </c>
      <c r="AB780" s="1" t="s">
        <v>6552</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74</v>
      </c>
      <c r="AP780" s="1" t="s">
        <v>4260</v>
      </c>
      <c r="AQ780" s="1" t="s">
        <v>74</v>
      </c>
      <c r="AR780" s="1" t="s">
        <v>74</v>
      </c>
      <c r="AS780" s="1" t="s">
        <v>74</v>
      </c>
      <c r="AT780" s="1" t="s">
        <v>276</v>
      </c>
      <c r="AU780" s="1">
        <v>2020.0</v>
      </c>
      <c r="AV780" s="1">
        <v>10.0</v>
      </c>
      <c r="AW780" s="1">
        <v>19.0</v>
      </c>
      <c r="AX780" s="1" t="s">
        <v>74</v>
      </c>
      <c r="AY780" s="1" t="s">
        <v>74</v>
      </c>
      <c r="AZ780" s="1" t="s">
        <v>74</v>
      </c>
      <c r="BA780" s="1" t="s">
        <v>74</v>
      </c>
      <c r="BB780" s="1" t="s">
        <v>74</v>
      </c>
      <c r="BC780" s="1" t="s">
        <v>74</v>
      </c>
      <c r="BD780" s="1">
        <v>6770.0</v>
      </c>
      <c r="BE780" s="1" t="s">
        <v>6553</v>
      </c>
      <c r="BF780" s="2" t="str">
        <f>HYPERLINK("http://dx.doi.org/10.3390/app10196770","http://dx.doi.org/10.3390/app10196770")</f>
        <v>http://dx.doi.org/10.3390/app10196770</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6554</v>
      </c>
      <c r="BT780" s="1" t="str">
        <f>HYPERLINK("https%3A%2F%2Fwww.webofscience.com%2Fwos%2Fwoscc%2Ffull-record%2FWOS:000586433000001","View Full Record in Web of Science")</f>
        <v>View Full Record in Web of Science</v>
      </c>
    </row>
    <row r="781" ht="12.75" customHeight="1">
      <c r="A781" s="1" t="s">
        <v>72</v>
      </c>
      <c r="B781" s="1" t="s">
        <v>6555</v>
      </c>
      <c r="C781" s="1" t="s">
        <v>74</v>
      </c>
      <c r="D781" s="1" t="s">
        <v>74</v>
      </c>
      <c r="E781" s="1" t="s">
        <v>74</v>
      </c>
      <c r="F781" s="1" t="s">
        <v>6556</v>
      </c>
      <c r="G781" s="1" t="s">
        <v>74</v>
      </c>
      <c r="H781" s="1" t="s">
        <v>74</v>
      </c>
      <c r="I781" s="1" t="s">
        <v>6557</v>
      </c>
      <c r="J781" s="1" t="s">
        <v>6299</v>
      </c>
      <c r="K781" s="1" t="s">
        <v>74</v>
      </c>
      <c r="L781" s="1" t="s">
        <v>74</v>
      </c>
      <c r="M781" s="1" t="s">
        <v>74</v>
      </c>
      <c r="N781" s="1" t="s">
        <v>74</v>
      </c>
      <c r="O781" s="1" t="s">
        <v>74</v>
      </c>
      <c r="P781" s="1" t="s">
        <v>74</v>
      </c>
      <c r="Q781" s="1" t="s">
        <v>74</v>
      </c>
      <c r="R781" s="1" t="s">
        <v>74</v>
      </c>
      <c r="S781" s="1" t="s">
        <v>74</v>
      </c>
      <c r="T781" s="1" t="s">
        <v>74</v>
      </c>
      <c r="U781" s="1" t="s">
        <v>74</v>
      </c>
      <c r="V781" s="1" t="s">
        <v>6558</v>
      </c>
      <c r="W781" s="1" t="s">
        <v>74</v>
      </c>
      <c r="X781" s="1" t="s">
        <v>74</v>
      </c>
      <c r="Y781" s="1" t="s">
        <v>74</v>
      </c>
      <c r="Z781" s="1" t="s">
        <v>74</v>
      </c>
      <c r="AA781" s="1" t="s">
        <v>74</v>
      </c>
      <c r="AB781" s="1" t="s">
        <v>3678</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6301</v>
      </c>
      <c r="AP781" s="1" t="s">
        <v>6559</v>
      </c>
      <c r="AQ781" s="1" t="s">
        <v>74</v>
      </c>
      <c r="AR781" s="1" t="s">
        <v>74</v>
      </c>
      <c r="AS781" s="1" t="s">
        <v>74</v>
      </c>
      <c r="AT781" s="1" t="s">
        <v>171</v>
      </c>
      <c r="AU781" s="1">
        <v>2020.0</v>
      </c>
      <c r="AV781" s="1">
        <v>174.0</v>
      </c>
      <c r="AW781" s="1" t="s">
        <v>74</v>
      </c>
      <c r="AX781" s="1" t="s">
        <v>74</v>
      </c>
      <c r="AY781" s="1" t="s">
        <v>74</v>
      </c>
      <c r="AZ781" s="1" t="s">
        <v>74</v>
      </c>
      <c r="BA781" s="1" t="s">
        <v>74</v>
      </c>
      <c r="BB781" s="1" t="s">
        <v>74</v>
      </c>
      <c r="BC781" s="1" t="s">
        <v>74</v>
      </c>
      <c r="BD781" s="1">
        <v>112359.0</v>
      </c>
      <c r="BE781" s="1" t="s">
        <v>6560</v>
      </c>
      <c r="BF781" s="2" t="str">
        <f>HYPERLINK("http://dx.doi.org/10.1016/j.phytochem.2020.112359","http://dx.doi.org/10.1016/j.phytochem.2020.112359")</f>
        <v>http://dx.doi.org/10.1016/j.phytochem.2020.112359</v>
      </c>
      <c r="BG781" s="1" t="s">
        <v>74</v>
      </c>
      <c r="BH781" s="1" t="s">
        <v>74</v>
      </c>
      <c r="BI781" s="1" t="s">
        <v>74</v>
      </c>
      <c r="BJ781" s="1" t="s">
        <v>74</v>
      </c>
      <c r="BK781" s="1" t="s">
        <v>74</v>
      </c>
      <c r="BL781" s="1" t="s">
        <v>74</v>
      </c>
      <c r="BM781" s="1" t="s">
        <v>74</v>
      </c>
      <c r="BN781" s="1">
        <v>3.2220788E7</v>
      </c>
      <c r="BO781" s="1" t="s">
        <v>74</v>
      </c>
      <c r="BP781" s="1" t="s">
        <v>74</v>
      </c>
      <c r="BQ781" s="1" t="s">
        <v>74</v>
      </c>
      <c r="BR781" s="1" t="s">
        <v>74</v>
      </c>
      <c r="BS781" s="1" t="s">
        <v>6561</v>
      </c>
      <c r="BT781" s="1" t="str">
        <f>HYPERLINK("https%3A%2F%2Fwww.webofscience.com%2Fwos%2Fwoscc%2Ffull-record%2FWOS:000529798600024","View Full Record in Web of Science")</f>
        <v>View Full Record in Web of Science</v>
      </c>
    </row>
    <row r="782" ht="12.75" customHeight="1">
      <c r="A782" s="1" t="s">
        <v>72</v>
      </c>
      <c r="B782" s="1" t="s">
        <v>6562</v>
      </c>
      <c r="C782" s="1" t="s">
        <v>74</v>
      </c>
      <c r="D782" s="1" t="s">
        <v>74</v>
      </c>
      <c r="E782" s="1" t="s">
        <v>74</v>
      </c>
      <c r="F782" s="1" t="s">
        <v>6563</v>
      </c>
      <c r="G782" s="1" t="s">
        <v>74</v>
      </c>
      <c r="H782" s="1" t="s">
        <v>74</v>
      </c>
      <c r="I782" s="1" t="s">
        <v>6564</v>
      </c>
      <c r="J782" s="1" t="s">
        <v>6565</v>
      </c>
      <c r="K782" s="1" t="s">
        <v>74</v>
      </c>
      <c r="L782" s="1" t="s">
        <v>74</v>
      </c>
      <c r="M782" s="1" t="s">
        <v>74</v>
      </c>
      <c r="N782" s="1" t="s">
        <v>74</v>
      </c>
      <c r="O782" s="1" t="s">
        <v>74</v>
      </c>
      <c r="P782" s="1" t="s">
        <v>74</v>
      </c>
      <c r="Q782" s="1" t="s">
        <v>74</v>
      </c>
      <c r="R782" s="1" t="s">
        <v>74</v>
      </c>
      <c r="S782" s="1" t="s">
        <v>74</v>
      </c>
      <c r="T782" s="1" t="s">
        <v>74</v>
      </c>
      <c r="U782" s="1" t="s">
        <v>74</v>
      </c>
      <c r="V782" s="1" t="s">
        <v>6566</v>
      </c>
      <c r="W782" s="1" t="s">
        <v>74</v>
      </c>
      <c r="X782" s="1" t="s">
        <v>74</v>
      </c>
      <c r="Y782" s="1" t="s">
        <v>74</v>
      </c>
      <c r="Z782" s="1" t="s">
        <v>74</v>
      </c>
      <c r="AA782" s="1" t="s">
        <v>6567</v>
      </c>
      <c r="AB782" s="1" t="s">
        <v>6568</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6569</v>
      </c>
      <c r="AP782" s="1" t="s">
        <v>74</v>
      </c>
      <c r="AQ782" s="1" t="s">
        <v>74</v>
      </c>
      <c r="AR782" s="1" t="s">
        <v>74</v>
      </c>
      <c r="AS782" s="1" t="s">
        <v>74</v>
      </c>
      <c r="AT782" s="1" t="s">
        <v>91</v>
      </c>
      <c r="AU782" s="1">
        <v>2020.0</v>
      </c>
      <c r="AV782" s="1">
        <v>19.0</v>
      </c>
      <c r="AW782" s="1">
        <v>4.0</v>
      </c>
      <c r="AX782" s="1" t="s">
        <v>74</v>
      </c>
      <c r="AY782" s="1" t="s">
        <v>74</v>
      </c>
      <c r="AZ782" s="1" t="s">
        <v>74</v>
      </c>
      <c r="BA782" s="1" t="s">
        <v>74</v>
      </c>
      <c r="BB782" s="1">
        <v>1760.0</v>
      </c>
      <c r="BC782" s="1">
        <v>1776.0</v>
      </c>
      <c r="BD782" s="1" t="s">
        <v>74</v>
      </c>
      <c r="BE782" s="1" t="s">
        <v>6570</v>
      </c>
      <c r="BF782" s="2" t="str">
        <f>HYPERLINK("http://dx.doi.org/10.1111/1541-4337.12575","http://dx.doi.org/10.1111/1541-4337.12575")</f>
        <v>http://dx.doi.org/10.1111/1541-4337.12575</v>
      </c>
      <c r="BG782" s="1" t="s">
        <v>74</v>
      </c>
      <c r="BH782" s="1" t="s">
        <v>6571</v>
      </c>
      <c r="BI782" s="1" t="s">
        <v>74</v>
      </c>
      <c r="BJ782" s="1" t="s">
        <v>74</v>
      </c>
      <c r="BK782" s="1" t="s">
        <v>74</v>
      </c>
      <c r="BL782" s="1" t="s">
        <v>74</v>
      </c>
      <c r="BM782" s="1" t="s">
        <v>74</v>
      </c>
      <c r="BN782" s="1">
        <v>3.3337105E7</v>
      </c>
      <c r="BO782" s="1" t="s">
        <v>74</v>
      </c>
      <c r="BP782" s="1" t="s">
        <v>74</v>
      </c>
      <c r="BQ782" s="1" t="s">
        <v>74</v>
      </c>
      <c r="BR782" s="1" t="s">
        <v>74</v>
      </c>
      <c r="BS782" s="1" t="s">
        <v>6572</v>
      </c>
      <c r="BT782" s="1" t="str">
        <f>HYPERLINK("https%3A%2F%2Fwww.webofscience.com%2Fwos%2Fwoscc%2Ffull-record%2FWOS:000536485400001","View Full Record in Web of Science")</f>
        <v>View Full Record in Web of Science</v>
      </c>
    </row>
    <row r="783" ht="12.75" customHeight="1">
      <c r="A783" s="1" t="s">
        <v>105</v>
      </c>
      <c r="B783" s="1" t="s">
        <v>6573</v>
      </c>
      <c r="C783" s="1" t="s">
        <v>74</v>
      </c>
      <c r="D783" s="1" t="s">
        <v>2014</v>
      </c>
      <c r="E783" s="1" t="s">
        <v>74</v>
      </c>
      <c r="F783" s="1" t="s">
        <v>6574</v>
      </c>
      <c r="G783" s="1" t="s">
        <v>74</v>
      </c>
      <c r="H783" s="1" t="s">
        <v>74</v>
      </c>
      <c r="I783" s="1" t="s">
        <v>6575</v>
      </c>
      <c r="J783" s="1" t="s">
        <v>2017</v>
      </c>
      <c r="K783" s="1" t="s">
        <v>74</v>
      </c>
      <c r="L783" s="1" t="s">
        <v>74</v>
      </c>
      <c r="M783" s="1" t="s">
        <v>74</v>
      </c>
      <c r="N783" s="1" t="s">
        <v>74</v>
      </c>
      <c r="O783" s="1" t="s">
        <v>74</v>
      </c>
      <c r="P783" s="1" t="s">
        <v>74</v>
      </c>
      <c r="Q783" s="1" t="s">
        <v>74</v>
      </c>
      <c r="R783" s="1" t="s">
        <v>74</v>
      </c>
      <c r="S783" s="1" t="s">
        <v>74</v>
      </c>
      <c r="T783" s="1" t="s">
        <v>74</v>
      </c>
      <c r="U783" s="1" t="s">
        <v>74</v>
      </c>
      <c r="V783" s="1" t="s">
        <v>6576</v>
      </c>
      <c r="W783" s="1" t="s">
        <v>74</v>
      </c>
      <c r="X783" s="1" t="s">
        <v>74</v>
      </c>
      <c r="Y783" s="1" t="s">
        <v>74</v>
      </c>
      <c r="Z783" s="1" t="s">
        <v>74</v>
      </c>
      <c r="AA783" s="1" t="s">
        <v>6577</v>
      </c>
      <c r="AB783" s="1" t="s">
        <v>74</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74</v>
      </c>
      <c r="AP783" s="1" t="s">
        <v>74</v>
      </c>
      <c r="AQ783" s="1" t="s">
        <v>2019</v>
      </c>
      <c r="AR783" s="1" t="s">
        <v>74</v>
      </c>
      <c r="AS783" s="1" t="s">
        <v>74</v>
      </c>
      <c r="AT783" s="1" t="s">
        <v>74</v>
      </c>
      <c r="AU783" s="1">
        <v>2020.0</v>
      </c>
      <c r="AV783" s="1" t="s">
        <v>74</v>
      </c>
      <c r="AW783" s="1" t="s">
        <v>74</v>
      </c>
      <c r="AX783" s="1" t="s">
        <v>74</v>
      </c>
      <c r="AY783" s="1" t="s">
        <v>74</v>
      </c>
      <c r="AZ783" s="1" t="s">
        <v>74</v>
      </c>
      <c r="BA783" s="1" t="s">
        <v>74</v>
      </c>
      <c r="BB783" s="1">
        <v>61.0</v>
      </c>
      <c r="BC783" s="1">
        <v>80.0</v>
      </c>
      <c r="BD783" s="1" t="s">
        <v>74</v>
      </c>
      <c r="BE783" s="1" t="s">
        <v>74</v>
      </c>
      <c r="BF783" s="1" t="s">
        <v>74</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6578</v>
      </c>
      <c r="BT783" s="1" t="str">
        <f>HYPERLINK("https%3A%2F%2Fwww.webofscience.com%2Fwos%2Fwoscc%2Ffull-record%2FWOS:000608842500004","View Full Record in Web of Science")</f>
        <v>View Full Record in Web of Science</v>
      </c>
    </row>
    <row r="784" ht="12.75" customHeight="1">
      <c r="A784" s="1" t="s">
        <v>105</v>
      </c>
      <c r="B784" s="1" t="s">
        <v>6481</v>
      </c>
      <c r="C784" s="1" t="s">
        <v>74</v>
      </c>
      <c r="D784" s="1" t="s">
        <v>2778</v>
      </c>
      <c r="E784" s="1" t="s">
        <v>74</v>
      </c>
      <c r="F784" s="1" t="s">
        <v>6482</v>
      </c>
      <c r="G784" s="1" t="s">
        <v>74</v>
      </c>
      <c r="H784" s="1" t="s">
        <v>74</v>
      </c>
      <c r="I784" s="1" t="s">
        <v>6579</v>
      </c>
      <c r="J784" s="1" t="s">
        <v>2781</v>
      </c>
      <c r="K784" s="1" t="s">
        <v>2782</v>
      </c>
      <c r="L784" s="1" t="s">
        <v>74</v>
      </c>
      <c r="M784" s="1" t="s">
        <v>74</v>
      </c>
      <c r="N784" s="1" t="s">
        <v>74</v>
      </c>
      <c r="O784" s="1" t="s">
        <v>74</v>
      </c>
      <c r="P784" s="1" t="s">
        <v>74</v>
      </c>
      <c r="Q784" s="1" t="s">
        <v>74</v>
      </c>
      <c r="R784" s="1" t="s">
        <v>74</v>
      </c>
      <c r="S784" s="1" t="s">
        <v>74</v>
      </c>
      <c r="T784" s="1" t="s">
        <v>74</v>
      </c>
      <c r="U784" s="1" t="s">
        <v>74</v>
      </c>
      <c r="V784" s="1" t="s">
        <v>74</v>
      </c>
      <c r="W784" s="1" t="s">
        <v>74</v>
      </c>
      <c r="X784" s="1" t="s">
        <v>74</v>
      </c>
      <c r="Y784" s="1" t="s">
        <v>74</v>
      </c>
      <c r="Z784" s="1" t="s">
        <v>74</v>
      </c>
      <c r="AA784" s="1" t="s">
        <v>74</v>
      </c>
      <c r="AB784" s="1" t="s">
        <v>74</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74</v>
      </c>
      <c r="AP784" s="1" t="s">
        <v>74</v>
      </c>
      <c r="AQ784" s="1" t="s">
        <v>2783</v>
      </c>
      <c r="AR784" s="1" t="s">
        <v>74</v>
      </c>
      <c r="AS784" s="1" t="s">
        <v>74</v>
      </c>
      <c r="AT784" s="1" t="s">
        <v>74</v>
      </c>
      <c r="AU784" s="1">
        <v>2020.0</v>
      </c>
      <c r="AV784" s="1">
        <v>8.0</v>
      </c>
      <c r="AW784" s="1" t="s">
        <v>74</v>
      </c>
      <c r="AX784" s="1" t="s">
        <v>74</v>
      </c>
      <c r="AY784" s="1" t="s">
        <v>74</v>
      </c>
      <c r="AZ784" s="1" t="s">
        <v>74</v>
      </c>
      <c r="BA784" s="1" t="s">
        <v>74</v>
      </c>
      <c r="BB784" s="1">
        <v>85.0</v>
      </c>
      <c r="BC784" s="1">
        <v>89.0</v>
      </c>
      <c r="BD784" s="1" t="s">
        <v>74</v>
      </c>
      <c r="BE784" s="1" t="s">
        <v>74</v>
      </c>
      <c r="BF784" s="1" t="s">
        <v>74</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6580</v>
      </c>
      <c r="BT784" s="1" t="str">
        <f>HYPERLINK("https%3A%2F%2Fwww.webofscience.com%2Fwos%2Fwoscc%2Ffull-record%2FWOS:000608865900019","View Full Record in Web of Science")</f>
        <v>View Full Record in Web of Science</v>
      </c>
    </row>
    <row r="785" ht="12.75" customHeight="1">
      <c r="A785" s="1" t="s">
        <v>72</v>
      </c>
      <c r="B785" s="1" t="s">
        <v>4903</v>
      </c>
      <c r="C785" s="1" t="s">
        <v>74</v>
      </c>
      <c r="D785" s="1" t="s">
        <v>74</v>
      </c>
      <c r="E785" s="1" t="s">
        <v>74</v>
      </c>
      <c r="F785" s="1" t="s">
        <v>6581</v>
      </c>
      <c r="G785" s="1" t="s">
        <v>74</v>
      </c>
      <c r="H785" s="1" t="s">
        <v>74</v>
      </c>
      <c r="I785" s="1" t="s">
        <v>6582</v>
      </c>
      <c r="J785" s="1" t="s">
        <v>6583</v>
      </c>
      <c r="K785" s="1" t="s">
        <v>74</v>
      </c>
      <c r="L785" s="1" t="s">
        <v>74</v>
      </c>
      <c r="M785" s="1" t="s">
        <v>74</v>
      </c>
      <c r="N785" s="1" t="s">
        <v>74</v>
      </c>
      <c r="O785" s="1" t="s">
        <v>74</v>
      </c>
      <c r="P785" s="1" t="s">
        <v>74</v>
      </c>
      <c r="Q785" s="1" t="s">
        <v>74</v>
      </c>
      <c r="R785" s="1" t="s">
        <v>74</v>
      </c>
      <c r="S785" s="1" t="s">
        <v>74</v>
      </c>
      <c r="T785" s="1" t="s">
        <v>74</v>
      </c>
      <c r="U785" s="1" t="s">
        <v>74</v>
      </c>
      <c r="V785" s="1" t="s">
        <v>6584</v>
      </c>
      <c r="W785" s="1" t="s">
        <v>74</v>
      </c>
      <c r="X785" s="1" t="s">
        <v>74</v>
      </c>
      <c r="Y785" s="1" t="s">
        <v>74</v>
      </c>
      <c r="Z785" s="1" t="s">
        <v>74</v>
      </c>
      <c r="AA785" s="1" t="s">
        <v>74</v>
      </c>
      <c r="AB785" s="1" t="s">
        <v>74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6585</v>
      </c>
      <c r="AP785" s="1" t="s">
        <v>6586</v>
      </c>
      <c r="AQ785" s="1" t="s">
        <v>74</v>
      </c>
      <c r="AR785" s="1" t="s">
        <v>74</v>
      </c>
      <c r="AS785" s="1" t="s">
        <v>74</v>
      </c>
      <c r="AT785" s="1" t="s">
        <v>74</v>
      </c>
      <c r="AU785" s="1">
        <v>2020.0</v>
      </c>
      <c r="AV785" s="1">
        <v>20.0</v>
      </c>
      <c r="AW785" s="1">
        <v>75.0</v>
      </c>
      <c r="AX785" s="1" t="s">
        <v>74</v>
      </c>
      <c r="AY785" s="1" t="s">
        <v>74</v>
      </c>
      <c r="AZ785" s="1" t="s">
        <v>74</v>
      </c>
      <c r="BA785" s="1" t="s">
        <v>74</v>
      </c>
      <c r="BB785" s="1">
        <v>161.0</v>
      </c>
      <c r="BC785" s="1">
        <v>179.0</v>
      </c>
      <c r="BD785" s="1" t="s">
        <v>74</v>
      </c>
      <c r="BE785" s="1" t="s">
        <v>6587</v>
      </c>
      <c r="BF785" s="2" t="str">
        <f>HYPERLINK("http://dx.doi.org/10.18441/ibam.20.2020.75.161-179","http://dx.doi.org/10.18441/ibam.20.2020.75.161-179")</f>
        <v>http://dx.doi.org/10.18441/ibam.20.2020.75.161-179</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6588</v>
      </c>
      <c r="BT785" s="1" t="str">
        <f>HYPERLINK("https%3A%2F%2Fwww.webofscience.com%2Fwos%2Fwoscc%2Ffull-record%2FWOS:000593126200011","View Full Record in Web of Science")</f>
        <v>View Full Record in Web of Science</v>
      </c>
    </row>
    <row r="786" ht="12.75" customHeight="1">
      <c r="A786" s="1" t="s">
        <v>72</v>
      </c>
      <c r="B786" s="1" t="s">
        <v>6589</v>
      </c>
      <c r="C786" s="1" t="s">
        <v>74</v>
      </c>
      <c r="D786" s="1" t="s">
        <v>74</v>
      </c>
      <c r="E786" s="1" t="s">
        <v>74</v>
      </c>
      <c r="F786" s="1" t="s">
        <v>6590</v>
      </c>
      <c r="G786" s="1" t="s">
        <v>74</v>
      </c>
      <c r="H786" s="1" t="s">
        <v>74</v>
      </c>
      <c r="I786" s="1" t="s">
        <v>6591</v>
      </c>
      <c r="J786" s="1" t="s">
        <v>176</v>
      </c>
      <c r="K786" s="1" t="s">
        <v>74</v>
      </c>
      <c r="L786" s="1" t="s">
        <v>74</v>
      </c>
      <c r="M786" s="1" t="s">
        <v>74</v>
      </c>
      <c r="N786" s="1" t="s">
        <v>74</v>
      </c>
      <c r="O786" s="1" t="s">
        <v>74</v>
      </c>
      <c r="P786" s="1" t="s">
        <v>74</v>
      </c>
      <c r="Q786" s="1" t="s">
        <v>74</v>
      </c>
      <c r="R786" s="1" t="s">
        <v>74</v>
      </c>
      <c r="S786" s="1" t="s">
        <v>74</v>
      </c>
      <c r="T786" s="1" t="s">
        <v>74</v>
      </c>
      <c r="U786" s="1" t="s">
        <v>74</v>
      </c>
      <c r="V786" s="1" t="s">
        <v>6592</v>
      </c>
      <c r="W786" s="1" t="s">
        <v>74</v>
      </c>
      <c r="X786" s="1" t="s">
        <v>74</v>
      </c>
      <c r="Y786" s="1" t="s">
        <v>74</v>
      </c>
      <c r="Z786" s="1" t="s">
        <v>74</v>
      </c>
      <c r="AA786" s="1" t="s">
        <v>74</v>
      </c>
      <c r="AB786" s="1" t="s">
        <v>74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178</v>
      </c>
      <c r="AP786" s="1" t="s">
        <v>74</v>
      </c>
      <c r="AQ786" s="1" t="s">
        <v>74</v>
      </c>
      <c r="AR786" s="1" t="s">
        <v>74</v>
      </c>
      <c r="AS786" s="1" t="s">
        <v>74</v>
      </c>
      <c r="AT786" s="1" t="s">
        <v>123</v>
      </c>
      <c r="AU786" s="1">
        <v>2020.0</v>
      </c>
      <c r="AV786" s="1">
        <v>49.0</v>
      </c>
      <c r="AW786" s="1" t="s">
        <v>74</v>
      </c>
      <c r="AX786" s="1" t="s">
        <v>74</v>
      </c>
      <c r="AY786" s="1" t="s">
        <v>74</v>
      </c>
      <c r="AZ786" s="1" t="s">
        <v>74</v>
      </c>
      <c r="BA786" s="1" t="s">
        <v>74</v>
      </c>
      <c r="BB786" s="1">
        <v>79.0</v>
      </c>
      <c r="BC786" s="1">
        <v>89.0</v>
      </c>
      <c r="BD786" s="1" t="s">
        <v>74</v>
      </c>
      <c r="BE786" s="1" t="s">
        <v>74</v>
      </c>
      <c r="BF786" s="1" t="s">
        <v>74</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6593</v>
      </c>
      <c r="BT786" s="1" t="str">
        <f>HYPERLINK("https%3A%2F%2Fwww.webofscience.com%2Fwos%2Fwoscc%2Ffull-record%2FWOS:000451966900005","View Full Record in Web of Science")</f>
        <v>View Full Record in Web of Science</v>
      </c>
    </row>
    <row r="787" ht="12.75" customHeight="1">
      <c r="A787" s="1" t="s">
        <v>72</v>
      </c>
      <c r="B787" s="1" t="s">
        <v>6594</v>
      </c>
      <c r="C787" s="1" t="s">
        <v>74</v>
      </c>
      <c r="D787" s="1" t="s">
        <v>74</v>
      </c>
      <c r="E787" s="1" t="s">
        <v>74</v>
      </c>
      <c r="F787" s="1" t="s">
        <v>6595</v>
      </c>
      <c r="G787" s="1" t="s">
        <v>74</v>
      </c>
      <c r="H787" s="1" t="s">
        <v>74</v>
      </c>
      <c r="I787" s="1" t="s">
        <v>6596</v>
      </c>
      <c r="J787" s="1" t="s">
        <v>6597</v>
      </c>
      <c r="K787" s="1" t="s">
        <v>74</v>
      </c>
      <c r="L787" s="1" t="s">
        <v>74</v>
      </c>
      <c r="M787" s="1" t="s">
        <v>74</v>
      </c>
      <c r="N787" s="1" t="s">
        <v>74</v>
      </c>
      <c r="O787" s="1" t="s">
        <v>74</v>
      </c>
      <c r="P787" s="1" t="s">
        <v>74</v>
      </c>
      <c r="Q787" s="1" t="s">
        <v>74</v>
      </c>
      <c r="R787" s="1" t="s">
        <v>74</v>
      </c>
      <c r="S787" s="1" t="s">
        <v>74</v>
      </c>
      <c r="T787" s="1" t="s">
        <v>74</v>
      </c>
      <c r="U787" s="1" t="s">
        <v>74</v>
      </c>
      <c r="V787" s="1" t="s">
        <v>74</v>
      </c>
      <c r="W787" s="1" t="s">
        <v>74</v>
      </c>
      <c r="X787" s="1" t="s">
        <v>74</v>
      </c>
      <c r="Y787" s="1" t="s">
        <v>74</v>
      </c>
      <c r="Z787" s="1" t="s">
        <v>74</v>
      </c>
      <c r="AA787" s="1" t="s">
        <v>74</v>
      </c>
      <c r="AB787" s="1" t="s">
        <v>74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6598</v>
      </c>
      <c r="AP787" s="1" t="s">
        <v>6599</v>
      </c>
      <c r="AQ787" s="1" t="s">
        <v>74</v>
      </c>
      <c r="AR787" s="1" t="s">
        <v>74</v>
      </c>
      <c r="AS787" s="1" t="s">
        <v>74</v>
      </c>
      <c r="AT787" s="1" t="s">
        <v>6600</v>
      </c>
      <c r="AU787" s="1">
        <v>2019.0</v>
      </c>
      <c r="AV787" s="1">
        <v>31.0</v>
      </c>
      <c r="AW787" s="1" t="s">
        <v>74</v>
      </c>
      <c r="AX787" s="1" t="s">
        <v>74</v>
      </c>
      <c r="AY787" s="1">
        <v>1.0</v>
      </c>
      <c r="AZ787" s="1" t="s">
        <v>74</v>
      </c>
      <c r="BA787" s="1" t="s">
        <v>74</v>
      </c>
      <c r="BB787" s="1" t="s">
        <v>6601</v>
      </c>
      <c r="BC787" s="1" t="s">
        <v>6601</v>
      </c>
      <c r="BD787" s="1" t="s">
        <v>74</v>
      </c>
      <c r="BE787" s="1" t="s">
        <v>74</v>
      </c>
      <c r="BF787" s="1" t="s">
        <v>74</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6602</v>
      </c>
      <c r="BT787" s="1" t="str">
        <f>HYPERLINK("https%3A%2F%2Fwww.webofscience.com%2Fwos%2Fwoscc%2Ffull-record%2FWOS:000489340400084","View Full Record in Web of Science")</f>
        <v>View Full Record in Web of Science</v>
      </c>
    </row>
    <row r="788" ht="12.75" customHeight="1">
      <c r="A788" s="1" t="s">
        <v>72</v>
      </c>
      <c r="B788" s="1" t="s">
        <v>6603</v>
      </c>
      <c r="C788" s="1" t="s">
        <v>74</v>
      </c>
      <c r="D788" s="1" t="s">
        <v>74</v>
      </c>
      <c r="E788" s="1" t="s">
        <v>74</v>
      </c>
      <c r="F788" s="1" t="s">
        <v>6604</v>
      </c>
      <c r="G788" s="1" t="s">
        <v>74</v>
      </c>
      <c r="H788" s="1" t="s">
        <v>74</v>
      </c>
      <c r="I788" s="1" t="s">
        <v>6605</v>
      </c>
      <c r="J788" s="1" t="s">
        <v>314</v>
      </c>
      <c r="K788" s="1" t="s">
        <v>74</v>
      </c>
      <c r="L788" s="1" t="s">
        <v>74</v>
      </c>
      <c r="M788" s="1" t="s">
        <v>74</v>
      </c>
      <c r="N788" s="1" t="s">
        <v>74</v>
      </c>
      <c r="O788" s="1" t="s">
        <v>74</v>
      </c>
      <c r="P788" s="1" t="s">
        <v>74</v>
      </c>
      <c r="Q788" s="1" t="s">
        <v>74</v>
      </c>
      <c r="R788" s="1" t="s">
        <v>74</v>
      </c>
      <c r="S788" s="1" t="s">
        <v>74</v>
      </c>
      <c r="T788" s="1" t="s">
        <v>74</v>
      </c>
      <c r="U788" s="1" t="s">
        <v>74</v>
      </c>
      <c r="V788" s="1" t="s">
        <v>6606</v>
      </c>
      <c r="W788" s="1" t="s">
        <v>74</v>
      </c>
      <c r="X788" s="1" t="s">
        <v>74</v>
      </c>
      <c r="Y788" s="1" t="s">
        <v>74</v>
      </c>
      <c r="Z788" s="1" t="s">
        <v>74</v>
      </c>
      <c r="AA788" s="1" t="s">
        <v>4482</v>
      </c>
      <c r="AB788" s="1" t="s">
        <v>74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316</v>
      </c>
      <c r="AP788" s="1" t="s">
        <v>74</v>
      </c>
      <c r="AQ788" s="1" t="s">
        <v>74</v>
      </c>
      <c r="AR788" s="1" t="s">
        <v>74</v>
      </c>
      <c r="AS788" s="1" t="s">
        <v>74</v>
      </c>
      <c r="AT788" s="1" t="s">
        <v>158</v>
      </c>
      <c r="AU788" s="1">
        <v>2018.0</v>
      </c>
      <c r="AV788" s="1">
        <v>16.0</v>
      </c>
      <c r="AW788" s="1">
        <v>9.0</v>
      </c>
      <c r="AX788" s="1" t="s">
        <v>74</v>
      </c>
      <c r="AY788" s="1" t="s">
        <v>74</v>
      </c>
      <c r="AZ788" s="1" t="s">
        <v>74</v>
      </c>
      <c r="BA788" s="1" t="s">
        <v>74</v>
      </c>
      <c r="BB788" s="1">
        <v>2454.0</v>
      </c>
      <c r="BC788" s="1">
        <v>2459.0</v>
      </c>
      <c r="BD788" s="1" t="s">
        <v>74</v>
      </c>
      <c r="BE788" s="1" t="s">
        <v>6607</v>
      </c>
      <c r="BF788" s="2" t="str">
        <f>HYPERLINK("http://dx.doi.org/10.1109/TLA.2018.8789568","http://dx.doi.org/10.1109/TLA.2018.8789568")</f>
        <v>http://dx.doi.org/10.1109/TLA.2018.8789568</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6608</v>
      </c>
      <c r="BT788" s="1" t="str">
        <f>HYPERLINK("https%3A%2F%2Fwww.webofscience.com%2Fwos%2Fwoscc%2Ffull-record%2FWOS:000480361900020","View Full Record in Web of Science")</f>
        <v>View Full Record in Web of Science</v>
      </c>
    </row>
    <row r="789" ht="12.75" customHeight="1">
      <c r="A789" s="1" t="s">
        <v>72</v>
      </c>
      <c r="B789" s="1" t="s">
        <v>6609</v>
      </c>
      <c r="C789" s="1" t="s">
        <v>74</v>
      </c>
      <c r="D789" s="1" t="s">
        <v>74</v>
      </c>
      <c r="E789" s="1" t="s">
        <v>74</v>
      </c>
      <c r="F789" s="1" t="s">
        <v>6610</v>
      </c>
      <c r="G789" s="1" t="s">
        <v>74</v>
      </c>
      <c r="H789" s="1" t="s">
        <v>74</v>
      </c>
      <c r="I789" s="1" t="s">
        <v>6611</v>
      </c>
      <c r="J789" s="1" t="s">
        <v>1535</v>
      </c>
      <c r="K789" s="1" t="s">
        <v>74</v>
      </c>
      <c r="L789" s="1" t="s">
        <v>74</v>
      </c>
      <c r="M789" s="1" t="s">
        <v>74</v>
      </c>
      <c r="N789" s="1" t="s">
        <v>74</v>
      </c>
      <c r="O789" s="1" t="s">
        <v>74</v>
      </c>
      <c r="P789" s="1" t="s">
        <v>74</v>
      </c>
      <c r="Q789" s="1" t="s">
        <v>74</v>
      </c>
      <c r="R789" s="1" t="s">
        <v>74</v>
      </c>
      <c r="S789" s="1" t="s">
        <v>74</v>
      </c>
      <c r="T789" s="1" t="s">
        <v>74</v>
      </c>
      <c r="U789" s="1" t="s">
        <v>74</v>
      </c>
      <c r="V789" s="1" t="s">
        <v>6612</v>
      </c>
      <c r="W789" s="1" t="s">
        <v>74</v>
      </c>
      <c r="X789" s="1" t="s">
        <v>74</v>
      </c>
      <c r="Y789" s="1" t="s">
        <v>74</v>
      </c>
      <c r="Z789" s="1" t="s">
        <v>74</v>
      </c>
      <c r="AA789" s="1" t="s">
        <v>5859</v>
      </c>
      <c r="AB789" s="1" t="s">
        <v>6613</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74</v>
      </c>
      <c r="AP789" s="1" t="s">
        <v>1538</v>
      </c>
      <c r="AQ789" s="1" t="s">
        <v>74</v>
      </c>
      <c r="AR789" s="1" t="s">
        <v>74</v>
      </c>
      <c r="AS789" s="1" t="s">
        <v>74</v>
      </c>
      <c r="AT789" s="1" t="s">
        <v>171</v>
      </c>
      <c r="AU789" s="1">
        <v>2018.0</v>
      </c>
      <c r="AV789" s="1">
        <v>23.0</v>
      </c>
      <c r="AW789" s="1">
        <v>6.0</v>
      </c>
      <c r="AX789" s="1" t="s">
        <v>74</v>
      </c>
      <c r="AY789" s="1" t="s">
        <v>74</v>
      </c>
      <c r="AZ789" s="1" t="s">
        <v>74</v>
      </c>
      <c r="BA789" s="1" t="s">
        <v>74</v>
      </c>
      <c r="BB789" s="1" t="s">
        <v>74</v>
      </c>
      <c r="BC789" s="1" t="s">
        <v>74</v>
      </c>
      <c r="BD789" s="1">
        <v>1313.0</v>
      </c>
      <c r="BE789" s="1" t="s">
        <v>6614</v>
      </c>
      <c r="BF789" s="2" t="str">
        <f>HYPERLINK("http://dx.doi.org/10.3390/molecules23061313","http://dx.doi.org/10.3390/molecules23061313")</f>
        <v>http://dx.doi.org/10.3390/molecules23061313</v>
      </c>
      <c r="BG789" s="1" t="s">
        <v>74</v>
      </c>
      <c r="BH789" s="1" t="s">
        <v>74</v>
      </c>
      <c r="BI789" s="1" t="s">
        <v>74</v>
      </c>
      <c r="BJ789" s="1" t="s">
        <v>74</v>
      </c>
      <c r="BK789" s="1" t="s">
        <v>74</v>
      </c>
      <c r="BL789" s="1" t="s">
        <v>74</v>
      </c>
      <c r="BM789" s="1" t="s">
        <v>74</v>
      </c>
      <c r="BN789" s="1">
        <v>2.9849002E7</v>
      </c>
      <c r="BO789" s="1" t="s">
        <v>74</v>
      </c>
      <c r="BP789" s="1" t="s">
        <v>74</v>
      </c>
      <c r="BQ789" s="1" t="s">
        <v>74</v>
      </c>
      <c r="BR789" s="1" t="s">
        <v>74</v>
      </c>
      <c r="BS789" s="1" t="s">
        <v>6615</v>
      </c>
      <c r="BT789" s="1" t="str">
        <f>HYPERLINK("https%3A%2F%2Fwww.webofscience.com%2Fwos%2Fwoscc%2Ffull-record%2FWOS:000435875400075","View Full Record in Web of Science")</f>
        <v>View Full Record in Web of Science</v>
      </c>
    </row>
    <row r="790" ht="12.75" customHeight="1">
      <c r="A790" s="1" t="s">
        <v>105</v>
      </c>
      <c r="B790" s="1" t="s">
        <v>1904</v>
      </c>
      <c r="C790" s="1" t="s">
        <v>1904</v>
      </c>
      <c r="D790" s="1" t="s">
        <v>74</v>
      </c>
      <c r="E790" s="1" t="s">
        <v>74</v>
      </c>
      <c r="F790" s="1" t="s">
        <v>1906</v>
      </c>
      <c r="G790" s="1" t="s">
        <v>1904</v>
      </c>
      <c r="H790" s="1" t="s">
        <v>74</v>
      </c>
      <c r="I790" s="1" t="s">
        <v>6616</v>
      </c>
      <c r="J790" s="1" t="s">
        <v>6617</v>
      </c>
      <c r="K790" s="1" t="s">
        <v>74</v>
      </c>
      <c r="L790" s="1" t="s">
        <v>74</v>
      </c>
      <c r="M790" s="1" t="s">
        <v>74</v>
      </c>
      <c r="N790" s="1" t="s">
        <v>74</v>
      </c>
      <c r="O790" s="1" t="s">
        <v>74</v>
      </c>
      <c r="P790" s="1" t="s">
        <v>74</v>
      </c>
      <c r="Q790" s="1" t="s">
        <v>74</v>
      </c>
      <c r="R790" s="1" t="s">
        <v>74</v>
      </c>
      <c r="S790" s="1" t="s">
        <v>74</v>
      </c>
      <c r="T790" s="1" t="s">
        <v>74</v>
      </c>
      <c r="U790" s="1" t="s">
        <v>74</v>
      </c>
      <c r="V790" s="1" t="s">
        <v>6618</v>
      </c>
      <c r="W790" s="1" t="s">
        <v>74</v>
      </c>
      <c r="X790" s="1" t="s">
        <v>74</v>
      </c>
      <c r="Y790" s="1" t="s">
        <v>74</v>
      </c>
      <c r="Z790" s="1" t="s">
        <v>74</v>
      </c>
      <c r="AA790" s="1" t="s">
        <v>74</v>
      </c>
      <c r="AB790" s="1" t="s">
        <v>74</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74</v>
      </c>
      <c r="AP790" s="1" t="s">
        <v>74</v>
      </c>
      <c r="AQ790" s="1" t="s">
        <v>6619</v>
      </c>
      <c r="AR790" s="1" t="s">
        <v>74</v>
      </c>
      <c r="AS790" s="1" t="s">
        <v>74</v>
      </c>
      <c r="AT790" s="1" t="s">
        <v>74</v>
      </c>
      <c r="AU790" s="1">
        <v>2018.0</v>
      </c>
      <c r="AV790" s="1" t="s">
        <v>74</v>
      </c>
      <c r="AW790" s="1" t="s">
        <v>74</v>
      </c>
      <c r="AX790" s="1" t="s">
        <v>74</v>
      </c>
      <c r="AY790" s="1" t="s">
        <v>74</v>
      </c>
      <c r="AZ790" s="1" t="s">
        <v>74</v>
      </c>
      <c r="BA790" s="1" t="s">
        <v>74</v>
      </c>
      <c r="BB790" s="1">
        <v>11.0</v>
      </c>
      <c r="BC790" s="1">
        <v>34.0</v>
      </c>
      <c r="BD790" s="1" t="s">
        <v>74</v>
      </c>
      <c r="BE790" s="1" t="s">
        <v>74</v>
      </c>
      <c r="BF790" s="1" t="s">
        <v>74</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6620</v>
      </c>
      <c r="BT790" s="1" t="str">
        <f>HYPERLINK("https%3A%2F%2Fwww.webofscience.com%2Fwos%2Fwoscc%2Ffull-record%2FWOS:000483366800002","View Full Record in Web of Science")</f>
        <v>View Full Record in Web of Science</v>
      </c>
    </row>
    <row r="791" ht="12.75" customHeight="1">
      <c r="A791" s="1" t="s">
        <v>105</v>
      </c>
      <c r="B791" s="1" t="s">
        <v>6621</v>
      </c>
      <c r="C791" s="1" t="s">
        <v>74</v>
      </c>
      <c r="D791" s="1" t="s">
        <v>74</v>
      </c>
      <c r="E791" s="1" t="s">
        <v>228</v>
      </c>
      <c r="F791" s="1" t="s">
        <v>6622</v>
      </c>
      <c r="G791" s="1" t="s">
        <v>74</v>
      </c>
      <c r="H791" s="1" t="s">
        <v>74</v>
      </c>
      <c r="I791" s="1" t="s">
        <v>6623</v>
      </c>
      <c r="J791" s="1" t="s">
        <v>231</v>
      </c>
      <c r="K791" s="1" t="s">
        <v>74</v>
      </c>
      <c r="L791" s="1" t="s">
        <v>74</v>
      </c>
      <c r="M791" s="1" t="s">
        <v>74</v>
      </c>
      <c r="N791" s="1" t="s">
        <v>74</v>
      </c>
      <c r="O791" s="1" t="s">
        <v>74</v>
      </c>
      <c r="P791" s="1" t="s">
        <v>74</v>
      </c>
      <c r="Q791" s="1" t="s">
        <v>74</v>
      </c>
      <c r="R791" s="1" t="s">
        <v>74</v>
      </c>
      <c r="S791" s="1" t="s">
        <v>74</v>
      </c>
      <c r="T791" s="1" t="s">
        <v>74</v>
      </c>
      <c r="U791" s="1" t="s">
        <v>74</v>
      </c>
      <c r="V791" s="1" t="s">
        <v>6624</v>
      </c>
      <c r="W791" s="1" t="s">
        <v>74</v>
      </c>
      <c r="X791" s="1" t="s">
        <v>74</v>
      </c>
      <c r="Y791" s="1" t="s">
        <v>74</v>
      </c>
      <c r="Z791" s="1" t="s">
        <v>74</v>
      </c>
      <c r="AA791" s="1" t="s">
        <v>6625</v>
      </c>
      <c r="AB791" s="1" t="s">
        <v>74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74</v>
      </c>
      <c r="AP791" s="1" t="s">
        <v>74</v>
      </c>
      <c r="AQ791" s="1" t="s">
        <v>233</v>
      </c>
      <c r="AR791" s="1" t="s">
        <v>74</v>
      </c>
      <c r="AS791" s="1" t="s">
        <v>74</v>
      </c>
      <c r="AT791" s="1" t="s">
        <v>74</v>
      </c>
      <c r="AU791" s="1">
        <v>2018.0</v>
      </c>
      <c r="AV791" s="1" t="s">
        <v>74</v>
      </c>
      <c r="AW791" s="1" t="s">
        <v>74</v>
      </c>
      <c r="AX791" s="1" t="s">
        <v>74</v>
      </c>
      <c r="AY791" s="1" t="s">
        <v>74</v>
      </c>
      <c r="AZ791" s="1" t="s">
        <v>74</v>
      </c>
      <c r="BA791" s="1" t="s">
        <v>74</v>
      </c>
      <c r="BB791" s="1">
        <v>114.0</v>
      </c>
      <c r="BC791" s="1">
        <v>125.0</v>
      </c>
      <c r="BD791" s="1" t="s">
        <v>74</v>
      </c>
      <c r="BE791" s="1" t="s">
        <v>74</v>
      </c>
      <c r="BF791" s="1" t="s">
        <v>74</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6626</v>
      </c>
      <c r="BT791" s="1" t="str">
        <f>HYPERLINK("https%3A%2F%2Fwww.webofscience.com%2Fwos%2Fwoscc%2Ffull-record%2FWOS:000480327100008","View Full Record in Web of Science")</f>
        <v>View Full Record in Web of Science</v>
      </c>
    </row>
    <row r="792" ht="12.75" customHeight="1">
      <c r="A792" s="1" t="s">
        <v>72</v>
      </c>
      <c r="B792" s="1" t="s">
        <v>6627</v>
      </c>
      <c r="C792" s="1" t="s">
        <v>74</v>
      </c>
      <c r="D792" s="1" t="s">
        <v>74</v>
      </c>
      <c r="E792" s="1" t="s">
        <v>74</v>
      </c>
      <c r="F792" s="1" t="s">
        <v>6628</v>
      </c>
      <c r="G792" s="1" t="s">
        <v>74</v>
      </c>
      <c r="H792" s="1" t="s">
        <v>74</v>
      </c>
      <c r="I792" s="1" t="s">
        <v>6629</v>
      </c>
      <c r="J792" s="1" t="s">
        <v>6630</v>
      </c>
      <c r="K792" s="1" t="s">
        <v>74</v>
      </c>
      <c r="L792" s="1" t="s">
        <v>74</v>
      </c>
      <c r="M792" s="1" t="s">
        <v>74</v>
      </c>
      <c r="N792" s="1" t="s">
        <v>74</v>
      </c>
      <c r="O792" s="1" t="s">
        <v>74</v>
      </c>
      <c r="P792" s="1" t="s">
        <v>74</v>
      </c>
      <c r="Q792" s="1" t="s">
        <v>74</v>
      </c>
      <c r="R792" s="1" t="s">
        <v>74</v>
      </c>
      <c r="S792" s="1" t="s">
        <v>74</v>
      </c>
      <c r="T792" s="1" t="s">
        <v>74</v>
      </c>
      <c r="U792" s="1" t="s">
        <v>74</v>
      </c>
      <c r="V792" s="1" t="s">
        <v>6631</v>
      </c>
      <c r="W792" s="1" t="s">
        <v>74</v>
      </c>
      <c r="X792" s="1" t="s">
        <v>74</v>
      </c>
      <c r="Y792" s="1" t="s">
        <v>74</v>
      </c>
      <c r="Z792" s="1" t="s">
        <v>74</v>
      </c>
      <c r="AA792" s="1" t="s">
        <v>2827</v>
      </c>
      <c r="AB792" s="1" t="s">
        <v>2828</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6632</v>
      </c>
      <c r="AP792" s="1" t="s">
        <v>6633</v>
      </c>
      <c r="AQ792" s="1" t="s">
        <v>74</v>
      </c>
      <c r="AR792" s="1" t="s">
        <v>74</v>
      </c>
      <c r="AS792" s="1" t="s">
        <v>74</v>
      </c>
      <c r="AT792" s="1" t="s">
        <v>74</v>
      </c>
      <c r="AU792" s="1">
        <v>2018.0</v>
      </c>
      <c r="AV792" s="1">
        <v>18.0</v>
      </c>
      <c r="AW792" s="1">
        <v>3.0</v>
      </c>
      <c r="AX792" s="1" t="s">
        <v>74</v>
      </c>
      <c r="AY792" s="1" t="s">
        <v>74</v>
      </c>
      <c r="AZ792" s="1" t="s">
        <v>74</v>
      </c>
      <c r="BA792" s="1" t="s">
        <v>74</v>
      </c>
      <c r="BB792" s="1">
        <v>663.0</v>
      </c>
      <c r="BC792" s="1">
        <v>691.0</v>
      </c>
      <c r="BD792" s="1" t="s">
        <v>74</v>
      </c>
      <c r="BE792" s="1" t="s">
        <v>6634</v>
      </c>
      <c r="BF792" s="2" t="str">
        <f>HYPERLINK("http://dx.doi.org/10.1177/1536867X1801800308","http://dx.doi.org/10.1177/1536867X1801800308")</f>
        <v>http://dx.doi.org/10.1177/1536867X1801800308</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6635</v>
      </c>
      <c r="BT792" s="1" t="str">
        <f>HYPERLINK("https%3A%2F%2Fwww.webofscience.com%2Fwos%2Fwoscc%2Ffull-record%2FWOS:000445991000008","View Full Record in Web of Science")</f>
        <v>View Full Record in Web of Science</v>
      </c>
    </row>
    <row r="793" ht="12.75" customHeight="1">
      <c r="A793" s="1" t="s">
        <v>105</v>
      </c>
      <c r="B793" s="1" t="s">
        <v>6636</v>
      </c>
      <c r="C793" s="1" t="s">
        <v>1904</v>
      </c>
      <c r="D793" s="1" t="s">
        <v>74</v>
      </c>
      <c r="E793" s="1" t="s">
        <v>74</v>
      </c>
      <c r="F793" s="1" t="s">
        <v>6637</v>
      </c>
      <c r="G793" s="1" t="s">
        <v>1904</v>
      </c>
      <c r="H793" s="1" t="s">
        <v>74</v>
      </c>
      <c r="I793" s="1" t="s">
        <v>6638</v>
      </c>
      <c r="J793" s="1" t="s">
        <v>6617</v>
      </c>
      <c r="K793" s="1" t="s">
        <v>74</v>
      </c>
      <c r="L793" s="1" t="s">
        <v>74</v>
      </c>
      <c r="M793" s="1" t="s">
        <v>74</v>
      </c>
      <c r="N793" s="1" t="s">
        <v>74</v>
      </c>
      <c r="O793" s="1" t="s">
        <v>74</v>
      </c>
      <c r="P793" s="1" t="s">
        <v>74</v>
      </c>
      <c r="Q793" s="1" t="s">
        <v>74</v>
      </c>
      <c r="R793" s="1" t="s">
        <v>74</v>
      </c>
      <c r="S793" s="1" t="s">
        <v>74</v>
      </c>
      <c r="T793" s="1" t="s">
        <v>74</v>
      </c>
      <c r="U793" s="1" t="s">
        <v>74</v>
      </c>
      <c r="V793" s="1" t="s">
        <v>6639</v>
      </c>
      <c r="W793" s="1" t="s">
        <v>74</v>
      </c>
      <c r="X793" s="1" t="s">
        <v>74</v>
      </c>
      <c r="Y793" s="1" t="s">
        <v>74</v>
      </c>
      <c r="Z793" s="1" t="s">
        <v>74</v>
      </c>
      <c r="AA793" s="1" t="s">
        <v>74</v>
      </c>
      <c r="AB793" s="1" t="s">
        <v>74</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74</v>
      </c>
      <c r="AP793" s="1" t="s">
        <v>74</v>
      </c>
      <c r="AQ793" s="1" t="s">
        <v>6619</v>
      </c>
      <c r="AR793" s="1" t="s">
        <v>74</v>
      </c>
      <c r="AS793" s="1" t="s">
        <v>74</v>
      </c>
      <c r="AT793" s="1" t="s">
        <v>74</v>
      </c>
      <c r="AU793" s="1">
        <v>2018.0</v>
      </c>
      <c r="AV793" s="1" t="s">
        <v>74</v>
      </c>
      <c r="AW793" s="1" t="s">
        <v>74</v>
      </c>
      <c r="AX793" s="1" t="s">
        <v>74</v>
      </c>
      <c r="AY793" s="1" t="s">
        <v>74</v>
      </c>
      <c r="AZ793" s="1" t="s">
        <v>74</v>
      </c>
      <c r="BA793" s="1" t="s">
        <v>74</v>
      </c>
      <c r="BB793" s="1">
        <v>166.0</v>
      </c>
      <c r="BC793" s="1">
        <v>172.0</v>
      </c>
      <c r="BD793" s="1" t="s">
        <v>74</v>
      </c>
      <c r="BE793" s="1" t="s">
        <v>74</v>
      </c>
      <c r="BF793" s="1" t="s">
        <v>74</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6640</v>
      </c>
      <c r="BT793" s="1" t="str">
        <f>HYPERLINK("https%3A%2F%2Fwww.webofscience.com%2Fwos%2Fwoscc%2Ffull-record%2FWOS:000483366800013","View Full Record in Web of Science")</f>
        <v>View Full Record in Web of Science</v>
      </c>
    </row>
    <row r="794" ht="12.75" customHeight="1">
      <c r="A794" s="1" t="s">
        <v>105</v>
      </c>
      <c r="B794" s="1" t="s">
        <v>6641</v>
      </c>
      <c r="C794" s="1" t="s">
        <v>1904</v>
      </c>
      <c r="D794" s="1" t="s">
        <v>74</v>
      </c>
      <c r="E794" s="1" t="s">
        <v>74</v>
      </c>
      <c r="F794" s="1" t="s">
        <v>6642</v>
      </c>
      <c r="G794" s="1" t="s">
        <v>1904</v>
      </c>
      <c r="H794" s="1" t="s">
        <v>74</v>
      </c>
      <c r="I794" s="1" t="s">
        <v>6643</v>
      </c>
      <c r="J794" s="1" t="s">
        <v>6617</v>
      </c>
      <c r="K794" s="1" t="s">
        <v>74</v>
      </c>
      <c r="L794" s="1" t="s">
        <v>74</v>
      </c>
      <c r="M794" s="1" t="s">
        <v>74</v>
      </c>
      <c r="N794" s="1" t="s">
        <v>74</v>
      </c>
      <c r="O794" s="1" t="s">
        <v>74</v>
      </c>
      <c r="P794" s="1" t="s">
        <v>74</v>
      </c>
      <c r="Q794" s="1" t="s">
        <v>74</v>
      </c>
      <c r="R794" s="1" t="s">
        <v>74</v>
      </c>
      <c r="S794" s="1" t="s">
        <v>74</v>
      </c>
      <c r="T794" s="1" t="s">
        <v>74</v>
      </c>
      <c r="U794" s="1" t="s">
        <v>74</v>
      </c>
      <c r="V794" s="1" t="s">
        <v>6644</v>
      </c>
      <c r="W794" s="1" t="s">
        <v>74</v>
      </c>
      <c r="X794" s="1" t="s">
        <v>74</v>
      </c>
      <c r="Y794" s="1" t="s">
        <v>74</v>
      </c>
      <c r="Z794" s="1" t="s">
        <v>74</v>
      </c>
      <c r="AA794" s="1" t="s">
        <v>74</v>
      </c>
      <c r="AB794" s="1" t="s">
        <v>74</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74</v>
      </c>
      <c r="AP794" s="1" t="s">
        <v>74</v>
      </c>
      <c r="AQ794" s="1" t="s">
        <v>6619</v>
      </c>
      <c r="AR794" s="1" t="s">
        <v>74</v>
      </c>
      <c r="AS794" s="1" t="s">
        <v>74</v>
      </c>
      <c r="AT794" s="1" t="s">
        <v>74</v>
      </c>
      <c r="AU794" s="1">
        <v>2018.0</v>
      </c>
      <c r="AV794" s="1" t="s">
        <v>74</v>
      </c>
      <c r="AW794" s="1" t="s">
        <v>74</v>
      </c>
      <c r="AX794" s="1" t="s">
        <v>74</v>
      </c>
      <c r="AY794" s="1" t="s">
        <v>74</v>
      </c>
      <c r="AZ794" s="1" t="s">
        <v>74</v>
      </c>
      <c r="BA794" s="1" t="s">
        <v>74</v>
      </c>
      <c r="BB794" s="1">
        <v>83.0</v>
      </c>
      <c r="BC794" s="1">
        <v>96.0</v>
      </c>
      <c r="BD794" s="1" t="s">
        <v>74</v>
      </c>
      <c r="BE794" s="1" t="s">
        <v>74</v>
      </c>
      <c r="BF794" s="1" t="s">
        <v>74</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6645</v>
      </c>
      <c r="BT794" s="1" t="str">
        <f>HYPERLINK("https%3A%2F%2Fwww.webofscience.com%2Fwos%2Fwoscc%2Ffull-record%2FWOS:000483366800007","View Full Record in Web of Science")</f>
        <v>View Full Record in Web of Science</v>
      </c>
    </row>
    <row r="795" ht="12.75" customHeight="1">
      <c r="A795" s="1" t="s">
        <v>72</v>
      </c>
      <c r="B795" s="1" t="s">
        <v>1299</v>
      </c>
      <c r="C795" s="1" t="s">
        <v>74</v>
      </c>
      <c r="D795" s="1" t="s">
        <v>74</v>
      </c>
      <c r="E795" s="1" t="s">
        <v>74</v>
      </c>
      <c r="F795" s="1" t="s">
        <v>1300</v>
      </c>
      <c r="G795" s="1" t="s">
        <v>74</v>
      </c>
      <c r="H795" s="1" t="s">
        <v>74</v>
      </c>
      <c r="I795" s="1" t="s">
        <v>6646</v>
      </c>
      <c r="J795" s="1" t="s">
        <v>1400</v>
      </c>
      <c r="K795" s="1" t="s">
        <v>74</v>
      </c>
      <c r="L795" s="1" t="s">
        <v>74</v>
      </c>
      <c r="M795" s="1" t="s">
        <v>74</v>
      </c>
      <c r="N795" s="1" t="s">
        <v>74</v>
      </c>
      <c r="O795" s="1" t="s">
        <v>74</v>
      </c>
      <c r="P795" s="1" t="s">
        <v>74</v>
      </c>
      <c r="Q795" s="1" t="s">
        <v>74</v>
      </c>
      <c r="R795" s="1" t="s">
        <v>74</v>
      </c>
      <c r="S795" s="1" t="s">
        <v>74</v>
      </c>
      <c r="T795" s="1" t="s">
        <v>74</v>
      </c>
      <c r="U795" s="1" t="s">
        <v>74</v>
      </c>
      <c r="V795" s="1" t="s">
        <v>74</v>
      </c>
      <c r="W795" s="1" t="s">
        <v>74</v>
      </c>
      <c r="X795" s="1" t="s">
        <v>74</v>
      </c>
      <c r="Y795" s="1" t="s">
        <v>74</v>
      </c>
      <c r="Z795" s="1" t="s">
        <v>74</v>
      </c>
      <c r="AA795" s="1" t="s">
        <v>74</v>
      </c>
      <c r="AB795" s="1" t="s">
        <v>74</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1401</v>
      </c>
      <c r="AP795" s="1" t="s">
        <v>4665</v>
      </c>
      <c r="AQ795" s="1" t="s">
        <v>74</v>
      </c>
      <c r="AR795" s="1" t="s">
        <v>74</v>
      </c>
      <c r="AS795" s="1" t="s">
        <v>74</v>
      </c>
      <c r="AT795" s="1" t="s">
        <v>224</v>
      </c>
      <c r="AU795" s="1">
        <v>2017.0</v>
      </c>
      <c r="AV795" s="1">
        <v>46.0</v>
      </c>
      <c r="AW795" s="1">
        <v>1.0</v>
      </c>
      <c r="AX795" s="1" t="s">
        <v>74</v>
      </c>
      <c r="AY795" s="1" t="s">
        <v>74</v>
      </c>
      <c r="AZ795" s="1" t="s">
        <v>74</v>
      </c>
      <c r="BA795" s="1" t="s">
        <v>74</v>
      </c>
      <c r="BB795" s="1">
        <v>203.0</v>
      </c>
      <c r="BC795" s="1">
        <v>214.0</v>
      </c>
      <c r="BD795" s="1" t="s">
        <v>74</v>
      </c>
      <c r="BE795" s="1" t="s">
        <v>74</v>
      </c>
      <c r="BF795" s="1" t="s">
        <v>74</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6647</v>
      </c>
      <c r="BT795" s="1" t="str">
        <f>HYPERLINK("https%3A%2F%2Fwww.webofscience.com%2Fwos%2Fwoscc%2Ffull-record%2FWOS:000416891800016","View Full Record in Web of Science")</f>
        <v>View Full Record in Web of Science</v>
      </c>
    </row>
    <row r="796" ht="12.75" customHeight="1">
      <c r="A796" s="1" t="s">
        <v>126</v>
      </c>
      <c r="B796" s="1" t="s">
        <v>6648</v>
      </c>
      <c r="C796" s="1" t="s">
        <v>74</v>
      </c>
      <c r="D796" s="1" t="s">
        <v>74</v>
      </c>
      <c r="E796" s="1" t="s">
        <v>128</v>
      </c>
      <c r="F796" s="1" t="s">
        <v>6649</v>
      </c>
      <c r="G796" s="1" t="s">
        <v>74</v>
      </c>
      <c r="H796" s="1" t="s">
        <v>74</v>
      </c>
      <c r="I796" s="1" t="s">
        <v>6650</v>
      </c>
      <c r="J796" s="1" t="s">
        <v>3781</v>
      </c>
      <c r="K796" s="1" t="s">
        <v>74</v>
      </c>
      <c r="L796" s="1" t="s">
        <v>74</v>
      </c>
      <c r="M796" s="1" t="s">
        <v>74</v>
      </c>
      <c r="N796" s="1" t="s">
        <v>74</v>
      </c>
      <c r="O796" s="1" t="s">
        <v>3782</v>
      </c>
      <c r="P796" s="1" t="s">
        <v>1256</v>
      </c>
      <c r="Q796" s="1" t="s">
        <v>502</v>
      </c>
      <c r="R796" s="1" t="s">
        <v>3783</v>
      </c>
      <c r="S796" s="1" t="s">
        <v>74</v>
      </c>
      <c r="T796" s="1" t="s">
        <v>74</v>
      </c>
      <c r="U796" s="1" t="s">
        <v>74</v>
      </c>
      <c r="V796" s="1" t="s">
        <v>6651</v>
      </c>
      <c r="W796" s="1" t="s">
        <v>74</v>
      </c>
      <c r="X796" s="1" t="s">
        <v>74</v>
      </c>
      <c r="Y796" s="1" t="s">
        <v>74</v>
      </c>
      <c r="Z796" s="1" t="s">
        <v>74</v>
      </c>
      <c r="AA796" s="1" t="s">
        <v>74</v>
      </c>
      <c r="AB796" s="1" t="s">
        <v>74</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74</v>
      </c>
      <c r="AP796" s="1" t="s">
        <v>74</v>
      </c>
      <c r="AQ796" s="1" t="s">
        <v>3785</v>
      </c>
      <c r="AR796" s="1" t="s">
        <v>74</v>
      </c>
      <c r="AS796" s="1" t="s">
        <v>74</v>
      </c>
      <c r="AT796" s="1" t="s">
        <v>74</v>
      </c>
      <c r="AU796" s="1">
        <v>2017.0</v>
      </c>
      <c r="AV796" s="1" t="s">
        <v>74</v>
      </c>
      <c r="AW796" s="1" t="s">
        <v>74</v>
      </c>
      <c r="AX796" s="1" t="s">
        <v>74</v>
      </c>
      <c r="AY796" s="1" t="s">
        <v>74</v>
      </c>
      <c r="AZ796" s="1" t="s">
        <v>74</v>
      </c>
      <c r="BA796" s="1" t="s">
        <v>74</v>
      </c>
      <c r="BB796" s="1" t="s">
        <v>74</v>
      </c>
      <c r="BC796" s="1" t="s">
        <v>74</v>
      </c>
      <c r="BD796" s="1" t="s">
        <v>74</v>
      </c>
      <c r="BE796" s="1" t="s">
        <v>74</v>
      </c>
      <c r="BF796" s="1" t="s">
        <v>74</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6652</v>
      </c>
      <c r="BT796" s="1" t="str">
        <f>HYPERLINK("https%3A%2F%2Fwww.webofscience.com%2Fwos%2Fwoscc%2Ffull-record%2FWOS:000425925000054","View Full Record in Web of Science")</f>
        <v>View Full Record in Web of Science</v>
      </c>
    </row>
    <row r="797" ht="12.75" customHeight="1">
      <c r="A797" s="1" t="s">
        <v>105</v>
      </c>
      <c r="B797" s="1" t="s">
        <v>374</v>
      </c>
      <c r="C797" s="1" t="s">
        <v>3842</v>
      </c>
      <c r="D797" s="1" t="s">
        <v>74</v>
      </c>
      <c r="E797" s="1" t="s">
        <v>74</v>
      </c>
      <c r="F797" s="1" t="s">
        <v>375</v>
      </c>
      <c r="G797" s="1" t="s">
        <v>3842</v>
      </c>
      <c r="H797" s="1" t="s">
        <v>74</v>
      </c>
      <c r="I797" s="1" t="s">
        <v>6653</v>
      </c>
      <c r="J797" s="1" t="s">
        <v>3844</v>
      </c>
      <c r="K797" s="1" t="s">
        <v>3845</v>
      </c>
      <c r="L797" s="1" t="s">
        <v>74</v>
      </c>
      <c r="M797" s="1" t="s">
        <v>74</v>
      </c>
      <c r="N797" s="1" t="s">
        <v>74</v>
      </c>
      <c r="O797" s="1" t="s">
        <v>74</v>
      </c>
      <c r="P797" s="1" t="s">
        <v>74</v>
      </c>
      <c r="Q797" s="1" t="s">
        <v>74</v>
      </c>
      <c r="R797" s="1" t="s">
        <v>74</v>
      </c>
      <c r="S797" s="1" t="s">
        <v>74</v>
      </c>
      <c r="T797" s="1" t="s">
        <v>74</v>
      </c>
      <c r="U797" s="1" t="s">
        <v>74</v>
      </c>
      <c r="V797" s="1" t="s">
        <v>74</v>
      </c>
      <c r="W797" s="1" t="s">
        <v>74</v>
      </c>
      <c r="X797" s="1" t="s">
        <v>74</v>
      </c>
      <c r="Y797" s="1" t="s">
        <v>74</v>
      </c>
      <c r="Z797" s="1" t="s">
        <v>74</v>
      </c>
      <c r="AA797" s="1" t="s">
        <v>379</v>
      </c>
      <c r="AB797" s="1" t="s">
        <v>74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74</v>
      </c>
      <c r="AP797" s="1" t="s">
        <v>74</v>
      </c>
      <c r="AQ797" s="1" t="s">
        <v>3846</v>
      </c>
      <c r="AR797" s="1" t="s">
        <v>74</v>
      </c>
      <c r="AS797" s="1" t="s">
        <v>74</v>
      </c>
      <c r="AT797" s="1" t="s">
        <v>74</v>
      </c>
      <c r="AU797" s="1">
        <v>2016.0</v>
      </c>
      <c r="AV797" s="1" t="s">
        <v>74</v>
      </c>
      <c r="AW797" s="1" t="s">
        <v>74</v>
      </c>
      <c r="AX797" s="1" t="s">
        <v>74</v>
      </c>
      <c r="AY797" s="1" t="s">
        <v>74</v>
      </c>
      <c r="AZ797" s="1" t="s">
        <v>74</v>
      </c>
      <c r="BA797" s="1" t="s">
        <v>74</v>
      </c>
      <c r="BB797" s="1">
        <v>55.0</v>
      </c>
      <c r="BC797" s="1">
        <v>78.0</v>
      </c>
      <c r="BD797" s="1" t="s">
        <v>74</v>
      </c>
      <c r="BE797" s="1" t="s">
        <v>74</v>
      </c>
      <c r="BF797" s="1" t="s">
        <v>74</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6654</v>
      </c>
      <c r="BT797" s="1" t="str">
        <f>HYPERLINK("https%3A%2F%2Fwww.webofscience.com%2Fwos%2Fwoscc%2Ffull-record%2FWOS:000458913900004","View Full Record in Web of Science")</f>
        <v>View Full Record in Web of Science</v>
      </c>
    </row>
    <row r="798" ht="12.75" customHeight="1">
      <c r="A798" s="1" t="s">
        <v>126</v>
      </c>
      <c r="B798" s="1" t="s">
        <v>6655</v>
      </c>
      <c r="C798" s="1" t="s">
        <v>74</v>
      </c>
      <c r="D798" s="1" t="s">
        <v>350</v>
      </c>
      <c r="E798" s="1" t="s">
        <v>74</v>
      </c>
      <c r="F798" s="1" t="s">
        <v>6656</v>
      </c>
      <c r="G798" s="1" t="s">
        <v>74</v>
      </c>
      <c r="H798" s="1" t="s">
        <v>74</v>
      </c>
      <c r="I798" s="1" t="s">
        <v>6657</v>
      </c>
      <c r="J798" s="1" t="s">
        <v>1361</v>
      </c>
      <c r="K798" s="1" t="s">
        <v>1362</v>
      </c>
      <c r="L798" s="1" t="s">
        <v>74</v>
      </c>
      <c r="M798" s="1" t="s">
        <v>74</v>
      </c>
      <c r="N798" s="1" t="s">
        <v>74</v>
      </c>
      <c r="O798" s="1" t="s">
        <v>1363</v>
      </c>
      <c r="P798" s="1" t="s">
        <v>1364</v>
      </c>
      <c r="Q798" s="1" t="s">
        <v>1365</v>
      </c>
      <c r="R798" s="1" t="s">
        <v>74</v>
      </c>
      <c r="S798" s="1" t="s">
        <v>74</v>
      </c>
      <c r="T798" s="1" t="s">
        <v>74</v>
      </c>
      <c r="U798" s="1" t="s">
        <v>74</v>
      </c>
      <c r="V798" s="1" t="s">
        <v>6658</v>
      </c>
      <c r="W798" s="1" t="s">
        <v>74</v>
      </c>
      <c r="X798" s="1" t="s">
        <v>74</v>
      </c>
      <c r="Y798" s="1" t="s">
        <v>74</v>
      </c>
      <c r="Z798" s="1" t="s">
        <v>74</v>
      </c>
      <c r="AA798" s="1" t="s">
        <v>1367</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1368</v>
      </c>
      <c r="AP798" s="1" t="s">
        <v>74</v>
      </c>
      <c r="AQ798" s="1" t="s">
        <v>1369</v>
      </c>
      <c r="AR798" s="1" t="s">
        <v>74</v>
      </c>
      <c r="AS798" s="1" t="s">
        <v>74</v>
      </c>
      <c r="AT798" s="1" t="s">
        <v>74</v>
      </c>
      <c r="AU798" s="1">
        <v>2015.0</v>
      </c>
      <c r="AV798" s="1" t="s">
        <v>74</v>
      </c>
      <c r="AW798" s="1" t="s">
        <v>74</v>
      </c>
      <c r="AX798" s="1" t="s">
        <v>74</v>
      </c>
      <c r="AY798" s="1" t="s">
        <v>74</v>
      </c>
      <c r="AZ798" s="1" t="s">
        <v>74</v>
      </c>
      <c r="BA798" s="1" t="s">
        <v>74</v>
      </c>
      <c r="BB798" s="1">
        <v>42.0</v>
      </c>
      <c r="BC798" s="1">
        <v>48.0</v>
      </c>
      <c r="BD798" s="1" t="s">
        <v>74</v>
      </c>
      <c r="BE798" s="1" t="s">
        <v>74</v>
      </c>
      <c r="BF798" s="1" t="s">
        <v>74</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6659</v>
      </c>
      <c r="BT798" s="1" t="str">
        <f>HYPERLINK("https%3A%2F%2Fwww.webofscience.com%2Fwos%2Fwoscc%2Ffull-record%2FWOS:000398586300008","View Full Record in Web of Science")</f>
        <v>View Full Record in Web of Science</v>
      </c>
    </row>
    <row r="799" ht="12.75" customHeight="1">
      <c r="A799" s="1" t="s">
        <v>72</v>
      </c>
      <c r="B799" s="1" t="s">
        <v>6660</v>
      </c>
      <c r="C799" s="1" t="s">
        <v>74</v>
      </c>
      <c r="D799" s="1" t="s">
        <v>74</v>
      </c>
      <c r="E799" s="1" t="s">
        <v>74</v>
      </c>
      <c r="F799" s="1" t="s">
        <v>6661</v>
      </c>
      <c r="G799" s="1" t="s">
        <v>74</v>
      </c>
      <c r="H799" s="1" t="s">
        <v>74</v>
      </c>
      <c r="I799" s="1" t="s">
        <v>6662</v>
      </c>
      <c r="J799" s="1" t="s">
        <v>6663</v>
      </c>
      <c r="K799" s="1" t="s">
        <v>74</v>
      </c>
      <c r="L799" s="1" t="s">
        <v>74</v>
      </c>
      <c r="M799" s="1" t="s">
        <v>74</v>
      </c>
      <c r="N799" s="1" t="s">
        <v>74</v>
      </c>
      <c r="O799" s="1" t="s">
        <v>74</v>
      </c>
      <c r="P799" s="1" t="s">
        <v>74</v>
      </c>
      <c r="Q799" s="1" t="s">
        <v>74</v>
      </c>
      <c r="R799" s="1" t="s">
        <v>74</v>
      </c>
      <c r="S799" s="1" t="s">
        <v>74</v>
      </c>
      <c r="T799" s="1" t="s">
        <v>74</v>
      </c>
      <c r="U799" s="1" t="s">
        <v>74</v>
      </c>
      <c r="V799" s="1" t="s">
        <v>6664</v>
      </c>
      <c r="W799" s="1" t="s">
        <v>74</v>
      </c>
      <c r="X799" s="1" t="s">
        <v>74</v>
      </c>
      <c r="Y799" s="1" t="s">
        <v>74</v>
      </c>
      <c r="Z799" s="1" t="s">
        <v>74</v>
      </c>
      <c r="AA799" s="1" t="s">
        <v>74</v>
      </c>
      <c r="AB799" s="1" t="s">
        <v>74</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6665</v>
      </c>
      <c r="AP799" s="1" t="s">
        <v>6666</v>
      </c>
      <c r="AQ799" s="1" t="s">
        <v>74</v>
      </c>
      <c r="AR799" s="1" t="s">
        <v>74</v>
      </c>
      <c r="AS799" s="1" t="s">
        <v>74</v>
      </c>
      <c r="AT799" s="1" t="s">
        <v>2208</v>
      </c>
      <c r="AU799" s="1">
        <v>2015.0</v>
      </c>
      <c r="AV799" s="1" t="s">
        <v>74</v>
      </c>
      <c r="AW799" s="1">
        <v>51.0</v>
      </c>
      <c r="AX799" s="1" t="s">
        <v>74</v>
      </c>
      <c r="AY799" s="1" t="s">
        <v>74</v>
      </c>
      <c r="AZ799" s="1" t="s">
        <v>74</v>
      </c>
      <c r="BA799" s="1" t="s">
        <v>74</v>
      </c>
      <c r="BB799" s="1">
        <v>36.0</v>
      </c>
      <c r="BC799" s="1">
        <v>49.0</v>
      </c>
      <c r="BD799" s="1" t="s">
        <v>74</v>
      </c>
      <c r="BE799" s="1" t="s">
        <v>6667</v>
      </c>
      <c r="BF799" s="2" t="str">
        <f>HYPERLINK("http://dx.doi.org/10.7440/res51.2015.03","http://dx.doi.org/10.7440/res51.2015.03")</f>
        <v>http://dx.doi.org/10.7440/res51.2015.03</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6668</v>
      </c>
      <c r="BT799" s="1" t="str">
        <f>HYPERLINK("https%3A%2F%2Fwww.webofscience.com%2Fwos%2Fwoscc%2Ffull-record%2FWOS:000350514500004","View Full Record in Web of Science")</f>
        <v>View Full Record in Web of Science</v>
      </c>
    </row>
    <row r="800" ht="12.75" customHeight="1">
      <c r="A800" s="1" t="s">
        <v>126</v>
      </c>
      <c r="B800" s="1" t="s">
        <v>6669</v>
      </c>
      <c r="C800" s="1" t="s">
        <v>74</v>
      </c>
      <c r="D800" s="1" t="s">
        <v>4543</v>
      </c>
      <c r="E800" s="1" t="s">
        <v>74</v>
      </c>
      <c r="F800" s="1" t="s">
        <v>6670</v>
      </c>
      <c r="G800" s="1" t="s">
        <v>74</v>
      </c>
      <c r="H800" s="1" t="s">
        <v>74</v>
      </c>
      <c r="I800" s="1" t="s">
        <v>6671</v>
      </c>
      <c r="J800" s="1" t="s">
        <v>4546</v>
      </c>
      <c r="K800" s="1" t="s">
        <v>74</v>
      </c>
      <c r="L800" s="1" t="s">
        <v>74</v>
      </c>
      <c r="M800" s="1" t="s">
        <v>74</v>
      </c>
      <c r="N800" s="1" t="s">
        <v>74</v>
      </c>
      <c r="O800" s="1" t="s">
        <v>3782</v>
      </c>
      <c r="P800" s="1" t="s">
        <v>4547</v>
      </c>
      <c r="Q800" s="1" t="s">
        <v>4548</v>
      </c>
      <c r="R800" s="1" t="s">
        <v>4549</v>
      </c>
      <c r="S800" s="1" t="s">
        <v>74</v>
      </c>
      <c r="T800" s="1" t="s">
        <v>74</v>
      </c>
      <c r="U800" s="1" t="s">
        <v>74</v>
      </c>
      <c r="V800" s="1" t="s">
        <v>6672</v>
      </c>
      <c r="W800" s="1" t="s">
        <v>74</v>
      </c>
      <c r="X800" s="1" t="s">
        <v>74</v>
      </c>
      <c r="Y800" s="1" t="s">
        <v>74</v>
      </c>
      <c r="Z800" s="1" t="s">
        <v>74</v>
      </c>
      <c r="AA800" s="1" t="s">
        <v>74</v>
      </c>
      <c r="AB800" s="1" t="s">
        <v>74</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74</v>
      </c>
      <c r="AP800" s="1" t="s">
        <v>74</v>
      </c>
      <c r="AQ800" s="1" t="s">
        <v>4552</v>
      </c>
      <c r="AR800" s="1" t="s">
        <v>74</v>
      </c>
      <c r="AS800" s="1" t="s">
        <v>74</v>
      </c>
      <c r="AT800" s="1" t="s">
        <v>74</v>
      </c>
      <c r="AU800" s="1">
        <v>2015.0</v>
      </c>
      <c r="AV800" s="1" t="s">
        <v>74</v>
      </c>
      <c r="AW800" s="1" t="s">
        <v>74</v>
      </c>
      <c r="AX800" s="1" t="s">
        <v>74</v>
      </c>
      <c r="AY800" s="1" t="s">
        <v>74</v>
      </c>
      <c r="AZ800" s="1" t="s">
        <v>74</v>
      </c>
      <c r="BA800" s="1" t="s">
        <v>74</v>
      </c>
      <c r="BB800" s="1">
        <v>621.0</v>
      </c>
      <c r="BC800" s="1">
        <v>627.0</v>
      </c>
      <c r="BD800" s="1" t="s">
        <v>74</v>
      </c>
      <c r="BE800" s="1" t="s">
        <v>74</v>
      </c>
      <c r="BF800" s="1" t="s">
        <v>74</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6673</v>
      </c>
      <c r="BT800" s="1" t="str">
        <f>HYPERLINK("https%3A%2F%2Fwww.webofscience.com%2Fwos%2Fwoscc%2Ffull-record%2FWOS:000380551100101","View Full Record in Web of Science")</f>
        <v>View Full Record in Web of Science</v>
      </c>
    </row>
    <row r="801" ht="12.75" customHeight="1">
      <c r="A801" s="1" t="s">
        <v>126</v>
      </c>
      <c r="B801" s="1" t="s">
        <v>6674</v>
      </c>
      <c r="C801" s="1" t="s">
        <v>74</v>
      </c>
      <c r="D801" s="1" t="s">
        <v>4543</v>
      </c>
      <c r="E801" s="1" t="s">
        <v>74</v>
      </c>
      <c r="F801" s="1" t="s">
        <v>6675</v>
      </c>
      <c r="G801" s="1" t="s">
        <v>74</v>
      </c>
      <c r="H801" s="1" t="s">
        <v>74</v>
      </c>
      <c r="I801" s="1" t="s">
        <v>6676</v>
      </c>
      <c r="J801" s="1" t="s">
        <v>5185</v>
      </c>
      <c r="K801" s="1" t="s">
        <v>74</v>
      </c>
      <c r="L801" s="1" t="s">
        <v>74</v>
      </c>
      <c r="M801" s="1" t="s">
        <v>74</v>
      </c>
      <c r="N801" s="1" t="s">
        <v>74</v>
      </c>
      <c r="O801" s="1" t="s">
        <v>3782</v>
      </c>
      <c r="P801" s="1" t="s">
        <v>4547</v>
      </c>
      <c r="Q801" s="1" t="s">
        <v>4548</v>
      </c>
      <c r="R801" s="1" t="s">
        <v>4549</v>
      </c>
      <c r="S801" s="1" t="s">
        <v>74</v>
      </c>
      <c r="T801" s="1" t="s">
        <v>74</v>
      </c>
      <c r="U801" s="1" t="s">
        <v>74</v>
      </c>
      <c r="V801" s="1" t="s">
        <v>6677</v>
      </c>
      <c r="W801" s="1" t="s">
        <v>74</v>
      </c>
      <c r="X801" s="1" t="s">
        <v>74</v>
      </c>
      <c r="Y801" s="1" t="s">
        <v>74</v>
      </c>
      <c r="Z801" s="1" t="s">
        <v>74</v>
      </c>
      <c r="AA801" s="1" t="s">
        <v>6678</v>
      </c>
      <c r="AB801" s="1" t="s">
        <v>74</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74</v>
      </c>
      <c r="AP801" s="1" t="s">
        <v>74</v>
      </c>
      <c r="AQ801" s="1" t="s">
        <v>4552</v>
      </c>
      <c r="AR801" s="1" t="s">
        <v>74</v>
      </c>
      <c r="AS801" s="1" t="s">
        <v>74</v>
      </c>
      <c r="AT801" s="1" t="s">
        <v>74</v>
      </c>
      <c r="AU801" s="1">
        <v>2015.0</v>
      </c>
      <c r="AV801" s="1" t="s">
        <v>74</v>
      </c>
      <c r="AW801" s="1" t="s">
        <v>74</v>
      </c>
      <c r="AX801" s="1" t="s">
        <v>74</v>
      </c>
      <c r="AY801" s="1" t="s">
        <v>74</v>
      </c>
      <c r="AZ801" s="1" t="s">
        <v>74</v>
      </c>
      <c r="BA801" s="1" t="s">
        <v>74</v>
      </c>
      <c r="BB801" s="1">
        <v>847.0</v>
      </c>
      <c r="BC801" s="1">
        <v>853.0</v>
      </c>
      <c r="BD801" s="1" t="s">
        <v>74</v>
      </c>
      <c r="BE801" s="1" t="s">
        <v>74</v>
      </c>
      <c r="BF801" s="1" t="s">
        <v>74</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6679</v>
      </c>
      <c r="BT801" s="1" t="str">
        <f>HYPERLINK("https%3A%2F%2Fwww.webofscience.com%2Fwos%2Fwoscc%2Ffull-record%2FWOS:000380551100137","View Full Record in Web of Science")</f>
        <v>View Full Record in Web of Science</v>
      </c>
    </row>
    <row r="802" ht="12.75" customHeight="1">
      <c r="A802" s="1" t="s">
        <v>126</v>
      </c>
      <c r="B802" s="1" t="s">
        <v>6680</v>
      </c>
      <c r="C802" s="1" t="s">
        <v>74</v>
      </c>
      <c r="D802" s="1" t="s">
        <v>6681</v>
      </c>
      <c r="E802" s="1" t="s">
        <v>74</v>
      </c>
      <c r="F802" s="1" t="s">
        <v>6682</v>
      </c>
      <c r="G802" s="1" t="s">
        <v>74</v>
      </c>
      <c r="H802" s="1" t="s">
        <v>74</v>
      </c>
      <c r="I802" s="1" t="s">
        <v>6683</v>
      </c>
      <c r="J802" s="1" t="s">
        <v>6684</v>
      </c>
      <c r="K802" s="1" t="s">
        <v>6685</v>
      </c>
      <c r="L802" s="1" t="s">
        <v>74</v>
      </c>
      <c r="M802" s="1" t="s">
        <v>74</v>
      </c>
      <c r="N802" s="1" t="s">
        <v>74</v>
      </c>
      <c r="O802" s="1" t="s">
        <v>6686</v>
      </c>
      <c r="P802" s="1" t="s">
        <v>6687</v>
      </c>
      <c r="Q802" s="1" t="s">
        <v>6688</v>
      </c>
      <c r="R802" s="1" t="s">
        <v>74</v>
      </c>
      <c r="S802" s="1" t="s">
        <v>74</v>
      </c>
      <c r="T802" s="1" t="s">
        <v>74</v>
      </c>
      <c r="U802" s="1" t="s">
        <v>74</v>
      </c>
      <c r="V802" s="1" t="s">
        <v>6689</v>
      </c>
      <c r="W802" s="1" t="s">
        <v>74</v>
      </c>
      <c r="X802" s="1" t="s">
        <v>74</v>
      </c>
      <c r="Y802" s="1" t="s">
        <v>74</v>
      </c>
      <c r="Z802" s="1" t="s">
        <v>74</v>
      </c>
      <c r="AA802" s="1" t="s">
        <v>74</v>
      </c>
      <c r="AB802" s="1" t="s">
        <v>74</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6690</v>
      </c>
      <c r="AP802" s="1" t="s">
        <v>74</v>
      </c>
      <c r="AQ802" s="1" t="s">
        <v>6691</v>
      </c>
      <c r="AR802" s="1" t="s">
        <v>74</v>
      </c>
      <c r="AS802" s="1" t="s">
        <v>74</v>
      </c>
      <c r="AT802" s="1" t="s">
        <v>74</v>
      </c>
      <c r="AU802" s="1">
        <v>2015.0</v>
      </c>
      <c r="AV802" s="1">
        <v>43.0</v>
      </c>
      <c r="AW802" s="1" t="s">
        <v>74</v>
      </c>
      <c r="AX802" s="1" t="s">
        <v>74</v>
      </c>
      <c r="AY802" s="1" t="s">
        <v>74</v>
      </c>
      <c r="AZ802" s="1" t="s">
        <v>74</v>
      </c>
      <c r="BA802" s="1" t="s">
        <v>74</v>
      </c>
      <c r="BB802" s="1">
        <v>139.0</v>
      </c>
      <c r="BC802" s="1">
        <v>144.0</v>
      </c>
      <c r="BD802" s="1" t="s">
        <v>74</v>
      </c>
      <c r="BE802" s="1" t="s">
        <v>6692</v>
      </c>
      <c r="BF802" s="2" t="str">
        <f>HYPERLINK("http://dx.doi.org/10.3303/CET1543024","http://dx.doi.org/10.3303/CET1543024")</f>
        <v>http://dx.doi.org/10.3303/CET1543024</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6693</v>
      </c>
      <c r="BT802" s="1" t="str">
        <f>HYPERLINK("https%3A%2F%2Fwww.webofscience.com%2Fwos%2Fwoscc%2Ffull-record%2FWOS:000365994200024","View Full Record in Web of Science")</f>
        <v>View Full Record in Web of Science</v>
      </c>
    </row>
    <row r="803" ht="12.75" customHeight="1">
      <c r="A803" s="1" t="s">
        <v>126</v>
      </c>
      <c r="B803" s="1" t="s">
        <v>6694</v>
      </c>
      <c r="C803" s="1" t="s">
        <v>74</v>
      </c>
      <c r="D803" s="1" t="s">
        <v>6695</v>
      </c>
      <c r="E803" s="1" t="s">
        <v>74</v>
      </c>
      <c r="F803" s="1" t="s">
        <v>6696</v>
      </c>
      <c r="G803" s="1" t="s">
        <v>74</v>
      </c>
      <c r="H803" s="1" t="s">
        <v>74</v>
      </c>
      <c r="I803" s="1" t="s">
        <v>6697</v>
      </c>
      <c r="J803" s="1" t="s">
        <v>6698</v>
      </c>
      <c r="K803" s="1" t="s">
        <v>354</v>
      </c>
      <c r="L803" s="1" t="s">
        <v>74</v>
      </c>
      <c r="M803" s="1" t="s">
        <v>74</v>
      </c>
      <c r="N803" s="1" t="s">
        <v>74</v>
      </c>
      <c r="O803" s="1" t="s">
        <v>6699</v>
      </c>
      <c r="P803" s="1" t="s">
        <v>6700</v>
      </c>
      <c r="Q803" s="1" t="s">
        <v>357</v>
      </c>
      <c r="R803" s="1" t="s">
        <v>74</v>
      </c>
      <c r="S803" s="1" t="s">
        <v>74</v>
      </c>
      <c r="T803" s="1" t="s">
        <v>74</v>
      </c>
      <c r="U803" s="1" t="s">
        <v>74</v>
      </c>
      <c r="V803" s="1" t="s">
        <v>6701</v>
      </c>
      <c r="W803" s="1" t="s">
        <v>74</v>
      </c>
      <c r="X803" s="1" t="s">
        <v>74</v>
      </c>
      <c r="Y803" s="1" t="s">
        <v>74</v>
      </c>
      <c r="Z803" s="1" t="s">
        <v>74</v>
      </c>
      <c r="AA803" s="1" t="s">
        <v>1367</v>
      </c>
      <c r="AB803" s="1" t="s">
        <v>74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359</v>
      </c>
      <c r="AP803" s="1" t="s">
        <v>74</v>
      </c>
      <c r="AQ803" s="1" t="s">
        <v>6702</v>
      </c>
      <c r="AR803" s="1" t="s">
        <v>74</v>
      </c>
      <c r="AS803" s="1" t="s">
        <v>74</v>
      </c>
      <c r="AT803" s="1" t="s">
        <v>74</v>
      </c>
      <c r="AU803" s="1">
        <v>2015.0</v>
      </c>
      <c r="AV803" s="1" t="s">
        <v>74</v>
      </c>
      <c r="AW803" s="1" t="s">
        <v>74</v>
      </c>
      <c r="AX803" s="1" t="s">
        <v>74</v>
      </c>
      <c r="AY803" s="1" t="s">
        <v>74</v>
      </c>
      <c r="AZ803" s="1" t="s">
        <v>74</v>
      </c>
      <c r="BA803" s="1" t="s">
        <v>74</v>
      </c>
      <c r="BB803" s="1">
        <v>5008.0</v>
      </c>
      <c r="BC803" s="1">
        <v>5015.0</v>
      </c>
      <c r="BD803" s="1" t="s">
        <v>74</v>
      </c>
      <c r="BE803" s="1" t="s">
        <v>74</v>
      </c>
      <c r="BF803" s="1" t="s">
        <v>74</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6703</v>
      </c>
      <c r="BT803" s="1" t="str">
        <f>HYPERLINK("https%3A%2F%2Fwww.webofscience.com%2Fwos%2Fwoscc%2Ffull-record%2FWOS:000376685705010","View Full Record in Web of Science")</f>
        <v>View Full Record in Web of Science</v>
      </c>
    </row>
    <row r="804" ht="12.75" customHeight="1">
      <c r="A804" s="1" t="s">
        <v>72</v>
      </c>
      <c r="B804" s="1" t="s">
        <v>5890</v>
      </c>
      <c r="C804" s="1" t="s">
        <v>74</v>
      </c>
      <c r="D804" s="1" t="s">
        <v>74</v>
      </c>
      <c r="E804" s="1" t="s">
        <v>74</v>
      </c>
      <c r="F804" s="1" t="s">
        <v>5891</v>
      </c>
      <c r="G804" s="1" t="s">
        <v>74</v>
      </c>
      <c r="H804" s="1" t="s">
        <v>74</v>
      </c>
      <c r="I804" s="1" t="s">
        <v>6704</v>
      </c>
      <c r="J804" s="1" t="s">
        <v>574</v>
      </c>
      <c r="K804" s="1" t="s">
        <v>74</v>
      </c>
      <c r="L804" s="1" t="s">
        <v>74</v>
      </c>
      <c r="M804" s="1" t="s">
        <v>74</v>
      </c>
      <c r="N804" s="1" t="s">
        <v>74</v>
      </c>
      <c r="O804" s="1" t="s">
        <v>74</v>
      </c>
      <c r="P804" s="1" t="s">
        <v>74</v>
      </c>
      <c r="Q804" s="1" t="s">
        <v>74</v>
      </c>
      <c r="R804" s="1" t="s">
        <v>74</v>
      </c>
      <c r="S804" s="1" t="s">
        <v>74</v>
      </c>
      <c r="T804" s="1" t="s">
        <v>74</v>
      </c>
      <c r="U804" s="1" t="s">
        <v>74</v>
      </c>
      <c r="V804" s="1" t="s">
        <v>6705</v>
      </c>
      <c r="W804" s="1" t="s">
        <v>74</v>
      </c>
      <c r="X804" s="1" t="s">
        <v>74</v>
      </c>
      <c r="Y804" s="1" t="s">
        <v>74</v>
      </c>
      <c r="Z804" s="1" t="s">
        <v>74</v>
      </c>
      <c r="AA804" s="1" t="s">
        <v>5894</v>
      </c>
      <c r="AB804" s="1" t="s">
        <v>5895</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1748</v>
      </c>
      <c r="AP804" s="1" t="s">
        <v>1749</v>
      </c>
      <c r="AQ804" s="1" t="s">
        <v>74</v>
      </c>
      <c r="AR804" s="1" t="s">
        <v>74</v>
      </c>
      <c r="AS804" s="1" t="s">
        <v>74</v>
      </c>
      <c r="AT804" s="1" t="s">
        <v>6706</v>
      </c>
      <c r="AU804" s="1">
        <v>2014.0</v>
      </c>
      <c r="AV804" s="1">
        <v>90.0</v>
      </c>
      <c r="AW804" s="1">
        <v>2.0</v>
      </c>
      <c r="AX804" s="1" t="s">
        <v>74</v>
      </c>
      <c r="AY804" s="1" t="s">
        <v>74</v>
      </c>
      <c r="AZ804" s="1" t="s">
        <v>74</v>
      </c>
      <c r="BA804" s="1" t="s">
        <v>74</v>
      </c>
      <c r="BB804" s="1" t="s">
        <v>74</v>
      </c>
      <c r="BC804" s="1" t="s">
        <v>74</v>
      </c>
      <c r="BD804" s="1">
        <v>25008.0</v>
      </c>
      <c r="BE804" s="1" t="s">
        <v>6707</v>
      </c>
      <c r="BF804" s="2" t="str">
        <f>HYPERLINK("http://dx.doi.org/10.1103/PhysRevD.90.025008","http://dx.doi.org/10.1103/PhysRevD.90.025008")</f>
        <v>http://dx.doi.org/10.1103/PhysRevD.90.025008</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6708</v>
      </c>
      <c r="BT804" s="1" t="str">
        <f>HYPERLINK("https%3A%2F%2Fwww.webofscience.com%2Fwos%2Fwoscc%2Ffull-record%2FWOS:000339067400017","View Full Record in Web of Science")</f>
        <v>View Full Record in Web of Science</v>
      </c>
    </row>
    <row r="805" ht="12.75" customHeight="1">
      <c r="A805" s="1" t="s">
        <v>72</v>
      </c>
      <c r="B805" s="1" t="s">
        <v>2650</v>
      </c>
      <c r="C805" s="1" t="s">
        <v>74</v>
      </c>
      <c r="D805" s="1" t="s">
        <v>74</v>
      </c>
      <c r="E805" s="1" t="s">
        <v>74</v>
      </c>
      <c r="F805" s="1" t="s">
        <v>2651</v>
      </c>
      <c r="G805" s="1" t="s">
        <v>74</v>
      </c>
      <c r="H805" s="1" t="s">
        <v>74</v>
      </c>
      <c r="I805" s="1" t="s">
        <v>6709</v>
      </c>
      <c r="J805" s="1" t="s">
        <v>2196</v>
      </c>
      <c r="K805" s="1" t="s">
        <v>74</v>
      </c>
      <c r="L805" s="1" t="s">
        <v>74</v>
      </c>
      <c r="M805" s="1" t="s">
        <v>74</v>
      </c>
      <c r="N805" s="1" t="s">
        <v>74</v>
      </c>
      <c r="O805" s="1" t="s">
        <v>74</v>
      </c>
      <c r="P805" s="1" t="s">
        <v>74</v>
      </c>
      <c r="Q805" s="1" t="s">
        <v>74</v>
      </c>
      <c r="R805" s="1" t="s">
        <v>74</v>
      </c>
      <c r="S805" s="1" t="s">
        <v>74</v>
      </c>
      <c r="T805" s="1" t="s">
        <v>74</v>
      </c>
      <c r="U805" s="1" t="s">
        <v>74</v>
      </c>
      <c r="V805" s="1" t="s">
        <v>74</v>
      </c>
      <c r="W805" s="1" t="s">
        <v>74</v>
      </c>
      <c r="X805" s="1" t="s">
        <v>74</v>
      </c>
      <c r="Y805" s="1" t="s">
        <v>74</v>
      </c>
      <c r="Z805" s="1" t="s">
        <v>74</v>
      </c>
      <c r="AA805" s="1" t="s">
        <v>74</v>
      </c>
      <c r="AB805" s="1" t="s">
        <v>74</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2197</v>
      </c>
      <c r="AP805" s="1" t="s">
        <v>74</v>
      </c>
      <c r="AQ805" s="1" t="s">
        <v>74</v>
      </c>
      <c r="AR805" s="1" t="s">
        <v>74</v>
      </c>
      <c r="AS805" s="1" t="s">
        <v>74</v>
      </c>
      <c r="AT805" s="1" t="s">
        <v>193</v>
      </c>
      <c r="AU805" s="1">
        <v>2014.0</v>
      </c>
      <c r="AV805" s="1" t="s">
        <v>74</v>
      </c>
      <c r="AW805" s="1">
        <v>86.0</v>
      </c>
      <c r="AX805" s="1" t="s">
        <v>74</v>
      </c>
      <c r="AY805" s="1" t="s">
        <v>74</v>
      </c>
      <c r="AZ805" s="1" t="s">
        <v>74</v>
      </c>
      <c r="BA805" s="1" t="s">
        <v>74</v>
      </c>
      <c r="BB805" s="1">
        <v>281.0</v>
      </c>
      <c r="BC805" s="1">
        <v>283.0</v>
      </c>
      <c r="BD805" s="1" t="s">
        <v>74</v>
      </c>
      <c r="BE805" s="1" t="s">
        <v>6710</v>
      </c>
      <c r="BF805" s="2" t="str">
        <f>HYPERLINK("http://dx.doi.org/10.4067/S0718-22952014000100018","http://dx.doi.org/10.4067/S0718-22952014000100018")</f>
        <v>http://dx.doi.org/10.4067/S0718-22952014000100018</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6711</v>
      </c>
      <c r="BT805" s="1" t="str">
        <f>HYPERLINK("https%3A%2F%2Fwww.webofscience.com%2Fwos%2Fwoscc%2Ffull-record%2FWOS:000348509700018","View Full Record in Web of Science")</f>
        <v>View Full Record in Web of Science</v>
      </c>
    </row>
    <row r="806" ht="12.75" customHeight="1">
      <c r="A806" s="1" t="s">
        <v>72</v>
      </c>
      <c r="B806" s="1" t="s">
        <v>3492</v>
      </c>
      <c r="C806" s="1" t="s">
        <v>74</v>
      </c>
      <c r="D806" s="1" t="s">
        <v>74</v>
      </c>
      <c r="E806" s="1" t="s">
        <v>74</v>
      </c>
      <c r="F806" s="1" t="s">
        <v>3493</v>
      </c>
      <c r="G806" s="1" t="s">
        <v>74</v>
      </c>
      <c r="H806" s="1" t="s">
        <v>74</v>
      </c>
      <c r="I806" s="1" t="s">
        <v>6712</v>
      </c>
      <c r="J806" s="1" t="s">
        <v>6713</v>
      </c>
      <c r="K806" s="1" t="s">
        <v>74</v>
      </c>
      <c r="L806" s="1" t="s">
        <v>74</v>
      </c>
      <c r="M806" s="1" t="s">
        <v>74</v>
      </c>
      <c r="N806" s="1" t="s">
        <v>74</v>
      </c>
      <c r="O806" s="1" t="s">
        <v>74</v>
      </c>
      <c r="P806" s="1" t="s">
        <v>74</v>
      </c>
      <c r="Q806" s="1" t="s">
        <v>74</v>
      </c>
      <c r="R806" s="1" t="s">
        <v>74</v>
      </c>
      <c r="S806" s="1" t="s">
        <v>74</v>
      </c>
      <c r="T806" s="1" t="s">
        <v>74</v>
      </c>
      <c r="U806" s="1" t="s">
        <v>74</v>
      </c>
      <c r="V806" s="1" t="s">
        <v>74</v>
      </c>
      <c r="W806" s="1" t="s">
        <v>74</v>
      </c>
      <c r="X806" s="1" t="s">
        <v>74</v>
      </c>
      <c r="Y806" s="1" t="s">
        <v>74</v>
      </c>
      <c r="Z806" s="1" t="s">
        <v>74</v>
      </c>
      <c r="AA806" s="1" t="s">
        <v>74</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6714</v>
      </c>
      <c r="AP806" s="1" t="s">
        <v>74</v>
      </c>
      <c r="AQ806" s="1" t="s">
        <v>74</v>
      </c>
      <c r="AR806" s="1" t="s">
        <v>74</v>
      </c>
      <c r="AS806" s="1" t="s">
        <v>74</v>
      </c>
      <c r="AT806" s="1" t="s">
        <v>1201</v>
      </c>
      <c r="AU806" s="1">
        <v>2014.0</v>
      </c>
      <c r="AV806" s="1">
        <v>2.0</v>
      </c>
      <c r="AW806" s="1">
        <v>2.0</v>
      </c>
      <c r="AX806" s="1" t="s">
        <v>74</v>
      </c>
      <c r="AY806" s="1" t="s">
        <v>74</v>
      </c>
      <c r="AZ806" s="1" t="s">
        <v>74</v>
      </c>
      <c r="BA806" s="1" t="s">
        <v>74</v>
      </c>
      <c r="BB806" s="1" t="s">
        <v>6715</v>
      </c>
      <c r="BC806" s="1" t="s">
        <v>6716</v>
      </c>
      <c r="BD806" s="1" t="s">
        <v>74</v>
      </c>
      <c r="BE806" s="1" t="s">
        <v>74</v>
      </c>
      <c r="BF806" s="1" t="s">
        <v>74</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6717</v>
      </c>
      <c r="BT806" s="1" t="str">
        <f>HYPERLINK("https%3A%2F%2Fwww.webofscience.com%2Fwos%2Fwoscc%2Ffull-record%2FWOS:000356465200002","View Full Record in Web of Science")</f>
        <v>View Full Record in Web of Science</v>
      </c>
    </row>
    <row r="807" ht="12.75" customHeight="1">
      <c r="A807" s="1" t="s">
        <v>72</v>
      </c>
      <c r="B807" s="1" t="s">
        <v>6718</v>
      </c>
      <c r="C807" s="1" t="s">
        <v>74</v>
      </c>
      <c r="D807" s="1" t="s">
        <v>74</v>
      </c>
      <c r="E807" s="1" t="s">
        <v>74</v>
      </c>
      <c r="F807" s="1" t="s">
        <v>6719</v>
      </c>
      <c r="G807" s="1" t="s">
        <v>74</v>
      </c>
      <c r="H807" s="1" t="s">
        <v>74</v>
      </c>
      <c r="I807" s="1" t="s">
        <v>6720</v>
      </c>
      <c r="J807" s="1" t="s">
        <v>6721</v>
      </c>
      <c r="K807" s="1" t="s">
        <v>74</v>
      </c>
      <c r="L807" s="1" t="s">
        <v>74</v>
      </c>
      <c r="M807" s="1" t="s">
        <v>74</v>
      </c>
      <c r="N807" s="1" t="s">
        <v>74</v>
      </c>
      <c r="O807" s="1" t="s">
        <v>74</v>
      </c>
      <c r="P807" s="1" t="s">
        <v>74</v>
      </c>
      <c r="Q807" s="1" t="s">
        <v>74</v>
      </c>
      <c r="R807" s="1" t="s">
        <v>74</v>
      </c>
      <c r="S807" s="1" t="s">
        <v>74</v>
      </c>
      <c r="T807" s="1" t="s">
        <v>74</v>
      </c>
      <c r="U807" s="1" t="s">
        <v>74</v>
      </c>
      <c r="V807" s="1" t="s">
        <v>6722</v>
      </c>
      <c r="W807" s="1" t="s">
        <v>74</v>
      </c>
      <c r="X807" s="1" t="s">
        <v>74</v>
      </c>
      <c r="Y807" s="1" t="s">
        <v>74</v>
      </c>
      <c r="Z807" s="1" t="s">
        <v>74</v>
      </c>
      <c r="AA807" s="1" t="s">
        <v>74</v>
      </c>
      <c r="AB807" s="1" t="s">
        <v>74</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6723</v>
      </c>
      <c r="AP807" s="1" t="s">
        <v>6724</v>
      </c>
      <c r="AQ807" s="1" t="s">
        <v>74</v>
      </c>
      <c r="AR807" s="1" t="s">
        <v>74</v>
      </c>
      <c r="AS807" s="1" t="s">
        <v>74</v>
      </c>
      <c r="AT807" s="1" t="s">
        <v>82</v>
      </c>
      <c r="AU807" s="1">
        <v>2013.0</v>
      </c>
      <c r="AV807" s="1">
        <v>54.0</v>
      </c>
      <c r="AW807" s="1">
        <v>6.0</v>
      </c>
      <c r="AX807" s="1" t="s">
        <v>74</v>
      </c>
      <c r="AY807" s="1" t="s">
        <v>74</v>
      </c>
      <c r="AZ807" s="1" t="s">
        <v>74</v>
      </c>
      <c r="BA807" s="1" t="s">
        <v>74</v>
      </c>
      <c r="BB807" s="1">
        <v>226.0</v>
      </c>
      <c r="BC807" s="1">
        <v>232.0</v>
      </c>
      <c r="BD807" s="1" t="s">
        <v>74</v>
      </c>
      <c r="BE807" s="1" t="s">
        <v>74</v>
      </c>
      <c r="BF807" s="1" t="s">
        <v>74</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6725</v>
      </c>
      <c r="BT807" s="1" t="str">
        <f>HYPERLINK("https%3A%2F%2Fwww.webofscience.com%2Fwos%2Fwoscc%2Ffull-record%2FWOS:000329686200003","View Full Record in Web of Science")</f>
        <v>View Full Record in Web of Science</v>
      </c>
    </row>
    <row r="808" ht="12.75" customHeight="1">
      <c r="A808" s="1" t="s">
        <v>72</v>
      </c>
      <c r="B808" s="1" t="s">
        <v>6726</v>
      </c>
      <c r="C808" s="1" t="s">
        <v>74</v>
      </c>
      <c r="D808" s="1" t="s">
        <v>74</v>
      </c>
      <c r="E808" s="1" t="s">
        <v>74</v>
      </c>
      <c r="F808" s="1" t="s">
        <v>6727</v>
      </c>
      <c r="G808" s="1" t="s">
        <v>74</v>
      </c>
      <c r="H808" s="1" t="s">
        <v>74</v>
      </c>
      <c r="I808" s="1" t="s">
        <v>6728</v>
      </c>
      <c r="J808" s="1" t="s">
        <v>6729</v>
      </c>
      <c r="K808" s="1" t="s">
        <v>74</v>
      </c>
      <c r="L808" s="1" t="s">
        <v>74</v>
      </c>
      <c r="M808" s="1" t="s">
        <v>74</v>
      </c>
      <c r="N808" s="1" t="s">
        <v>74</v>
      </c>
      <c r="O808" s="1" t="s">
        <v>74</v>
      </c>
      <c r="P808" s="1" t="s">
        <v>74</v>
      </c>
      <c r="Q808" s="1" t="s">
        <v>74</v>
      </c>
      <c r="R808" s="1" t="s">
        <v>74</v>
      </c>
      <c r="S808" s="1" t="s">
        <v>74</v>
      </c>
      <c r="T808" s="1" t="s">
        <v>74</v>
      </c>
      <c r="U808" s="1" t="s">
        <v>74</v>
      </c>
      <c r="V808" s="1" t="s">
        <v>6730</v>
      </c>
      <c r="W808" s="1" t="s">
        <v>74</v>
      </c>
      <c r="X808" s="1" t="s">
        <v>74</v>
      </c>
      <c r="Y808" s="1" t="s">
        <v>74</v>
      </c>
      <c r="Z808" s="1" t="s">
        <v>74</v>
      </c>
      <c r="AA808" s="1" t="s">
        <v>74</v>
      </c>
      <c r="AB808" s="1" t="s">
        <v>74</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6731</v>
      </c>
      <c r="AP808" s="1" t="s">
        <v>6732</v>
      </c>
      <c r="AQ808" s="1" t="s">
        <v>74</v>
      </c>
      <c r="AR808" s="1" t="s">
        <v>74</v>
      </c>
      <c r="AS808" s="1" t="s">
        <v>74</v>
      </c>
      <c r="AT808" s="1" t="s">
        <v>6733</v>
      </c>
      <c r="AU808" s="1">
        <v>2013.0</v>
      </c>
      <c r="AV808" s="1">
        <v>248.0</v>
      </c>
      <c r="AW808" s="1" t="s">
        <v>74</v>
      </c>
      <c r="AX808" s="1" t="s">
        <v>74</v>
      </c>
      <c r="AY808" s="1" t="s">
        <v>74</v>
      </c>
      <c r="AZ808" s="1" t="s">
        <v>74</v>
      </c>
      <c r="BA808" s="1" t="s">
        <v>74</v>
      </c>
      <c r="BB808" s="1">
        <v>872.0</v>
      </c>
      <c r="BC808" s="1">
        <v>894.0</v>
      </c>
      <c r="BD808" s="1" t="s">
        <v>74</v>
      </c>
      <c r="BE808" s="1" t="s">
        <v>6734</v>
      </c>
      <c r="BF808" s="2" t="str">
        <f>HYPERLINK("http://dx.doi.org/10.1016/j.aim.2013.07.020","http://dx.doi.org/10.1016/j.aim.2013.07.020")</f>
        <v>http://dx.doi.org/10.1016/j.aim.2013.07.020</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6735</v>
      </c>
      <c r="BT808" s="1" t="str">
        <f>HYPERLINK("https%3A%2F%2Fwww.webofscience.com%2Fwos%2Fwoscc%2Ffull-record%2FWOS:000325739900025","View Full Record in Web of Science")</f>
        <v>View Full Record in Web of Science</v>
      </c>
    </row>
    <row r="809" ht="12.75" customHeight="1">
      <c r="A809" s="1" t="s">
        <v>72</v>
      </c>
      <c r="B809" s="1" t="s">
        <v>269</v>
      </c>
      <c r="C809" s="1" t="s">
        <v>74</v>
      </c>
      <c r="D809" s="1" t="s">
        <v>74</v>
      </c>
      <c r="E809" s="1" t="s">
        <v>74</v>
      </c>
      <c r="F809" s="1" t="s">
        <v>270</v>
      </c>
      <c r="G809" s="1" t="s">
        <v>74</v>
      </c>
      <c r="H809" s="1" t="s">
        <v>74</v>
      </c>
      <c r="I809" s="1" t="s">
        <v>6736</v>
      </c>
      <c r="J809" s="1" t="s">
        <v>6737</v>
      </c>
      <c r="K809" s="1" t="s">
        <v>74</v>
      </c>
      <c r="L809" s="1" t="s">
        <v>74</v>
      </c>
      <c r="M809" s="1" t="s">
        <v>74</v>
      </c>
      <c r="N809" s="1" t="s">
        <v>74</v>
      </c>
      <c r="O809" s="1" t="s">
        <v>74</v>
      </c>
      <c r="P809" s="1" t="s">
        <v>74</v>
      </c>
      <c r="Q809" s="1" t="s">
        <v>74</v>
      </c>
      <c r="R809" s="1" t="s">
        <v>74</v>
      </c>
      <c r="S809" s="1" t="s">
        <v>74</v>
      </c>
      <c r="T809" s="1" t="s">
        <v>74</v>
      </c>
      <c r="U809" s="1" t="s">
        <v>74</v>
      </c>
      <c r="V809" s="1" t="s">
        <v>6738</v>
      </c>
      <c r="W809" s="1" t="s">
        <v>74</v>
      </c>
      <c r="X809" s="1" t="s">
        <v>74</v>
      </c>
      <c r="Y809" s="1" t="s">
        <v>74</v>
      </c>
      <c r="Z809" s="1" t="s">
        <v>74</v>
      </c>
      <c r="AA809" s="1" t="s">
        <v>74</v>
      </c>
      <c r="AB809" s="1" t="s">
        <v>2970</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6739</v>
      </c>
      <c r="AP809" s="1" t="s">
        <v>74</v>
      </c>
      <c r="AQ809" s="1" t="s">
        <v>74</v>
      </c>
      <c r="AR809" s="1" t="s">
        <v>74</v>
      </c>
      <c r="AS809" s="1" t="s">
        <v>74</v>
      </c>
      <c r="AT809" s="1" t="s">
        <v>193</v>
      </c>
      <c r="AU809" s="1">
        <v>2013.0</v>
      </c>
      <c r="AV809" s="1">
        <v>33.0</v>
      </c>
      <c r="AW809" s="1" t="s">
        <v>74</v>
      </c>
      <c r="AX809" s="1">
        <v>2.0</v>
      </c>
      <c r="AY809" s="1" t="s">
        <v>74</v>
      </c>
      <c r="AZ809" s="1" t="s">
        <v>74</v>
      </c>
      <c r="BA809" s="1" t="s">
        <v>74</v>
      </c>
      <c r="BB809" s="1">
        <v>609.0</v>
      </c>
      <c r="BC809" s="1">
        <v>623.0</v>
      </c>
      <c r="BD809" s="1" t="s">
        <v>74</v>
      </c>
      <c r="BE809" s="1" t="s">
        <v>6740</v>
      </c>
      <c r="BF809" s="2" t="str">
        <f>HYPERLINK("http://dx.doi.org/10.1017/S0143385711001015","http://dx.doi.org/10.1017/S0143385711001015")</f>
        <v>http://dx.doi.org/10.1017/S0143385711001015</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6741</v>
      </c>
      <c r="BT809" s="1" t="str">
        <f>HYPERLINK("https%3A%2F%2Fwww.webofscience.com%2Fwos%2Fwoscc%2Ffull-record%2FWOS:000315869200014","View Full Record in Web of Science")</f>
        <v>View Full Record in Web of Science</v>
      </c>
    </row>
    <row r="810" ht="12.75" customHeight="1">
      <c r="A810" s="1" t="s">
        <v>126</v>
      </c>
      <c r="B810" s="1" t="s">
        <v>6742</v>
      </c>
      <c r="C810" s="1" t="s">
        <v>74</v>
      </c>
      <c r="D810" s="1" t="s">
        <v>6743</v>
      </c>
      <c r="E810" s="1" t="s">
        <v>74</v>
      </c>
      <c r="F810" s="1" t="s">
        <v>6744</v>
      </c>
      <c r="G810" s="1" t="s">
        <v>74</v>
      </c>
      <c r="H810" s="1" t="s">
        <v>74</v>
      </c>
      <c r="I810" s="1" t="s">
        <v>6745</v>
      </c>
      <c r="J810" s="1" t="s">
        <v>6746</v>
      </c>
      <c r="K810" s="1" t="s">
        <v>74</v>
      </c>
      <c r="L810" s="1" t="s">
        <v>74</v>
      </c>
      <c r="M810" s="1" t="s">
        <v>74</v>
      </c>
      <c r="N810" s="1" t="s">
        <v>74</v>
      </c>
      <c r="O810" s="1" t="s">
        <v>6747</v>
      </c>
      <c r="P810" s="1" t="s">
        <v>6748</v>
      </c>
      <c r="Q810" s="1" t="s">
        <v>6749</v>
      </c>
      <c r="R810" s="1" t="s">
        <v>6750</v>
      </c>
      <c r="S810" s="1" t="s">
        <v>6751</v>
      </c>
      <c r="T810" s="1" t="s">
        <v>74</v>
      </c>
      <c r="U810" s="1" t="s">
        <v>74</v>
      </c>
      <c r="V810" s="1" t="s">
        <v>6752</v>
      </c>
      <c r="W810" s="1" t="s">
        <v>74</v>
      </c>
      <c r="X810" s="1" t="s">
        <v>74</v>
      </c>
      <c r="Y810" s="1" t="s">
        <v>74</v>
      </c>
      <c r="Z810" s="1" t="s">
        <v>74</v>
      </c>
      <c r="AA810" s="1" t="s">
        <v>6753</v>
      </c>
      <c r="AB810" s="1" t="s">
        <v>6754</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74</v>
      </c>
      <c r="AP810" s="1" t="s">
        <v>74</v>
      </c>
      <c r="AQ810" s="1" t="s">
        <v>6755</v>
      </c>
      <c r="AR810" s="1" t="s">
        <v>74</v>
      </c>
      <c r="AS810" s="1" t="s">
        <v>74</v>
      </c>
      <c r="AT810" s="1" t="s">
        <v>74</v>
      </c>
      <c r="AU810" s="1">
        <v>2012.0</v>
      </c>
      <c r="AV810" s="1" t="s">
        <v>74</v>
      </c>
      <c r="AW810" s="1" t="s">
        <v>74</v>
      </c>
      <c r="AX810" s="1" t="s">
        <v>74</v>
      </c>
      <c r="AY810" s="1" t="s">
        <v>74</v>
      </c>
      <c r="AZ810" s="1" t="s">
        <v>74</v>
      </c>
      <c r="BA810" s="1" t="s">
        <v>74</v>
      </c>
      <c r="BB810" s="1">
        <v>125.0</v>
      </c>
      <c r="BC810" s="1">
        <v>130.0</v>
      </c>
      <c r="BD810" s="1" t="s">
        <v>74</v>
      </c>
      <c r="BE810" s="1" t="s">
        <v>74</v>
      </c>
      <c r="BF810" s="1" t="s">
        <v>74</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6756</v>
      </c>
      <c r="BT810" s="1" t="str">
        <f>HYPERLINK("https%3A%2F%2Fwww.webofscience.com%2Fwos%2Fwoscc%2Ffull-record%2FWOS:000327405100010","View Full Record in Web of Science")</f>
        <v>View Full Record in Web of Science</v>
      </c>
    </row>
    <row r="811" ht="12.75" customHeight="1">
      <c r="A811" s="1" t="s">
        <v>72</v>
      </c>
      <c r="B811" s="1" t="s">
        <v>3116</v>
      </c>
      <c r="C811" s="1" t="s">
        <v>74</v>
      </c>
      <c r="D811" s="1" t="s">
        <v>74</v>
      </c>
      <c r="E811" s="1" t="s">
        <v>74</v>
      </c>
      <c r="F811" s="1" t="s">
        <v>6105</v>
      </c>
      <c r="G811" s="1" t="s">
        <v>74</v>
      </c>
      <c r="H811" s="1" t="s">
        <v>74</v>
      </c>
      <c r="I811" s="1" t="s">
        <v>6757</v>
      </c>
      <c r="J811" s="1" t="s">
        <v>6107</v>
      </c>
      <c r="K811" s="1" t="s">
        <v>74</v>
      </c>
      <c r="L811" s="1" t="s">
        <v>74</v>
      </c>
      <c r="M811" s="1" t="s">
        <v>74</v>
      </c>
      <c r="N811" s="1" t="s">
        <v>74</v>
      </c>
      <c r="O811" s="1" t="s">
        <v>74</v>
      </c>
      <c r="P811" s="1" t="s">
        <v>74</v>
      </c>
      <c r="Q811" s="1" t="s">
        <v>74</v>
      </c>
      <c r="R811" s="1" t="s">
        <v>74</v>
      </c>
      <c r="S811" s="1" t="s">
        <v>74</v>
      </c>
      <c r="T811" s="1" t="s">
        <v>74</v>
      </c>
      <c r="U811" s="1" t="s">
        <v>74</v>
      </c>
      <c r="V811" s="1" t="s">
        <v>6758</v>
      </c>
      <c r="W811" s="1" t="s">
        <v>74</v>
      </c>
      <c r="X811" s="1" t="s">
        <v>74</v>
      </c>
      <c r="Y811" s="1" t="s">
        <v>74</v>
      </c>
      <c r="Z811" s="1" t="s">
        <v>74</v>
      </c>
      <c r="AA811" s="1" t="s">
        <v>74</v>
      </c>
      <c r="AB811" s="1" t="s">
        <v>74</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6109</v>
      </c>
      <c r="AP811" s="1" t="s">
        <v>6759</v>
      </c>
      <c r="AQ811" s="1" t="s">
        <v>74</v>
      </c>
      <c r="AR811" s="1" t="s">
        <v>74</v>
      </c>
      <c r="AS811" s="1" t="s">
        <v>74</v>
      </c>
      <c r="AT811" s="1" t="s">
        <v>158</v>
      </c>
      <c r="AU811" s="1">
        <v>2011.0</v>
      </c>
      <c r="AV811" s="1">
        <v>35.0</v>
      </c>
      <c r="AW811" s="1">
        <v>3.0</v>
      </c>
      <c r="AX811" s="1" t="s">
        <v>74</v>
      </c>
      <c r="AY811" s="1" t="s">
        <v>74</v>
      </c>
      <c r="AZ811" s="1" t="s">
        <v>74</v>
      </c>
      <c r="BA811" s="1" t="s">
        <v>74</v>
      </c>
      <c r="BB811" s="1">
        <v>270.0</v>
      </c>
      <c r="BC811" s="1">
        <v>274.0</v>
      </c>
      <c r="BD811" s="1" t="s">
        <v>74</v>
      </c>
      <c r="BE811" s="1" t="s">
        <v>6760</v>
      </c>
      <c r="BF811" s="2" t="str">
        <f>HYPERLINK("http://dx.doi.org/10.1152/advan.00010.2011","http://dx.doi.org/10.1152/advan.00010.2011")</f>
        <v>http://dx.doi.org/10.1152/advan.00010.2011</v>
      </c>
      <c r="BG811" s="1" t="s">
        <v>74</v>
      </c>
      <c r="BH811" s="1" t="s">
        <v>74</v>
      </c>
      <c r="BI811" s="1" t="s">
        <v>74</v>
      </c>
      <c r="BJ811" s="1" t="s">
        <v>74</v>
      </c>
      <c r="BK811" s="1" t="s">
        <v>74</v>
      </c>
      <c r="BL811" s="1" t="s">
        <v>74</v>
      </c>
      <c r="BM811" s="1" t="s">
        <v>74</v>
      </c>
      <c r="BN811" s="1">
        <v>2.1908836E7</v>
      </c>
      <c r="BO811" s="1" t="s">
        <v>74</v>
      </c>
      <c r="BP811" s="1" t="s">
        <v>74</v>
      </c>
      <c r="BQ811" s="1" t="s">
        <v>74</v>
      </c>
      <c r="BR811" s="1" t="s">
        <v>74</v>
      </c>
      <c r="BS811" s="1" t="s">
        <v>6761</v>
      </c>
      <c r="BT811" s="1" t="str">
        <f>HYPERLINK("https%3A%2F%2Fwww.webofscience.com%2Fwos%2Fwoscc%2Ffull-record%2FWOS:000294770000007","View Full Record in Web of Science")</f>
        <v>View Full Record in Web of Science</v>
      </c>
    </row>
    <row r="812" ht="12.75" customHeight="1">
      <c r="A812" s="1" t="s">
        <v>72</v>
      </c>
      <c r="B812" s="1" t="s">
        <v>6762</v>
      </c>
      <c r="C812" s="1" t="s">
        <v>74</v>
      </c>
      <c r="D812" s="1" t="s">
        <v>74</v>
      </c>
      <c r="E812" s="1" t="s">
        <v>74</v>
      </c>
      <c r="F812" s="1" t="s">
        <v>6763</v>
      </c>
      <c r="G812" s="1" t="s">
        <v>74</v>
      </c>
      <c r="H812" s="1" t="s">
        <v>74</v>
      </c>
      <c r="I812" s="1" t="s">
        <v>6764</v>
      </c>
      <c r="J812" s="1" t="s">
        <v>6765</v>
      </c>
      <c r="K812" s="1" t="s">
        <v>74</v>
      </c>
      <c r="L812" s="1" t="s">
        <v>74</v>
      </c>
      <c r="M812" s="1" t="s">
        <v>74</v>
      </c>
      <c r="N812" s="1" t="s">
        <v>74</v>
      </c>
      <c r="O812" s="1" t="s">
        <v>74</v>
      </c>
      <c r="P812" s="1" t="s">
        <v>74</v>
      </c>
      <c r="Q812" s="1" t="s">
        <v>74</v>
      </c>
      <c r="R812" s="1" t="s">
        <v>74</v>
      </c>
      <c r="S812" s="1" t="s">
        <v>74</v>
      </c>
      <c r="T812" s="1" t="s">
        <v>74</v>
      </c>
      <c r="U812" s="1" t="s">
        <v>74</v>
      </c>
      <c r="V812" s="1" t="s">
        <v>6766</v>
      </c>
      <c r="W812" s="1" t="s">
        <v>74</v>
      </c>
      <c r="X812" s="1" t="s">
        <v>74</v>
      </c>
      <c r="Y812" s="1" t="s">
        <v>74</v>
      </c>
      <c r="Z812" s="1" t="s">
        <v>74</v>
      </c>
      <c r="AA812" s="1" t="s">
        <v>390</v>
      </c>
      <c r="AB812" s="1" t="s">
        <v>6767</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6768</v>
      </c>
      <c r="AP812" s="1" t="s">
        <v>6769</v>
      </c>
      <c r="AQ812" s="1" t="s">
        <v>74</v>
      </c>
      <c r="AR812" s="1" t="s">
        <v>74</v>
      </c>
      <c r="AS812" s="1" t="s">
        <v>74</v>
      </c>
      <c r="AT812" s="1" t="s">
        <v>74</v>
      </c>
      <c r="AU812" s="1">
        <v>2011.0</v>
      </c>
      <c r="AV812" s="1">
        <v>202.0</v>
      </c>
      <c r="AW812" s="1">
        <v>1.0</v>
      </c>
      <c r="AX812" s="1" t="s">
        <v>74</v>
      </c>
      <c r="AY812" s="1" t="s">
        <v>74</v>
      </c>
      <c r="AZ812" s="1" t="s">
        <v>74</v>
      </c>
      <c r="BA812" s="1" t="s">
        <v>74</v>
      </c>
      <c r="BB812" s="1">
        <v>49.0</v>
      </c>
      <c r="BC812" s="1">
        <v>63.0</v>
      </c>
      <c r="BD812" s="1" t="s">
        <v>74</v>
      </c>
      <c r="BE812" s="1" t="s">
        <v>6770</v>
      </c>
      <c r="BF812" s="2" t="str">
        <f>HYPERLINK("http://dx.doi.org/10.4064/sm202-1-3","http://dx.doi.org/10.4064/sm202-1-3")</f>
        <v>http://dx.doi.org/10.4064/sm202-1-3</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6771</v>
      </c>
      <c r="BT812" s="1" t="str">
        <f>HYPERLINK("https%3A%2F%2Fwww.webofscience.com%2Fwos%2Fwoscc%2Ffull-record%2FWOS:000290642900003","View Full Record in Web of Science")</f>
        <v>View Full Record in Web of Science</v>
      </c>
    </row>
    <row r="813" ht="12.75" customHeight="1">
      <c r="A813" s="1" t="s">
        <v>72</v>
      </c>
      <c r="B813" s="1" t="s">
        <v>6772</v>
      </c>
      <c r="C813" s="1" t="s">
        <v>74</v>
      </c>
      <c r="D813" s="1" t="s">
        <v>74</v>
      </c>
      <c r="E813" s="1" t="s">
        <v>74</v>
      </c>
      <c r="F813" s="1" t="s">
        <v>6773</v>
      </c>
      <c r="G813" s="1" t="s">
        <v>74</v>
      </c>
      <c r="H813" s="1" t="s">
        <v>74</v>
      </c>
      <c r="I813" s="1" t="s">
        <v>6774</v>
      </c>
      <c r="J813" s="1" t="s">
        <v>6775</v>
      </c>
      <c r="K813" s="1" t="s">
        <v>74</v>
      </c>
      <c r="L813" s="1" t="s">
        <v>74</v>
      </c>
      <c r="M813" s="1" t="s">
        <v>74</v>
      </c>
      <c r="N813" s="1" t="s">
        <v>74</v>
      </c>
      <c r="O813" s="1" t="s">
        <v>74</v>
      </c>
      <c r="P813" s="1" t="s">
        <v>74</v>
      </c>
      <c r="Q813" s="1" t="s">
        <v>74</v>
      </c>
      <c r="R813" s="1" t="s">
        <v>74</v>
      </c>
      <c r="S813" s="1" t="s">
        <v>74</v>
      </c>
      <c r="T813" s="1" t="s">
        <v>74</v>
      </c>
      <c r="U813" s="1" t="s">
        <v>74</v>
      </c>
      <c r="V813" s="1" t="s">
        <v>6776</v>
      </c>
      <c r="W813" s="1" t="s">
        <v>74</v>
      </c>
      <c r="X813" s="1" t="s">
        <v>74</v>
      </c>
      <c r="Y813" s="1" t="s">
        <v>74</v>
      </c>
      <c r="Z813" s="1" t="s">
        <v>74</v>
      </c>
      <c r="AA813" s="1" t="s">
        <v>74</v>
      </c>
      <c r="AB813" s="1" t="s">
        <v>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6777</v>
      </c>
      <c r="AP813" s="1" t="s">
        <v>74</v>
      </c>
      <c r="AQ813" s="1" t="s">
        <v>74</v>
      </c>
      <c r="AR813" s="1" t="s">
        <v>74</v>
      </c>
      <c r="AS813" s="1" t="s">
        <v>74</v>
      </c>
      <c r="AT813" s="1" t="s">
        <v>158</v>
      </c>
      <c r="AU813" s="1">
        <v>2010.0</v>
      </c>
      <c r="AV813" s="1" t="s">
        <v>74</v>
      </c>
      <c r="AW813" s="1">
        <v>15.0</v>
      </c>
      <c r="AX813" s="1" t="s">
        <v>74</v>
      </c>
      <c r="AY813" s="1" t="s">
        <v>74</v>
      </c>
      <c r="AZ813" s="1" t="s">
        <v>74</v>
      </c>
      <c r="BA813" s="1" t="s">
        <v>74</v>
      </c>
      <c r="BB813" s="1">
        <v>43.0</v>
      </c>
      <c r="BC813" s="1">
        <v>61.0</v>
      </c>
      <c r="BD813" s="1" t="s">
        <v>74</v>
      </c>
      <c r="BE813" s="1" t="s">
        <v>74</v>
      </c>
      <c r="BF813" s="1" t="s">
        <v>74</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6778</v>
      </c>
      <c r="BT813" s="1" t="str">
        <f>HYPERLINK("https%3A%2F%2Fwww.webofscience.com%2Fwos%2Fwoscc%2Ffull-record%2FWOS:000285815600005","View Full Record in Web of Science")</f>
        <v>View Full Record in Web of Science</v>
      </c>
    </row>
    <row r="814" ht="12.75" customHeight="1">
      <c r="A814" s="1" t="s">
        <v>72</v>
      </c>
      <c r="B814" s="1" t="s">
        <v>2650</v>
      </c>
      <c r="C814" s="1" t="s">
        <v>74</v>
      </c>
      <c r="D814" s="1" t="s">
        <v>74</v>
      </c>
      <c r="E814" s="1" t="s">
        <v>74</v>
      </c>
      <c r="F814" s="1" t="s">
        <v>2651</v>
      </c>
      <c r="G814" s="1" t="s">
        <v>74</v>
      </c>
      <c r="H814" s="1" t="s">
        <v>74</v>
      </c>
      <c r="I814" s="1" t="s">
        <v>6779</v>
      </c>
      <c r="J814" s="1" t="s">
        <v>6780</v>
      </c>
      <c r="K814" s="1" t="s">
        <v>74</v>
      </c>
      <c r="L814" s="1" t="s">
        <v>74</v>
      </c>
      <c r="M814" s="1" t="s">
        <v>74</v>
      </c>
      <c r="N814" s="1" t="s">
        <v>74</v>
      </c>
      <c r="O814" s="1" t="s">
        <v>74</v>
      </c>
      <c r="P814" s="1" t="s">
        <v>74</v>
      </c>
      <c r="Q814" s="1" t="s">
        <v>74</v>
      </c>
      <c r="R814" s="1" t="s">
        <v>74</v>
      </c>
      <c r="S814" s="1" t="s">
        <v>74</v>
      </c>
      <c r="T814" s="1" t="s">
        <v>74</v>
      </c>
      <c r="U814" s="1" t="s">
        <v>74</v>
      </c>
      <c r="V814" s="1" t="s">
        <v>74</v>
      </c>
      <c r="W814" s="1" t="s">
        <v>74</v>
      </c>
      <c r="X814" s="1" t="s">
        <v>74</v>
      </c>
      <c r="Y814" s="1" t="s">
        <v>74</v>
      </c>
      <c r="Z814" s="1" t="s">
        <v>74</v>
      </c>
      <c r="AA814" s="1" t="s">
        <v>74</v>
      </c>
      <c r="AB814" s="1" t="s">
        <v>4622</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6781</v>
      </c>
      <c r="AP814" s="1" t="s">
        <v>74</v>
      </c>
      <c r="AQ814" s="1" t="s">
        <v>74</v>
      </c>
      <c r="AR814" s="1" t="s">
        <v>74</v>
      </c>
      <c r="AS814" s="1" t="s">
        <v>74</v>
      </c>
      <c r="AT814" s="1" t="s">
        <v>171</v>
      </c>
      <c r="AU814" s="1">
        <v>2010.0</v>
      </c>
      <c r="AV814" s="1">
        <v>51.0</v>
      </c>
      <c r="AW814" s="1">
        <v>121.0</v>
      </c>
      <c r="AX814" s="1" t="s">
        <v>74</v>
      </c>
      <c r="AY814" s="1" t="s">
        <v>74</v>
      </c>
      <c r="AZ814" s="1" t="s">
        <v>74</v>
      </c>
      <c r="BA814" s="1" t="s">
        <v>74</v>
      </c>
      <c r="BB814" s="1">
        <v>259.0</v>
      </c>
      <c r="BC814" s="1">
        <v>273.0</v>
      </c>
      <c r="BD814" s="1" t="s">
        <v>74</v>
      </c>
      <c r="BE814" s="1" t="s">
        <v>6782</v>
      </c>
      <c r="BF814" s="2" t="str">
        <f>HYPERLINK("http://dx.doi.org/10.1590/S0100-512X2010000100013","http://dx.doi.org/10.1590/S0100-512X2010000100013")</f>
        <v>http://dx.doi.org/10.1590/S0100-512X2010000100013</v>
      </c>
      <c r="BG814" s="1" t="s">
        <v>74</v>
      </c>
      <c r="BH814" s="1" t="s">
        <v>74</v>
      </c>
      <c r="BI814" s="1" t="s">
        <v>74</v>
      </c>
      <c r="BJ814" s="1" t="s">
        <v>74</v>
      </c>
      <c r="BK814" s="1" t="s">
        <v>74</v>
      </c>
      <c r="BL814" s="1" t="s">
        <v>74</v>
      </c>
      <c r="BM814" s="1" t="s">
        <v>74</v>
      </c>
      <c r="BN814" s="1" t="s">
        <v>74</v>
      </c>
      <c r="BO814" s="1" t="s">
        <v>74</v>
      </c>
      <c r="BP814" s="1" t="s">
        <v>74</v>
      </c>
      <c r="BQ814" s="1" t="s">
        <v>74</v>
      </c>
      <c r="BR814" s="1" t="s">
        <v>74</v>
      </c>
      <c r="BS814" s="1" t="s">
        <v>6783</v>
      </c>
      <c r="BT814" s="1" t="str">
        <f>HYPERLINK("https%3A%2F%2Fwww.webofscience.com%2Fwos%2Fwoscc%2Ffull-record%2FWOS:000280267200013","View Full Record in Web of Science")</f>
        <v>View Full Record in Web of Science</v>
      </c>
    </row>
    <row r="815" ht="12.75" customHeight="1">
      <c r="A815" s="1" t="s">
        <v>126</v>
      </c>
      <c r="B815" s="1" t="s">
        <v>6784</v>
      </c>
      <c r="C815" s="1" t="s">
        <v>74</v>
      </c>
      <c r="D815" s="1" t="s">
        <v>6785</v>
      </c>
      <c r="E815" s="1" t="s">
        <v>74</v>
      </c>
      <c r="F815" s="1" t="s">
        <v>6786</v>
      </c>
      <c r="G815" s="1" t="s">
        <v>74</v>
      </c>
      <c r="H815" s="1" t="s">
        <v>74</v>
      </c>
      <c r="I815" s="1" t="s">
        <v>6787</v>
      </c>
      <c r="J815" s="1" t="s">
        <v>6788</v>
      </c>
      <c r="K815" s="1" t="s">
        <v>6685</v>
      </c>
      <c r="L815" s="1" t="s">
        <v>74</v>
      </c>
      <c r="M815" s="1" t="s">
        <v>74</v>
      </c>
      <c r="N815" s="1" t="s">
        <v>74</v>
      </c>
      <c r="O815" s="1" t="s">
        <v>6789</v>
      </c>
      <c r="P815" s="1" t="s">
        <v>6790</v>
      </c>
      <c r="Q815" s="1" t="s">
        <v>6791</v>
      </c>
      <c r="R815" s="1" t="s">
        <v>6792</v>
      </c>
      <c r="S815" s="1" t="s">
        <v>74</v>
      </c>
      <c r="T815" s="1" t="s">
        <v>74</v>
      </c>
      <c r="U815" s="1" t="s">
        <v>74</v>
      </c>
      <c r="V815" s="1" t="s">
        <v>6793</v>
      </c>
      <c r="W815" s="1" t="s">
        <v>74</v>
      </c>
      <c r="X815" s="1" t="s">
        <v>74</v>
      </c>
      <c r="Y815" s="1" t="s">
        <v>74</v>
      </c>
      <c r="Z815" s="1" t="s">
        <v>74</v>
      </c>
      <c r="AA815" s="1" t="s">
        <v>489</v>
      </c>
      <c r="AB815" s="1" t="s">
        <v>490</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6794</v>
      </c>
      <c r="AP815" s="1" t="s">
        <v>74</v>
      </c>
      <c r="AQ815" s="1" t="s">
        <v>6795</v>
      </c>
      <c r="AR815" s="1" t="s">
        <v>74</v>
      </c>
      <c r="AS815" s="1" t="s">
        <v>74</v>
      </c>
      <c r="AT815" s="1" t="s">
        <v>74</v>
      </c>
      <c r="AU815" s="1">
        <v>2010.0</v>
      </c>
      <c r="AV815" s="1">
        <v>21.0</v>
      </c>
      <c r="AW815" s="1" t="s">
        <v>74</v>
      </c>
      <c r="AX815" s="1" t="s">
        <v>74</v>
      </c>
      <c r="AY815" s="1" t="s">
        <v>74</v>
      </c>
      <c r="AZ815" s="1" t="s">
        <v>74</v>
      </c>
      <c r="BA815" s="1" t="s">
        <v>74</v>
      </c>
      <c r="BB815" s="1">
        <v>961.0</v>
      </c>
      <c r="BC815" s="1">
        <v>966.0</v>
      </c>
      <c r="BD815" s="1" t="s">
        <v>74</v>
      </c>
      <c r="BE815" s="1" t="s">
        <v>6796</v>
      </c>
      <c r="BF815" s="2" t="str">
        <f>HYPERLINK("http://dx.doi.org/10.3303/CET1021161","http://dx.doi.org/10.3303/CET1021161")</f>
        <v>http://dx.doi.org/10.3303/CET1021161</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6797</v>
      </c>
      <c r="BT815" s="1" t="str">
        <f>HYPERLINK("https%3A%2F%2Fwww.webofscience.com%2Fwos%2Fwoscc%2Ffull-record%2FWOS:000286978600161","View Full Record in Web of Science")</f>
        <v>View Full Record in Web of Science</v>
      </c>
    </row>
    <row r="816" ht="12.75" customHeight="1">
      <c r="A816" s="1" t="s">
        <v>72</v>
      </c>
      <c r="B816" s="1" t="s">
        <v>6798</v>
      </c>
      <c r="C816" s="1" t="s">
        <v>74</v>
      </c>
      <c r="D816" s="1" t="s">
        <v>74</v>
      </c>
      <c r="E816" s="1" t="s">
        <v>74</v>
      </c>
      <c r="F816" s="1" t="s">
        <v>6799</v>
      </c>
      <c r="G816" s="1" t="s">
        <v>74</v>
      </c>
      <c r="H816" s="1" t="s">
        <v>74</v>
      </c>
      <c r="I816" s="1" t="s">
        <v>6800</v>
      </c>
      <c r="J816" s="1" t="s">
        <v>1682</v>
      </c>
      <c r="K816" s="1" t="s">
        <v>74</v>
      </c>
      <c r="L816" s="1" t="s">
        <v>74</v>
      </c>
      <c r="M816" s="1" t="s">
        <v>74</v>
      </c>
      <c r="N816" s="1" t="s">
        <v>74</v>
      </c>
      <c r="O816" s="1" t="s">
        <v>74</v>
      </c>
      <c r="P816" s="1" t="s">
        <v>74</v>
      </c>
      <c r="Q816" s="1" t="s">
        <v>74</v>
      </c>
      <c r="R816" s="1" t="s">
        <v>74</v>
      </c>
      <c r="S816" s="1" t="s">
        <v>74</v>
      </c>
      <c r="T816" s="1" t="s">
        <v>74</v>
      </c>
      <c r="U816" s="1" t="s">
        <v>74</v>
      </c>
      <c r="V816" s="1" t="s">
        <v>6801</v>
      </c>
      <c r="W816" s="1" t="s">
        <v>74</v>
      </c>
      <c r="X816" s="1" t="s">
        <v>74</v>
      </c>
      <c r="Y816" s="1" t="s">
        <v>74</v>
      </c>
      <c r="Z816" s="1" t="s">
        <v>74</v>
      </c>
      <c r="AA816" s="1" t="s">
        <v>74</v>
      </c>
      <c r="AB816" s="1" t="s">
        <v>74</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1685</v>
      </c>
      <c r="AP816" s="1" t="s">
        <v>1686</v>
      </c>
      <c r="AQ816" s="1" t="s">
        <v>74</v>
      </c>
      <c r="AR816" s="1" t="s">
        <v>74</v>
      </c>
      <c r="AS816" s="1" t="s">
        <v>74</v>
      </c>
      <c r="AT816" s="1" t="s">
        <v>74</v>
      </c>
      <c r="AU816" s="1">
        <v>2010.0</v>
      </c>
      <c r="AV816" s="1">
        <v>57.0</v>
      </c>
      <c r="AW816" s="1">
        <v>7.0</v>
      </c>
      <c r="AX816" s="1" t="s">
        <v>74</v>
      </c>
      <c r="AY816" s="1" t="s">
        <v>74</v>
      </c>
      <c r="AZ816" s="1" t="s">
        <v>74</v>
      </c>
      <c r="BA816" s="1" t="s">
        <v>74</v>
      </c>
      <c r="BB816" s="1">
        <v>473.0</v>
      </c>
      <c r="BC816" s="1">
        <v>495.0</v>
      </c>
      <c r="BD816" s="1" t="s">
        <v>74</v>
      </c>
      <c r="BE816" s="1" t="s">
        <v>6802</v>
      </c>
      <c r="BF816" s="2" t="str">
        <f>HYPERLINK("http://dx.doi.org/10.1080/10407781003659391","http://dx.doi.org/10.1080/10407781003659391")</f>
        <v>http://dx.doi.org/10.1080/10407781003659391</v>
      </c>
      <c r="BG816" s="1" t="s">
        <v>74</v>
      </c>
      <c r="BH816" s="1" t="s">
        <v>74</v>
      </c>
      <c r="BI816" s="1" t="s">
        <v>74</v>
      </c>
      <c r="BJ816" s="1" t="s">
        <v>74</v>
      </c>
      <c r="BK816" s="1" t="s">
        <v>74</v>
      </c>
      <c r="BL816" s="1" t="s">
        <v>74</v>
      </c>
      <c r="BM816" s="1" t="s">
        <v>74</v>
      </c>
      <c r="BN816" s="1" t="s">
        <v>74</v>
      </c>
      <c r="BO816" s="1" t="s">
        <v>74</v>
      </c>
      <c r="BP816" s="1" t="s">
        <v>74</v>
      </c>
      <c r="BQ816" s="1" t="s">
        <v>74</v>
      </c>
      <c r="BR816" s="1" t="s">
        <v>74</v>
      </c>
      <c r="BS816" s="1" t="s">
        <v>6803</v>
      </c>
      <c r="BT816" s="1" t="str">
        <f>HYPERLINK("https%3A%2F%2Fwww.webofscience.com%2Fwos%2Fwoscc%2Ffull-record%2FWOS:000276413900002","View Full Record in Web of Science")</f>
        <v>View Full Record in Web of Science</v>
      </c>
    </row>
    <row r="817" ht="12.75" customHeight="1">
      <c r="A817" s="1" t="s">
        <v>72</v>
      </c>
      <c r="B817" s="1" t="s">
        <v>6804</v>
      </c>
      <c r="C817" s="1" t="s">
        <v>74</v>
      </c>
      <c r="D817" s="1" t="s">
        <v>74</v>
      </c>
      <c r="E817" s="1" t="s">
        <v>74</v>
      </c>
      <c r="F817" s="1" t="s">
        <v>6805</v>
      </c>
      <c r="G817" s="1" t="s">
        <v>74</v>
      </c>
      <c r="H817" s="1" t="s">
        <v>74</v>
      </c>
      <c r="I817" s="1" t="s">
        <v>6806</v>
      </c>
      <c r="J817" s="1" t="s">
        <v>6807</v>
      </c>
      <c r="K817" s="1" t="s">
        <v>74</v>
      </c>
      <c r="L817" s="1" t="s">
        <v>74</v>
      </c>
      <c r="M817" s="1" t="s">
        <v>74</v>
      </c>
      <c r="N817" s="1" t="s">
        <v>74</v>
      </c>
      <c r="O817" s="1" t="s">
        <v>74</v>
      </c>
      <c r="P817" s="1" t="s">
        <v>74</v>
      </c>
      <c r="Q817" s="1" t="s">
        <v>74</v>
      </c>
      <c r="R817" s="1" t="s">
        <v>74</v>
      </c>
      <c r="S817" s="1" t="s">
        <v>74</v>
      </c>
      <c r="T817" s="1" t="s">
        <v>74</v>
      </c>
      <c r="U817" s="1" t="s">
        <v>74</v>
      </c>
      <c r="V817" s="1" t="s">
        <v>6808</v>
      </c>
      <c r="W817" s="1" t="s">
        <v>74</v>
      </c>
      <c r="X817" s="1" t="s">
        <v>74</v>
      </c>
      <c r="Y817" s="1" t="s">
        <v>74</v>
      </c>
      <c r="Z817" s="1" t="s">
        <v>74</v>
      </c>
      <c r="AA817" s="1" t="s">
        <v>1527</v>
      </c>
      <c r="AB817" s="1" t="s">
        <v>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6809</v>
      </c>
      <c r="AP817" s="1" t="s">
        <v>6810</v>
      </c>
      <c r="AQ817" s="1" t="s">
        <v>74</v>
      </c>
      <c r="AR817" s="1" t="s">
        <v>74</v>
      </c>
      <c r="AS817" s="1" t="s">
        <v>74</v>
      </c>
      <c r="AT817" s="1" t="s">
        <v>91</v>
      </c>
      <c r="AU817" s="1">
        <v>2009.0</v>
      </c>
      <c r="AV817" s="1">
        <v>52.0</v>
      </c>
      <c r="AW817" s="1" t="s">
        <v>534</v>
      </c>
      <c r="AX817" s="1" t="s">
        <v>74</v>
      </c>
      <c r="AY817" s="1" t="s">
        <v>74</v>
      </c>
      <c r="AZ817" s="1" t="s">
        <v>74</v>
      </c>
      <c r="BA817" s="1" t="s">
        <v>74</v>
      </c>
      <c r="BB817" s="1">
        <v>3778.0</v>
      </c>
      <c r="BC817" s="1">
        <v>3789.0</v>
      </c>
      <c r="BD817" s="1" t="s">
        <v>74</v>
      </c>
      <c r="BE817" s="1" t="s">
        <v>6811</v>
      </c>
      <c r="BF817" s="2" t="str">
        <f>HYPERLINK("http://dx.doi.org/10.1016/j.ijheatmasstransfer.2009.02.026","http://dx.doi.org/10.1016/j.ijheatmasstransfer.2009.02.026")</f>
        <v>http://dx.doi.org/10.1016/j.ijheatmasstransfer.2009.02.026</v>
      </c>
      <c r="BG817" s="1" t="s">
        <v>74</v>
      </c>
      <c r="BH817" s="1" t="s">
        <v>74</v>
      </c>
      <c r="BI817" s="1" t="s">
        <v>74</v>
      </c>
      <c r="BJ817" s="1" t="s">
        <v>74</v>
      </c>
      <c r="BK817" s="1" t="s">
        <v>74</v>
      </c>
      <c r="BL817" s="1" t="s">
        <v>74</v>
      </c>
      <c r="BM817" s="1" t="s">
        <v>74</v>
      </c>
      <c r="BN817" s="1" t="s">
        <v>74</v>
      </c>
      <c r="BO817" s="1" t="s">
        <v>74</v>
      </c>
      <c r="BP817" s="1" t="s">
        <v>74</v>
      </c>
      <c r="BQ817" s="1" t="s">
        <v>74</v>
      </c>
      <c r="BR817" s="1" t="s">
        <v>74</v>
      </c>
      <c r="BS817" s="1" t="s">
        <v>6812</v>
      </c>
      <c r="BT817" s="1" t="str">
        <f>HYPERLINK("https%3A%2F%2Fwww.webofscience.com%2Fwos%2Fwoscc%2Ffull-record%2FWOS:000267173600038","View Full Record in Web of Science")</f>
        <v>View Full Record in Web of Science</v>
      </c>
    </row>
    <row r="818" ht="12.75" customHeight="1">
      <c r="A818" s="1" t="s">
        <v>72</v>
      </c>
      <c r="B818" s="1" t="s">
        <v>6813</v>
      </c>
      <c r="C818" s="1" t="s">
        <v>74</v>
      </c>
      <c r="D818" s="1" t="s">
        <v>74</v>
      </c>
      <c r="E818" s="1" t="s">
        <v>74</v>
      </c>
      <c r="F818" s="1" t="s">
        <v>6814</v>
      </c>
      <c r="G818" s="1" t="s">
        <v>74</v>
      </c>
      <c r="H818" s="1" t="s">
        <v>74</v>
      </c>
      <c r="I818" s="1" t="s">
        <v>6815</v>
      </c>
      <c r="J818" s="1" t="s">
        <v>6816</v>
      </c>
      <c r="K818" s="1" t="s">
        <v>74</v>
      </c>
      <c r="L818" s="1" t="s">
        <v>74</v>
      </c>
      <c r="M818" s="1" t="s">
        <v>74</v>
      </c>
      <c r="N818" s="1" t="s">
        <v>74</v>
      </c>
      <c r="O818" s="1" t="s">
        <v>74</v>
      </c>
      <c r="P818" s="1" t="s">
        <v>74</v>
      </c>
      <c r="Q818" s="1" t="s">
        <v>74</v>
      </c>
      <c r="R818" s="1" t="s">
        <v>74</v>
      </c>
      <c r="S818" s="1" t="s">
        <v>74</v>
      </c>
      <c r="T818" s="1" t="s">
        <v>74</v>
      </c>
      <c r="U818" s="1" t="s">
        <v>74</v>
      </c>
      <c r="V818" s="1" t="s">
        <v>6817</v>
      </c>
      <c r="W818" s="1" t="s">
        <v>74</v>
      </c>
      <c r="X818" s="1" t="s">
        <v>74</v>
      </c>
      <c r="Y818" s="1" t="s">
        <v>74</v>
      </c>
      <c r="Z818" s="1" t="s">
        <v>74</v>
      </c>
      <c r="AA818" s="1" t="s">
        <v>6818</v>
      </c>
      <c r="AB818" s="1" t="s">
        <v>6819</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6820</v>
      </c>
      <c r="AP818" s="1" t="s">
        <v>74</v>
      </c>
      <c r="AQ818" s="1" t="s">
        <v>74</v>
      </c>
      <c r="AR818" s="1" t="s">
        <v>74</v>
      </c>
      <c r="AS818" s="1" t="s">
        <v>74</v>
      </c>
      <c r="AT818" s="1" t="s">
        <v>171</v>
      </c>
      <c r="AU818" s="1">
        <v>2009.0</v>
      </c>
      <c r="AV818" s="1">
        <v>155.0</v>
      </c>
      <c r="AW818" s="1" t="s">
        <v>74</v>
      </c>
      <c r="AX818" s="1">
        <v>6.0</v>
      </c>
      <c r="AY818" s="1" t="s">
        <v>74</v>
      </c>
      <c r="AZ818" s="1" t="s">
        <v>74</v>
      </c>
      <c r="BA818" s="1" t="s">
        <v>74</v>
      </c>
      <c r="BB818" s="1">
        <v>1840.0</v>
      </c>
      <c r="BC818" s="1">
        <v>1846.0</v>
      </c>
      <c r="BD818" s="1" t="s">
        <v>74</v>
      </c>
      <c r="BE818" s="1" t="s">
        <v>6821</v>
      </c>
      <c r="BF818" s="2" t="str">
        <f>HYPERLINK("http://dx.doi.org/10.1099/mic.0.026260-0","http://dx.doi.org/10.1099/mic.0.026260-0")</f>
        <v>http://dx.doi.org/10.1099/mic.0.026260-0</v>
      </c>
      <c r="BG818" s="1" t="s">
        <v>74</v>
      </c>
      <c r="BH818" s="1" t="s">
        <v>74</v>
      </c>
      <c r="BI818" s="1" t="s">
        <v>74</v>
      </c>
      <c r="BJ818" s="1" t="s">
        <v>74</v>
      </c>
      <c r="BK818" s="1" t="s">
        <v>74</v>
      </c>
      <c r="BL818" s="1" t="s">
        <v>74</v>
      </c>
      <c r="BM818" s="1" t="s">
        <v>74</v>
      </c>
      <c r="BN818" s="1">
        <v>1.938369E7</v>
      </c>
      <c r="BO818" s="1" t="s">
        <v>74</v>
      </c>
      <c r="BP818" s="1" t="s">
        <v>74</v>
      </c>
      <c r="BQ818" s="1" t="s">
        <v>74</v>
      </c>
      <c r="BR818" s="1" t="s">
        <v>74</v>
      </c>
      <c r="BS818" s="1" t="s">
        <v>6822</v>
      </c>
      <c r="BT818" s="1" t="str">
        <f>HYPERLINK("https%3A%2F%2Fwww.webofscience.com%2Fwos%2Fwoscc%2Ffull-record%2FWOS:000267255200009","View Full Record in Web of Science")</f>
        <v>View Full Record in Web of Science</v>
      </c>
    </row>
    <row r="819" ht="12.75" customHeight="1">
      <c r="A819" s="1" t="s">
        <v>105</v>
      </c>
      <c r="B819" s="1" t="s">
        <v>6823</v>
      </c>
      <c r="C819" s="1" t="s">
        <v>74</v>
      </c>
      <c r="D819" s="1" t="s">
        <v>6824</v>
      </c>
      <c r="E819" s="1" t="s">
        <v>74</v>
      </c>
      <c r="F819" s="1" t="s">
        <v>6825</v>
      </c>
      <c r="G819" s="1" t="s">
        <v>74</v>
      </c>
      <c r="H819" s="1" t="s">
        <v>74</v>
      </c>
      <c r="I819" s="1" t="s">
        <v>6826</v>
      </c>
      <c r="J819" s="1" t="s">
        <v>6827</v>
      </c>
      <c r="K819" s="1" t="s">
        <v>6828</v>
      </c>
      <c r="L819" s="1" t="s">
        <v>74</v>
      </c>
      <c r="M819" s="1" t="s">
        <v>74</v>
      </c>
      <c r="N819" s="1" t="s">
        <v>74</v>
      </c>
      <c r="O819" s="1" t="s">
        <v>74</v>
      </c>
      <c r="P819" s="1" t="s">
        <v>74</v>
      </c>
      <c r="Q819" s="1" t="s">
        <v>74</v>
      </c>
      <c r="R819" s="1" t="s">
        <v>74</v>
      </c>
      <c r="S819" s="1" t="s">
        <v>74</v>
      </c>
      <c r="T819" s="1" t="s">
        <v>74</v>
      </c>
      <c r="U819" s="1" t="s">
        <v>74</v>
      </c>
      <c r="V819" s="1" t="s">
        <v>74</v>
      </c>
      <c r="W819" s="1" t="s">
        <v>74</v>
      </c>
      <c r="X819" s="1" t="s">
        <v>74</v>
      </c>
      <c r="Y819" s="1" t="s">
        <v>74</v>
      </c>
      <c r="Z819" s="1" t="s">
        <v>74</v>
      </c>
      <c r="AA819" s="1" t="s">
        <v>74</v>
      </c>
      <c r="AB819" s="1" t="s">
        <v>74</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74</v>
      </c>
      <c r="AP819" s="1" t="s">
        <v>74</v>
      </c>
      <c r="AQ819" s="1" t="s">
        <v>6829</v>
      </c>
      <c r="AR819" s="1" t="s">
        <v>74</v>
      </c>
      <c r="AS819" s="1" t="s">
        <v>74</v>
      </c>
      <c r="AT819" s="1" t="s">
        <v>74</v>
      </c>
      <c r="AU819" s="1">
        <v>2009.0</v>
      </c>
      <c r="AV819" s="1">
        <v>137.0</v>
      </c>
      <c r="AW819" s="1" t="s">
        <v>74</v>
      </c>
      <c r="AX819" s="1" t="s">
        <v>74</v>
      </c>
      <c r="AY819" s="1" t="s">
        <v>74</v>
      </c>
      <c r="AZ819" s="1" t="s">
        <v>74</v>
      </c>
      <c r="BA819" s="1" t="s">
        <v>74</v>
      </c>
      <c r="BB819" s="1">
        <v>311.0</v>
      </c>
      <c r="BC819" s="1">
        <v>339.0</v>
      </c>
      <c r="BD819" s="1" t="s">
        <v>74</v>
      </c>
      <c r="BE819" s="1" t="s">
        <v>74</v>
      </c>
      <c r="BF819" s="1" t="s">
        <v>74</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6830</v>
      </c>
      <c r="BT819" s="1" t="str">
        <f>HYPERLINK("https%3A%2F%2Fwww.webofscience.com%2Fwos%2Fwoscc%2Ffull-record%2FWOS:000267233800011","View Full Record in Web of Science")</f>
        <v>View Full Record in Web of Science</v>
      </c>
    </row>
    <row r="820" ht="12.75" customHeight="1">
      <c r="A820" s="1" t="s">
        <v>72</v>
      </c>
      <c r="B820" s="1" t="s">
        <v>3176</v>
      </c>
      <c r="C820" s="1" t="s">
        <v>74</v>
      </c>
      <c r="D820" s="1" t="s">
        <v>74</v>
      </c>
      <c r="E820" s="1" t="s">
        <v>74</v>
      </c>
      <c r="F820" s="1" t="s">
        <v>6831</v>
      </c>
      <c r="G820" s="1" t="s">
        <v>74</v>
      </c>
      <c r="H820" s="1" t="s">
        <v>74</v>
      </c>
      <c r="I820" s="1" t="s">
        <v>6832</v>
      </c>
      <c r="J820" s="1" t="s">
        <v>89</v>
      </c>
      <c r="K820" s="1" t="s">
        <v>74</v>
      </c>
      <c r="L820" s="1" t="s">
        <v>74</v>
      </c>
      <c r="M820" s="1" t="s">
        <v>74</v>
      </c>
      <c r="N820" s="1" t="s">
        <v>74</v>
      </c>
      <c r="O820" s="1" t="s">
        <v>74</v>
      </c>
      <c r="P820" s="1" t="s">
        <v>74</v>
      </c>
      <c r="Q820" s="1" t="s">
        <v>74</v>
      </c>
      <c r="R820" s="1" t="s">
        <v>74</v>
      </c>
      <c r="S820" s="1" t="s">
        <v>74</v>
      </c>
      <c r="T820" s="1" t="s">
        <v>74</v>
      </c>
      <c r="U820" s="1" t="s">
        <v>74</v>
      </c>
      <c r="V820" s="1" t="s">
        <v>6833</v>
      </c>
      <c r="W820" s="1" t="s">
        <v>74</v>
      </c>
      <c r="X820" s="1" t="s">
        <v>74</v>
      </c>
      <c r="Y820" s="1" t="s">
        <v>74</v>
      </c>
      <c r="Z820" s="1" t="s">
        <v>74</v>
      </c>
      <c r="AA820" s="1" t="s">
        <v>74</v>
      </c>
      <c r="AB820" s="1" t="s">
        <v>74</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90</v>
      </c>
      <c r="AP820" s="1" t="s">
        <v>74</v>
      </c>
      <c r="AQ820" s="1" t="s">
        <v>74</v>
      </c>
      <c r="AR820" s="1" t="s">
        <v>74</v>
      </c>
      <c r="AS820" s="1" t="s">
        <v>74</v>
      </c>
      <c r="AT820" s="1" t="s">
        <v>74</v>
      </c>
      <c r="AU820" s="1">
        <v>2009.0</v>
      </c>
      <c r="AV820" s="1" t="s">
        <v>74</v>
      </c>
      <c r="AW820" s="1">
        <v>500.0</v>
      </c>
      <c r="AX820" s="1" t="s">
        <v>74</v>
      </c>
      <c r="AY820" s="1" t="s">
        <v>74</v>
      </c>
      <c r="AZ820" s="1" t="s">
        <v>74</v>
      </c>
      <c r="BA820" s="1" t="s">
        <v>74</v>
      </c>
      <c r="BB820" s="1">
        <v>11.0</v>
      </c>
      <c r="BC820" s="1">
        <v>20.0</v>
      </c>
      <c r="BD820" s="1" t="s">
        <v>74</v>
      </c>
      <c r="BE820" s="1" t="s">
        <v>74</v>
      </c>
      <c r="BF820" s="1" t="s">
        <v>74</v>
      </c>
      <c r="BG820" s="1" t="s">
        <v>74</v>
      </c>
      <c r="BH820" s="1" t="s">
        <v>74</v>
      </c>
      <c r="BI820" s="1" t="s">
        <v>74</v>
      </c>
      <c r="BJ820" s="1" t="s">
        <v>74</v>
      </c>
      <c r="BK820" s="1" t="s">
        <v>74</v>
      </c>
      <c r="BL820" s="1" t="s">
        <v>74</v>
      </c>
      <c r="BM820" s="1" t="s">
        <v>74</v>
      </c>
      <c r="BN820" s="1" t="s">
        <v>74</v>
      </c>
      <c r="BO820" s="1" t="s">
        <v>74</v>
      </c>
      <c r="BP820" s="1" t="s">
        <v>74</v>
      </c>
      <c r="BQ820" s="1" t="s">
        <v>74</v>
      </c>
      <c r="BR820" s="1" t="s">
        <v>74</v>
      </c>
      <c r="BS820" s="1" t="s">
        <v>6834</v>
      </c>
      <c r="BT820" s="1" t="str">
        <f>HYPERLINK("https%3A%2F%2Fwww.webofscience.com%2Fwos%2Fwoscc%2Ffull-record%2FWOS:000272212500002","View Full Record in Web of Science")</f>
        <v>View Full Record in Web of Science</v>
      </c>
    </row>
    <row r="821" ht="12.75" customHeight="1">
      <c r="A821" s="1" t="s">
        <v>72</v>
      </c>
      <c r="B821" s="1" t="s">
        <v>6835</v>
      </c>
      <c r="C821" s="1" t="s">
        <v>74</v>
      </c>
      <c r="D821" s="1" t="s">
        <v>74</v>
      </c>
      <c r="E821" s="1" t="s">
        <v>74</v>
      </c>
      <c r="F821" s="1" t="s">
        <v>6836</v>
      </c>
      <c r="G821" s="1" t="s">
        <v>74</v>
      </c>
      <c r="H821" s="1" t="s">
        <v>74</v>
      </c>
      <c r="I821" s="1" t="s">
        <v>6837</v>
      </c>
      <c r="J821" s="1" t="s">
        <v>6838</v>
      </c>
      <c r="K821" s="1" t="s">
        <v>74</v>
      </c>
      <c r="L821" s="1" t="s">
        <v>74</v>
      </c>
      <c r="M821" s="1" t="s">
        <v>74</v>
      </c>
      <c r="N821" s="1" t="s">
        <v>74</v>
      </c>
      <c r="O821" s="1" t="s">
        <v>74</v>
      </c>
      <c r="P821" s="1" t="s">
        <v>74</v>
      </c>
      <c r="Q821" s="1" t="s">
        <v>74</v>
      </c>
      <c r="R821" s="1" t="s">
        <v>74</v>
      </c>
      <c r="S821" s="1" t="s">
        <v>74</v>
      </c>
      <c r="T821" s="1" t="s">
        <v>74</v>
      </c>
      <c r="U821" s="1" t="s">
        <v>74</v>
      </c>
      <c r="V821" s="1" t="s">
        <v>74</v>
      </c>
      <c r="W821" s="1" t="s">
        <v>74</v>
      </c>
      <c r="X821" s="1" t="s">
        <v>74</v>
      </c>
      <c r="Y821" s="1" t="s">
        <v>74</v>
      </c>
      <c r="Z821" s="1" t="s">
        <v>74</v>
      </c>
      <c r="AA821" s="1" t="s">
        <v>74</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6839</v>
      </c>
      <c r="AP821" s="1" t="s">
        <v>6840</v>
      </c>
      <c r="AQ821" s="1" t="s">
        <v>74</v>
      </c>
      <c r="AR821" s="1" t="s">
        <v>74</v>
      </c>
      <c r="AS821" s="1" t="s">
        <v>74</v>
      </c>
      <c r="AT821" s="1" t="s">
        <v>74</v>
      </c>
      <c r="AU821" s="1">
        <v>2009.0</v>
      </c>
      <c r="AV821" s="1">
        <v>29.0</v>
      </c>
      <c r="AW821" s="1">
        <v>2.0</v>
      </c>
      <c r="AX821" s="1" t="s">
        <v>74</v>
      </c>
      <c r="AY821" s="1" t="s">
        <v>74</v>
      </c>
      <c r="AZ821" s="1" t="s">
        <v>74</v>
      </c>
      <c r="BA821" s="1" t="s">
        <v>74</v>
      </c>
      <c r="BB821" s="1">
        <v>182.0</v>
      </c>
      <c r="BC821" s="1">
        <v>183.0</v>
      </c>
      <c r="BD821" s="1" t="s">
        <v>74</v>
      </c>
      <c r="BE821" s="1" t="s">
        <v>74</v>
      </c>
      <c r="BF821" s="1" t="s">
        <v>74</v>
      </c>
      <c r="BG821" s="1" t="s">
        <v>74</v>
      </c>
      <c r="BH821" s="1" t="s">
        <v>74</v>
      </c>
      <c r="BI821" s="1" t="s">
        <v>74</v>
      </c>
      <c r="BJ821" s="1" t="s">
        <v>74</v>
      </c>
      <c r="BK821" s="1" t="s">
        <v>74</v>
      </c>
      <c r="BL821" s="1" t="s">
        <v>74</v>
      </c>
      <c r="BM821" s="1" t="s">
        <v>74</v>
      </c>
      <c r="BN821" s="1">
        <v>1.9396334E7</v>
      </c>
      <c r="BO821" s="1" t="s">
        <v>74</v>
      </c>
      <c r="BP821" s="1" t="s">
        <v>74</v>
      </c>
      <c r="BQ821" s="1" t="s">
        <v>74</v>
      </c>
      <c r="BR821" s="1" t="s">
        <v>74</v>
      </c>
      <c r="BS821" s="1" t="s">
        <v>6841</v>
      </c>
      <c r="BT821" s="1" t="str">
        <f>HYPERLINK("https%3A%2F%2Fwww.webofscience.com%2Fwos%2Fwoscc%2Ffull-record%2FWOS:000265188200023","View Full Record in Web of Science")</f>
        <v>View Full Record in Web of Science</v>
      </c>
    </row>
    <row r="822" ht="12.75" customHeight="1">
      <c r="A822" s="1" t="s">
        <v>72</v>
      </c>
      <c r="B822" s="1" t="s">
        <v>6842</v>
      </c>
      <c r="C822" s="1" t="s">
        <v>74</v>
      </c>
      <c r="D822" s="1" t="s">
        <v>74</v>
      </c>
      <c r="E822" s="1" t="s">
        <v>74</v>
      </c>
      <c r="F822" s="1" t="s">
        <v>6843</v>
      </c>
      <c r="G822" s="1" t="s">
        <v>74</v>
      </c>
      <c r="H822" s="1" t="s">
        <v>74</v>
      </c>
      <c r="I822" s="1" t="s">
        <v>6844</v>
      </c>
      <c r="J822" s="1" t="s">
        <v>698</v>
      </c>
      <c r="K822" s="1" t="s">
        <v>74</v>
      </c>
      <c r="L822" s="1" t="s">
        <v>74</v>
      </c>
      <c r="M822" s="1" t="s">
        <v>74</v>
      </c>
      <c r="N822" s="1" t="s">
        <v>74</v>
      </c>
      <c r="O822" s="1" t="s">
        <v>74</v>
      </c>
      <c r="P822" s="1" t="s">
        <v>74</v>
      </c>
      <c r="Q822" s="1" t="s">
        <v>74</v>
      </c>
      <c r="R822" s="1" t="s">
        <v>74</v>
      </c>
      <c r="S822" s="1" t="s">
        <v>74</v>
      </c>
      <c r="T822" s="1" t="s">
        <v>74</v>
      </c>
      <c r="U822" s="1" t="s">
        <v>74</v>
      </c>
      <c r="V822" s="1" t="s">
        <v>6845</v>
      </c>
      <c r="W822" s="1" t="s">
        <v>74</v>
      </c>
      <c r="X822" s="1" t="s">
        <v>74</v>
      </c>
      <c r="Y822" s="1" t="s">
        <v>74</v>
      </c>
      <c r="Z822" s="1" t="s">
        <v>74</v>
      </c>
      <c r="AA822" s="1" t="s">
        <v>74</v>
      </c>
      <c r="AB822" s="1" t="s">
        <v>701</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2256</v>
      </c>
      <c r="AP822" s="1" t="s">
        <v>74</v>
      </c>
      <c r="AQ822" s="1" t="s">
        <v>74</v>
      </c>
      <c r="AR822" s="1" t="s">
        <v>74</v>
      </c>
      <c r="AS822" s="1" t="s">
        <v>74</v>
      </c>
      <c r="AT822" s="1" t="s">
        <v>256</v>
      </c>
      <c r="AU822" s="1">
        <v>2008.0</v>
      </c>
      <c r="AV822" s="1">
        <v>53.0</v>
      </c>
      <c r="AW822" s="1">
        <v>1.0</v>
      </c>
      <c r="AX822" s="1" t="s">
        <v>74</v>
      </c>
      <c r="AY822" s="1" t="s">
        <v>74</v>
      </c>
      <c r="AZ822" s="1" t="s">
        <v>74</v>
      </c>
      <c r="BA822" s="1" t="s">
        <v>74</v>
      </c>
      <c r="BB822" s="1">
        <v>1361.0</v>
      </c>
      <c r="BC822" s="1">
        <v>1363.0</v>
      </c>
      <c r="BD822" s="1" t="s">
        <v>74</v>
      </c>
      <c r="BE822" s="1" t="s">
        <v>74</v>
      </c>
      <c r="BF822" s="1" t="s">
        <v>74</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6846</v>
      </c>
      <c r="BT822" s="1" t="str">
        <f>HYPERLINK("https%3A%2F%2Fwww.webofscience.com%2Fwos%2Fwoscc%2Ffull-record%2FWOS:000254056500007","View Full Record in Web of Science")</f>
        <v>View Full Record in Web of Science</v>
      </c>
    </row>
    <row r="823" ht="12.75" customHeight="1">
      <c r="A823" s="1" t="s">
        <v>72</v>
      </c>
      <c r="B823" s="1" t="s">
        <v>6847</v>
      </c>
      <c r="C823" s="1" t="s">
        <v>74</v>
      </c>
      <c r="D823" s="1" t="s">
        <v>74</v>
      </c>
      <c r="E823" s="1" t="s">
        <v>74</v>
      </c>
      <c r="F823" s="1" t="s">
        <v>6848</v>
      </c>
      <c r="G823" s="1" t="s">
        <v>74</v>
      </c>
      <c r="H823" s="1" t="s">
        <v>74</v>
      </c>
      <c r="I823" s="1" t="s">
        <v>6849</v>
      </c>
      <c r="J823" s="1" t="s">
        <v>6850</v>
      </c>
      <c r="K823" s="1" t="s">
        <v>74</v>
      </c>
      <c r="L823" s="1" t="s">
        <v>74</v>
      </c>
      <c r="M823" s="1" t="s">
        <v>74</v>
      </c>
      <c r="N823" s="1" t="s">
        <v>74</v>
      </c>
      <c r="O823" s="1" t="s">
        <v>74</v>
      </c>
      <c r="P823" s="1" t="s">
        <v>74</v>
      </c>
      <c r="Q823" s="1" t="s">
        <v>74</v>
      </c>
      <c r="R823" s="1" t="s">
        <v>74</v>
      </c>
      <c r="S823" s="1" t="s">
        <v>74</v>
      </c>
      <c r="T823" s="1" t="s">
        <v>74</v>
      </c>
      <c r="U823" s="1" t="s">
        <v>74</v>
      </c>
      <c r="V823" s="1" t="s">
        <v>6851</v>
      </c>
      <c r="W823" s="1" t="s">
        <v>74</v>
      </c>
      <c r="X823" s="1" t="s">
        <v>74</v>
      </c>
      <c r="Y823" s="1" t="s">
        <v>74</v>
      </c>
      <c r="Z823" s="1" t="s">
        <v>74</v>
      </c>
      <c r="AA823" s="1" t="s">
        <v>6852</v>
      </c>
      <c r="AB823" s="1" t="s">
        <v>74</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6853</v>
      </c>
      <c r="AP823" s="1" t="s">
        <v>74</v>
      </c>
      <c r="AQ823" s="1" t="s">
        <v>74</v>
      </c>
      <c r="AR823" s="1" t="s">
        <v>74</v>
      </c>
      <c r="AS823" s="1" t="s">
        <v>74</v>
      </c>
      <c r="AT823" s="1" t="s">
        <v>171</v>
      </c>
      <c r="AU823" s="1">
        <v>2007.0</v>
      </c>
      <c r="AV823" s="1">
        <v>50.0</v>
      </c>
      <c r="AW823" s="1" t="s">
        <v>74</v>
      </c>
      <c r="AX823" s="1">
        <v>2.0</v>
      </c>
      <c r="AY823" s="1" t="s">
        <v>74</v>
      </c>
      <c r="AZ823" s="1" t="s">
        <v>74</v>
      </c>
      <c r="BA823" s="1" t="s">
        <v>74</v>
      </c>
      <c r="BB823" s="1">
        <v>477.0</v>
      </c>
      <c r="BC823" s="1">
        <v>492.0</v>
      </c>
      <c r="BD823" s="1" t="s">
        <v>74</v>
      </c>
      <c r="BE823" s="1" t="s">
        <v>6854</v>
      </c>
      <c r="BF823" s="2" t="str">
        <f>HYPERLINK("http://dx.doi.org/10.1017/S0013091505001057","http://dx.doi.org/10.1017/S0013091505001057")</f>
        <v>http://dx.doi.org/10.1017/S0013091505001057</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6855</v>
      </c>
      <c r="BT823" s="1" t="str">
        <f>HYPERLINK("https%3A%2F%2Fwww.webofscience.com%2Fwos%2Fwoscc%2Ffull-record%2FWOS:000247901400013","View Full Record in Web of Science")</f>
        <v>View Full Record in Web of Science</v>
      </c>
    </row>
    <row r="824" ht="12.75" customHeight="1">
      <c r="A824" s="1" t="s">
        <v>72</v>
      </c>
      <c r="B824" s="1" t="s">
        <v>6856</v>
      </c>
      <c r="C824" s="1" t="s">
        <v>74</v>
      </c>
      <c r="D824" s="1" t="s">
        <v>74</v>
      </c>
      <c r="E824" s="1" t="s">
        <v>74</v>
      </c>
      <c r="F824" s="1" t="s">
        <v>6857</v>
      </c>
      <c r="G824" s="1" t="s">
        <v>74</v>
      </c>
      <c r="H824" s="1" t="s">
        <v>74</v>
      </c>
      <c r="I824" s="1" t="s">
        <v>6858</v>
      </c>
      <c r="J824" s="1" t="s">
        <v>698</v>
      </c>
      <c r="K824" s="1" t="s">
        <v>74</v>
      </c>
      <c r="L824" s="1" t="s">
        <v>74</v>
      </c>
      <c r="M824" s="1" t="s">
        <v>74</v>
      </c>
      <c r="N824" s="1" t="s">
        <v>74</v>
      </c>
      <c r="O824" s="1" t="s">
        <v>74</v>
      </c>
      <c r="P824" s="1" t="s">
        <v>74</v>
      </c>
      <c r="Q824" s="1" t="s">
        <v>74</v>
      </c>
      <c r="R824" s="1" t="s">
        <v>74</v>
      </c>
      <c r="S824" s="1" t="s">
        <v>74</v>
      </c>
      <c r="T824" s="1" t="s">
        <v>74</v>
      </c>
      <c r="U824" s="1" t="s">
        <v>74</v>
      </c>
      <c r="V824" s="1" t="s">
        <v>6859</v>
      </c>
      <c r="W824" s="1" t="s">
        <v>74</v>
      </c>
      <c r="X824" s="1" t="s">
        <v>74</v>
      </c>
      <c r="Y824" s="1" t="s">
        <v>74</v>
      </c>
      <c r="Z824" s="1" t="s">
        <v>74</v>
      </c>
      <c r="AA824" s="1" t="s">
        <v>74</v>
      </c>
      <c r="AB824" s="1" t="s">
        <v>74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702</v>
      </c>
      <c r="AP824" s="1" t="s">
        <v>74</v>
      </c>
      <c r="AQ824" s="1" t="s">
        <v>74</v>
      </c>
      <c r="AR824" s="1" t="s">
        <v>74</v>
      </c>
      <c r="AS824" s="1" t="s">
        <v>74</v>
      </c>
      <c r="AT824" s="1" t="s">
        <v>256</v>
      </c>
      <c r="AU824" s="1">
        <v>2007.0</v>
      </c>
      <c r="AV824" s="1">
        <v>52.0</v>
      </c>
      <c r="AW824" s="1">
        <v>1.0</v>
      </c>
      <c r="AX824" s="1" t="s">
        <v>74</v>
      </c>
      <c r="AY824" s="1" t="s">
        <v>74</v>
      </c>
      <c r="AZ824" s="1" t="s">
        <v>74</v>
      </c>
      <c r="BA824" s="1" t="s">
        <v>74</v>
      </c>
      <c r="BB824" s="1">
        <v>1095.0</v>
      </c>
      <c r="BC824" s="1">
        <v>1098.0</v>
      </c>
      <c r="BD824" s="1" t="s">
        <v>74</v>
      </c>
      <c r="BE824" s="1" t="s">
        <v>74</v>
      </c>
      <c r="BF824" s="1" t="s">
        <v>74</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6860</v>
      </c>
      <c r="BT824" s="1" t="str">
        <f>HYPERLINK("https%3A%2F%2Fwww.webofscience.com%2Fwos%2Fwoscc%2Ffull-record%2FWOS:000244696800008","View Full Record in Web of Science")</f>
        <v>View Full Record in Web of Science</v>
      </c>
    </row>
    <row r="825" ht="12.75" customHeight="1">
      <c r="A825" s="1" t="s">
        <v>72</v>
      </c>
      <c r="B825" s="1" t="s">
        <v>6861</v>
      </c>
      <c r="C825" s="1" t="s">
        <v>74</v>
      </c>
      <c r="D825" s="1" t="s">
        <v>74</v>
      </c>
      <c r="E825" s="1" t="s">
        <v>74</v>
      </c>
      <c r="F825" s="1" t="s">
        <v>6862</v>
      </c>
      <c r="G825" s="1" t="s">
        <v>74</v>
      </c>
      <c r="H825" s="1" t="s">
        <v>74</v>
      </c>
      <c r="I825" s="1" t="s">
        <v>6863</v>
      </c>
      <c r="J825" s="1" t="s">
        <v>5142</v>
      </c>
      <c r="K825" s="1" t="s">
        <v>74</v>
      </c>
      <c r="L825" s="1" t="s">
        <v>74</v>
      </c>
      <c r="M825" s="1" t="s">
        <v>74</v>
      </c>
      <c r="N825" s="1" t="s">
        <v>74</v>
      </c>
      <c r="O825" s="1" t="s">
        <v>74</v>
      </c>
      <c r="P825" s="1" t="s">
        <v>74</v>
      </c>
      <c r="Q825" s="1" t="s">
        <v>74</v>
      </c>
      <c r="R825" s="1" t="s">
        <v>74</v>
      </c>
      <c r="S825" s="1" t="s">
        <v>74</v>
      </c>
      <c r="T825" s="1" t="s">
        <v>74</v>
      </c>
      <c r="U825" s="1" t="s">
        <v>74</v>
      </c>
      <c r="V825" s="1" t="s">
        <v>6864</v>
      </c>
      <c r="W825" s="1" t="s">
        <v>74</v>
      </c>
      <c r="X825" s="1" t="s">
        <v>74</v>
      </c>
      <c r="Y825" s="1" t="s">
        <v>74</v>
      </c>
      <c r="Z825" s="1" t="s">
        <v>74</v>
      </c>
      <c r="AA825" s="1" t="s">
        <v>6865</v>
      </c>
      <c r="AB825" s="1" t="s">
        <v>6866</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5146</v>
      </c>
      <c r="AP825" s="1" t="s">
        <v>74</v>
      </c>
      <c r="AQ825" s="1" t="s">
        <v>74</v>
      </c>
      <c r="AR825" s="1" t="s">
        <v>74</v>
      </c>
      <c r="AS825" s="1" t="s">
        <v>74</v>
      </c>
      <c r="AT825" s="1" t="s">
        <v>6867</v>
      </c>
      <c r="AU825" s="1">
        <v>2007.0</v>
      </c>
      <c r="AV825" s="1">
        <v>2.0</v>
      </c>
      <c r="AW825" s="1">
        <v>2.0</v>
      </c>
      <c r="AX825" s="1" t="s">
        <v>74</v>
      </c>
      <c r="AY825" s="1" t="s">
        <v>74</v>
      </c>
      <c r="AZ825" s="1" t="s">
        <v>74</v>
      </c>
      <c r="BA825" s="1" t="s">
        <v>74</v>
      </c>
      <c r="BB825" s="1" t="s">
        <v>74</v>
      </c>
      <c r="BC825" s="1" t="s">
        <v>74</v>
      </c>
      <c r="BD825" s="1" t="s">
        <v>6868</v>
      </c>
      <c r="BE825" s="1" t="s">
        <v>6869</v>
      </c>
      <c r="BF825" s="2" t="str">
        <f>HYPERLINK("http://dx.doi.org/10.1371/journal.pone.0000211","http://dx.doi.org/10.1371/journal.pone.0000211")</f>
        <v>http://dx.doi.org/10.1371/journal.pone.0000211</v>
      </c>
      <c r="BG825" s="1" t="s">
        <v>74</v>
      </c>
      <c r="BH825" s="1" t="s">
        <v>74</v>
      </c>
      <c r="BI825" s="1" t="s">
        <v>74</v>
      </c>
      <c r="BJ825" s="1" t="s">
        <v>74</v>
      </c>
      <c r="BK825" s="1" t="s">
        <v>74</v>
      </c>
      <c r="BL825" s="1" t="s">
        <v>74</v>
      </c>
      <c r="BM825" s="1" t="s">
        <v>74</v>
      </c>
      <c r="BN825" s="1">
        <v>1.7299591E7</v>
      </c>
      <c r="BO825" s="1" t="s">
        <v>74</v>
      </c>
      <c r="BP825" s="1" t="s">
        <v>74</v>
      </c>
      <c r="BQ825" s="1" t="s">
        <v>74</v>
      </c>
      <c r="BR825" s="1" t="s">
        <v>74</v>
      </c>
      <c r="BS825" s="1" t="s">
        <v>6870</v>
      </c>
      <c r="BT825" s="1" t="str">
        <f>HYPERLINK("https%3A%2F%2Fwww.webofscience.com%2Fwos%2Fwoscc%2Ffull-record%2FWOS:000207444400012","View Full Record in Web of Science")</f>
        <v>View Full Record in Web of Science</v>
      </c>
    </row>
    <row r="826" ht="12.75" customHeight="1">
      <c r="A826" s="1" t="s">
        <v>72</v>
      </c>
      <c r="B826" s="1" t="s">
        <v>6871</v>
      </c>
      <c r="C826" s="1" t="s">
        <v>74</v>
      </c>
      <c r="D826" s="1" t="s">
        <v>74</v>
      </c>
      <c r="E826" s="1" t="s">
        <v>74</v>
      </c>
      <c r="F826" s="1" t="s">
        <v>6872</v>
      </c>
      <c r="G826" s="1" t="s">
        <v>74</v>
      </c>
      <c r="H826" s="1" t="s">
        <v>74</v>
      </c>
      <c r="I826" s="1" t="s">
        <v>6873</v>
      </c>
      <c r="J826" s="1" t="s">
        <v>6874</v>
      </c>
      <c r="K826" s="1" t="s">
        <v>74</v>
      </c>
      <c r="L826" s="1" t="s">
        <v>74</v>
      </c>
      <c r="M826" s="1" t="s">
        <v>74</v>
      </c>
      <c r="N826" s="1" t="s">
        <v>74</v>
      </c>
      <c r="O826" s="1" t="s">
        <v>74</v>
      </c>
      <c r="P826" s="1" t="s">
        <v>74</v>
      </c>
      <c r="Q826" s="1" t="s">
        <v>74</v>
      </c>
      <c r="R826" s="1" t="s">
        <v>74</v>
      </c>
      <c r="S826" s="1" t="s">
        <v>74</v>
      </c>
      <c r="T826" s="1" t="s">
        <v>74</v>
      </c>
      <c r="U826" s="1" t="s">
        <v>74</v>
      </c>
      <c r="V826" s="1" t="s">
        <v>6875</v>
      </c>
      <c r="W826" s="1" t="s">
        <v>74</v>
      </c>
      <c r="X826" s="1" t="s">
        <v>74</v>
      </c>
      <c r="Y826" s="1" t="s">
        <v>74</v>
      </c>
      <c r="Z826" s="1" t="s">
        <v>74</v>
      </c>
      <c r="AA826" s="1" t="s">
        <v>6876</v>
      </c>
      <c r="AB826" s="1" t="s">
        <v>6877</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6878</v>
      </c>
      <c r="AP826" s="1" t="s">
        <v>74</v>
      </c>
      <c r="AQ826" s="1" t="s">
        <v>74</v>
      </c>
      <c r="AR826" s="1" t="s">
        <v>74</v>
      </c>
      <c r="AS826" s="1" t="s">
        <v>74</v>
      </c>
      <c r="AT826" s="1" t="s">
        <v>74</v>
      </c>
      <c r="AU826" s="1">
        <v>2007.0</v>
      </c>
      <c r="AV826" s="1">
        <v>10.0</v>
      </c>
      <c r="AW826" s="1">
        <v>4.0</v>
      </c>
      <c r="AX826" s="1" t="s">
        <v>74</v>
      </c>
      <c r="AY826" s="1" t="s">
        <v>74</v>
      </c>
      <c r="AZ826" s="1" t="s">
        <v>74</v>
      </c>
      <c r="BA826" s="1" t="s">
        <v>74</v>
      </c>
      <c r="BB826" s="1">
        <v>841.0</v>
      </c>
      <c r="BC826" s="1">
        <v>851.0</v>
      </c>
      <c r="BD826" s="1" t="s">
        <v>74</v>
      </c>
      <c r="BE826" s="1" t="s">
        <v>6879</v>
      </c>
      <c r="BF826" s="2" t="str">
        <f>HYPERLINK("http://dx.doi.org/10.1080/10942910601128895","http://dx.doi.org/10.1080/10942910601128895")</f>
        <v>http://dx.doi.org/10.1080/10942910601128895</v>
      </c>
      <c r="BG826" s="1" t="s">
        <v>74</v>
      </c>
      <c r="BH826" s="1" t="s">
        <v>74</v>
      </c>
      <c r="BI826" s="1" t="s">
        <v>74</v>
      </c>
      <c r="BJ826" s="1" t="s">
        <v>74</v>
      </c>
      <c r="BK826" s="1" t="s">
        <v>74</v>
      </c>
      <c r="BL826" s="1" t="s">
        <v>74</v>
      </c>
      <c r="BM826" s="1" t="s">
        <v>74</v>
      </c>
      <c r="BN826" s="1" t="s">
        <v>74</v>
      </c>
      <c r="BO826" s="1" t="s">
        <v>74</v>
      </c>
      <c r="BP826" s="1" t="s">
        <v>74</v>
      </c>
      <c r="BQ826" s="1" t="s">
        <v>74</v>
      </c>
      <c r="BR826" s="1" t="s">
        <v>74</v>
      </c>
      <c r="BS826" s="1" t="s">
        <v>6880</v>
      </c>
      <c r="BT826" s="1" t="str">
        <f>HYPERLINK("https%3A%2F%2Fwww.webofscience.com%2Fwos%2Fwoscc%2Ffull-record%2FWOS:000251080700011","View Full Record in Web of Science")</f>
        <v>View Full Record in Web of Science</v>
      </c>
    </row>
    <row r="827" ht="12.75" customHeight="1">
      <c r="A827" s="1" t="s">
        <v>72</v>
      </c>
      <c r="B827" s="1" t="s">
        <v>6881</v>
      </c>
      <c r="C827" s="1" t="s">
        <v>74</v>
      </c>
      <c r="D827" s="1" t="s">
        <v>74</v>
      </c>
      <c r="E827" s="1" t="s">
        <v>74</v>
      </c>
      <c r="F827" s="1" t="s">
        <v>6882</v>
      </c>
      <c r="G827" s="1" t="s">
        <v>74</v>
      </c>
      <c r="H827" s="1" t="s">
        <v>74</v>
      </c>
      <c r="I827" s="1" t="s">
        <v>6883</v>
      </c>
      <c r="J827" s="1" t="s">
        <v>514</v>
      </c>
      <c r="K827" s="1" t="s">
        <v>74</v>
      </c>
      <c r="L827" s="1" t="s">
        <v>74</v>
      </c>
      <c r="M827" s="1" t="s">
        <v>74</v>
      </c>
      <c r="N827" s="1" t="s">
        <v>74</v>
      </c>
      <c r="O827" s="1" t="s">
        <v>6884</v>
      </c>
      <c r="P827" s="1" t="s">
        <v>6885</v>
      </c>
      <c r="Q827" s="1" t="s">
        <v>6791</v>
      </c>
      <c r="R827" s="1" t="s">
        <v>74</v>
      </c>
      <c r="S827" s="1" t="s">
        <v>74</v>
      </c>
      <c r="T827" s="1" t="s">
        <v>74</v>
      </c>
      <c r="U827" s="1" t="s">
        <v>74</v>
      </c>
      <c r="V827" s="1" t="s">
        <v>6886</v>
      </c>
      <c r="W827" s="1" t="s">
        <v>74</v>
      </c>
      <c r="X827" s="1" t="s">
        <v>74</v>
      </c>
      <c r="Y827" s="1" t="s">
        <v>74</v>
      </c>
      <c r="Z827" s="1" t="s">
        <v>74</v>
      </c>
      <c r="AA827" s="1" t="s">
        <v>74</v>
      </c>
      <c r="AB827" s="1" t="s">
        <v>74</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516</v>
      </c>
      <c r="AP827" s="1" t="s">
        <v>74</v>
      </c>
      <c r="AQ827" s="1" t="s">
        <v>74</v>
      </c>
      <c r="AR827" s="1" t="s">
        <v>74</v>
      </c>
      <c r="AS827" s="1" t="s">
        <v>74</v>
      </c>
      <c r="AT827" s="1" t="s">
        <v>74</v>
      </c>
      <c r="AU827" s="1">
        <v>2007.0</v>
      </c>
      <c r="AV827" s="1">
        <v>25.0</v>
      </c>
      <c r="AW827" s="1" t="s">
        <v>6887</v>
      </c>
      <c r="AX827" s="1" t="s">
        <v>74</v>
      </c>
      <c r="AY827" s="1" t="s">
        <v>74</v>
      </c>
      <c r="AZ827" s="1" t="s">
        <v>74</v>
      </c>
      <c r="BA827" s="1" t="s">
        <v>74</v>
      </c>
      <c r="BB827" s="1">
        <v>581.0</v>
      </c>
      <c r="BC827" s="1">
        <v>590.0</v>
      </c>
      <c r="BD827" s="1" t="s">
        <v>74</v>
      </c>
      <c r="BE827" s="1" t="s">
        <v>6888</v>
      </c>
      <c r="BF827" s="2" t="str">
        <f>HYPERLINK("http://dx.doi.org/10.1080/07373930701227011","http://dx.doi.org/10.1080/07373930701227011")</f>
        <v>http://dx.doi.org/10.1080/07373930701227011</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6889</v>
      </c>
      <c r="BT827" s="1" t="str">
        <f>HYPERLINK("https%3A%2F%2Fwww.webofscience.com%2Fwos%2Fwoscc%2Ffull-record%2FWOS:000247677200009","View Full Record in Web of Science")</f>
        <v>View Full Record in Web of Science</v>
      </c>
    </row>
    <row r="828" ht="12.75" customHeight="1">
      <c r="A828" s="1" t="s">
        <v>72</v>
      </c>
      <c r="B828" s="1" t="s">
        <v>6890</v>
      </c>
      <c r="C828" s="1" t="s">
        <v>74</v>
      </c>
      <c r="D828" s="1" t="s">
        <v>74</v>
      </c>
      <c r="E828" s="1" t="s">
        <v>74</v>
      </c>
      <c r="F828" s="1" t="s">
        <v>6891</v>
      </c>
      <c r="G828" s="1" t="s">
        <v>74</v>
      </c>
      <c r="H828" s="1" t="s">
        <v>74</v>
      </c>
      <c r="I828" s="1" t="s">
        <v>6892</v>
      </c>
      <c r="J828" s="1" t="s">
        <v>1604</v>
      </c>
      <c r="K828" s="1" t="s">
        <v>74</v>
      </c>
      <c r="L828" s="1" t="s">
        <v>74</v>
      </c>
      <c r="M828" s="1" t="s">
        <v>74</v>
      </c>
      <c r="N828" s="1" t="s">
        <v>74</v>
      </c>
      <c r="O828" s="1" t="s">
        <v>6893</v>
      </c>
      <c r="P828" s="1" t="s">
        <v>6894</v>
      </c>
      <c r="Q828" s="1" t="s">
        <v>1607</v>
      </c>
      <c r="R828" s="1" t="s">
        <v>74</v>
      </c>
      <c r="S828" s="1" t="s">
        <v>74</v>
      </c>
      <c r="T828" s="1" t="s">
        <v>74</v>
      </c>
      <c r="U828" s="1" t="s">
        <v>74</v>
      </c>
      <c r="V828" s="1" t="s">
        <v>6895</v>
      </c>
      <c r="W828" s="1" t="s">
        <v>74</v>
      </c>
      <c r="X828" s="1" t="s">
        <v>74</v>
      </c>
      <c r="Y828" s="1" t="s">
        <v>74</v>
      </c>
      <c r="Z828" s="1" t="s">
        <v>74</v>
      </c>
      <c r="AA828" s="1" t="s">
        <v>6896</v>
      </c>
      <c r="AB828" s="1" t="s">
        <v>6897</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1611</v>
      </c>
      <c r="AP828" s="1" t="s">
        <v>1612</v>
      </c>
      <c r="AQ828" s="1" t="s">
        <v>74</v>
      </c>
      <c r="AR828" s="1" t="s">
        <v>74</v>
      </c>
      <c r="AS828" s="1" t="s">
        <v>74</v>
      </c>
      <c r="AT828" s="1" t="s">
        <v>410</v>
      </c>
      <c r="AU828" s="1">
        <v>2006.0</v>
      </c>
      <c r="AV828" s="1">
        <v>19.0</v>
      </c>
      <c r="AW828" s="1">
        <v>11.0</v>
      </c>
      <c r="AX828" s="1" t="s">
        <v>74</v>
      </c>
      <c r="AY828" s="1" t="s">
        <v>74</v>
      </c>
      <c r="AZ828" s="1" t="s">
        <v>74</v>
      </c>
      <c r="BA828" s="1" t="s">
        <v>74</v>
      </c>
      <c r="BB828" s="1">
        <v>759.0</v>
      </c>
      <c r="BC828" s="1">
        <v>764.0</v>
      </c>
      <c r="BD828" s="1" t="s">
        <v>74</v>
      </c>
      <c r="BE828" s="1" t="s">
        <v>6898</v>
      </c>
      <c r="BF828" s="2" t="str">
        <f>HYPERLINK("http://dx.doi.org/10.1002/poc.1071","http://dx.doi.org/10.1002/poc.1071")</f>
        <v>http://dx.doi.org/10.1002/poc.1071</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6899</v>
      </c>
      <c r="BT828" s="1" t="str">
        <f>HYPERLINK("https%3A%2F%2Fwww.webofscience.com%2Fwos%2Fwoscc%2Ffull-record%2FWOS:000245333500011","View Full Record in Web of Science")</f>
        <v>View Full Record in Web of Science</v>
      </c>
    </row>
    <row r="829" ht="12.75" customHeight="1">
      <c r="A829" s="1" t="s">
        <v>72</v>
      </c>
      <c r="B829" s="1" t="s">
        <v>6900</v>
      </c>
      <c r="C829" s="1" t="s">
        <v>74</v>
      </c>
      <c r="D829" s="1" t="s">
        <v>74</v>
      </c>
      <c r="E829" s="1" t="s">
        <v>74</v>
      </c>
      <c r="F829" s="1" t="s">
        <v>6901</v>
      </c>
      <c r="G829" s="1" t="s">
        <v>74</v>
      </c>
      <c r="H829" s="1" t="s">
        <v>74</v>
      </c>
      <c r="I829" s="1" t="s">
        <v>6902</v>
      </c>
      <c r="J829" s="1" t="s">
        <v>1604</v>
      </c>
      <c r="K829" s="1" t="s">
        <v>74</v>
      </c>
      <c r="L829" s="1" t="s">
        <v>74</v>
      </c>
      <c r="M829" s="1" t="s">
        <v>74</v>
      </c>
      <c r="N829" s="1" t="s">
        <v>74</v>
      </c>
      <c r="O829" s="1" t="s">
        <v>6893</v>
      </c>
      <c r="P829" s="1" t="s">
        <v>6894</v>
      </c>
      <c r="Q829" s="1" t="s">
        <v>1607</v>
      </c>
      <c r="R829" s="1" t="s">
        <v>74</v>
      </c>
      <c r="S829" s="1" t="s">
        <v>74</v>
      </c>
      <c r="T829" s="1" t="s">
        <v>74</v>
      </c>
      <c r="U829" s="1" t="s">
        <v>74</v>
      </c>
      <c r="V829" s="1" t="s">
        <v>6903</v>
      </c>
      <c r="W829" s="1" t="s">
        <v>74</v>
      </c>
      <c r="X829" s="1" t="s">
        <v>74</v>
      </c>
      <c r="Y829" s="1" t="s">
        <v>74</v>
      </c>
      <c r="Z829" s="1" t="s">
        <v>74</v>
      </c>
      <c r="AA829" s="1" t="s">
        <v>6904</v>
      </c>
      <c r="AB829" s="1" t="s">
        <v>6905</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1611</v>
      </c>
      <c r="AP829" s="1" t="s">
        <v>1612</v>
      </c>
      <c r="AQ829" s="1" t="s">
        <v>74</v>
      </c>
      <c r="AR829" s="1" t="s">
        <v>74</v>
      </c>
      <c r="AS829" s="1" t="s">
        <v>74</v>
      </c>
      <c r="AT829" s="1" t="s">
        <v>410</v>
      </c>
      <c r="AU829" s="1">
        <v>2006.0</v>
      </c>
      <c r="AV829" s="1">
        <v>19.0</v>
      </c>
      <c r="AW829" s="1">
        <v>11.0</v>
      </c>
      <c r="AX829" s="1" t="s">
        <v>74</v>
      </c>
      <c r="AY829" s="1" t="s">
        <v>74</v>
      </c>
      <c r="AZ829" s="1" t="s">
        <v>74</v>
      </c>
      <c r="BA829" s="1" t="s">
        <v>74</v>
      </c>
      <c r="BB829" s="1">
        <v>786.0</v>
      </c>
      <c r="BC829" s="1">
        <v>792.0</v>
      </c>
      <c r="BD829" s="1" t="s">
        <v>74</v>
      </c>
      <c r="BE829" s="1" t="s">
        <v>6906</v>
      </c>
      <c r="BF829" s="2" t="str">
        <f>HYPERLINK("http://dx.doi.org/10.1002/poc.1080","http://dx.doi.org/10.1002/poc.1080")</f>
        <v>http://dx.doi.org/10.1002/poc.1080</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6907</v>
      </c>
      <c r="BT829" s="1" t="str">
        <f>HYPERLINK("https%3A%2F%2Fwww.webofscience.com%2Fwos%2Fwoscc%2Ffull-record%2FWOS:000245333500016","View Full Record in Web of Science")</f>
        <v>View Full Record in Web of Science</v>
      </c>
    </row>
    <row r="830" ht="12.75" customHeight="1">
      <c r="A830" s="1" t="s">
        <v>72</v>
      </c>
      <c r="B830" s="1" t="s">
        <v>6908</v>
      </c>
      <c r="C830" s="1" t="s">
        <v>74</v>
      </c>
      <c r="D830" s="1" t="s">
        <v>74</v>
      </c>
      <c r="E830" s="1" t="s">
        <v>74</v>
      </c>
      <c r="F830" s="1" t="s">
        <v>6909</v>
      </c>
      <c r="G830" s="1" t="s">
        <v>74</v>
      </c>
      <c r="H830" s="1" t="s">
        <v>74</v>
      </c>
      <c r="I830" s="1" t="s">
        <v>6910</v>
      </c>
      <c r="J830" s="1" t="s">
        <v>6911</v>
      </c>
      <c r="K830" s="1" t="s">
        <v>74</v>
      </c>
      <c r="L830" s="1" t="s">
        <v>74</v>
      </c>
      <c r="M830" s="1" t="s">
        <v>74</v>
      </c>
      <c r="N830" s="1" t="s">
        <v>74</v>
      </c>
      <c r="O830" s="1" t="s">
        <v>74</v>
      </c>
      <c r="P830" s="1" t="s">
        <v>74</v>
      </c>
      <c r="Q830" s="1" t="s">
        <v>74</v>
      </c>
      <c r="R830" s="1" t="s">
        <v>74</v>
      </c>
      <c r="S830" s="1" t="s">
        <v>74</v>
      </c>
      <c r="T830" s="1" t="s">
        <v>74</v>
      </c>
      <c r="U830" s="1" t="s">
        <v>74</v>
      </c>
      <c r="V830" s="1" t="s">
        <v>6912</v>
      </c>
      <c r="W830" s="1" t="s">
        <v>74</v>
      </c>
      <c r="X830" s="1" t="s">
        <v>74</v>
      </c>
      <c r="Y830" s="1" t="s">
        <v>74</v>
      </c>
      <c r="Z830" s="1" t="s">
        <v>74</v>
      </c>
      <c r="AA830" s="1" t="s">
        <v>6913</v>
      </c>
      <c r="AB830" s="1" t="s">
        <v>6914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6915</v>
      </c>
      <c r="AP830" s="1" t="s">
        <v>6916</v>
      </c>
      <c r="AQ830" s="1" t="s">
        <v>74</v>
      </c>
      <c r="AR830" s="1" t="s">
        <v>74</v>
      </c>
      <c r="AS830" s="1" t="s">
        <v>74</v>
      </c>
      <c r="AT830" s="1" t="s">
        <v>158</v>
      </c>
      <c r="AU830" s="1">
        <v>2006.0</v>
      </c>
      <c r="AV830" s="1">
        <v>42.0</v>
      </c>
      <c r="AW830" s="1">
        <v>9.0</v>
      </c>
      <c r="AX830" s="1" t="s">
        <v>74</v>
      </c>
      <c r="AY830" s="1" t="s">
        <v>74</v>
      </c>
      <c r="AZ830" s="1" t="s">
        <v>74</v>
      </c>
      <c r="BA830" s="1" t="s">
        <v>74</v>
      </c>
      <c r="BB830" s="1">
        <v>453.0</v>
      </c>
      <c r="BC830" s="1">
        <v>456.0</v>
      </c>
      <c r="BD830" s="1" t="s">
        <v>74</v>
      </c>
      <c r="BE830" s="1" t="s">
        <v>6917</v>
      </c>
      <c r="BF830" s="2" t="str">
        <f>HYPERLINK("http://dx.doi.org/10.1016/S1579-2129(06)60568-5","http://dx.doi.org/10.1016/S1579-2129(06)60568-5")</f>
        <v>http://dx.doi.org/10.1016/S1579-2129(06)60568-5</v>
      </c>
      <c r="BG830" s="1" t="s">
        <v>74</v>
      </c>
      <c r="BH830" s="1" t="s">
        <v>74</v>
      </c>
      <c r="BI830" s="1" t="s">
        <v>74</v>
      </c>
      <c r="BJ830" s="1" t="s">
        <v>74</v>
      </c>
      <c r="BK830" s="1" t="s">
        <v>74</v>
      </c>
      <c r="BL830" s="1" t="s">
        <v>74</v>
      </c>
      <c r="BM830" s="1" t="s">
        <v>74</v>
      </c>
      <c r="BN830" s="1">
        <v>1.7040661E7</v>
      </c>
      <c r="BO830" s="1" t="s">
        <v>74</v>
      </c>
      <c r="BP830" s="1" t="s">
        <v>74</v>
      </c>
      <c r="BQ830" s="1" t="s">
        <v>74</v>
      </c>
      <c r="BR830" s="1" t="s">
        <v>74</v>
      </c>
      <c r="BS830" s="1" t="s">
        <v>6918</v>
      </c>
      <c r="BT830" s="1" t="str">
        <f>HYPERLINK("https%3A%2F%2Fwww.webofscience.com%2Fwos%2Fwoscc%2Ffull-record%2FWOS:000240794300007","View Full Record in Web of Science")</f>
        <v>View Full Record in Web of Science</v>
      </c>
    </row>
    <row r="831" ht="12.75" customHeight="1">
      <c r="A831" s="1" t="s">
        <v>72</v>
      </c>
      <c r="B831" s="1" t="s">
        <v>4016</v>
      </c>
      <c r="C831" s="1" t="s">
        <v>74</v>
      </c>
      <c r="D831" s="1" t="s">
        <v>74</v>
      </c>
      <c r="E831" s="1" t="s">
        <v>74</v>
      </c>
      <c r="F831" s="1" t="s">
        <v>4017</v>
      </c>
      <c r="G831" s="1" t="s">
        <v>74</v>
      </c>
      <c r="H831" s="1" t="s">
        <v>74</v>
      </c>
      <c r="I831" s="1" t="s">
        <v>6919</v>
      </c>
      <c r="J831" s="1" t="s">
        <v>6765</v>
      </c>
      <c r="K831" s="1" t="s">
        <v>74</v>
      </c>
      <c r="L831" s="1" t="s">
        <v>74</v>
      </c>
      <c r="M831" s="1" t="s">
        <v>74</v>
      </c>
      <c r="N831" s="1" t="s">
        <v>74</v>
      </c>
      <c r="O831" s="1" t="s">
        <v>74</v>
      </c>
      <c r="P831" s="1" t="s">
        <v>74</v>
      </c>
      <c r="Q831" s="1" t="s">
        <v>74</v>
      </c>
      <c r="R831" s="1" t="s">
        <v>74</v>
      </c>
      <c r="S831" s="1" t="s">
        <v>74</v>
      </c>
      <c r="T831" s="1" t="s">
        <v>74</v>
      </c>
      <c r="U831" s="1" t="s">
        <v>74</v>
      </c>
      <c r="V831" s="1" t="s">
        <v>6920</v>
      </c>
      <c r="W831" s="1" t="s">
        <v>74</v>
      </c>
      <c r="X831" s="1" t="s">
        <v>74</v>
      </c>
      <c r="Y831" s="1" t="s">
        <v>74</v>
      </c>
      <c r="Z831" s="1" t="s">
        <v>74</v>
      </c>
      <c r="AA831" s="1" t="s">
        <v>4020</v>
      </c>
      <c r="AB831" s="1" t="s">
        <v>391</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6768</v>
      </c>
      <c r="AP831" s="1" t="s">
        <v>6769</v>
      </c>
      <c r="AQ831" s="1" t="s">
        <v>74</v>
      </c>
      <c r="AR831" s="1" t="s">
        <v>74</v>
      </c>
      <c r="AS831" s="1" t="s">
        <v>74</v>
      </c>
      <c r="AT831" s="1" t="s">
        <v>74</v>
      </c>
      <c r="AU831" s="1">
        <v>2006.0</v>
      </c>
      <c r="AV831" s="1">
        <v>175.0</v>
      </c>
      <c r="AW831" s="1">
        <v>1.0</v>
      </c>
      <c r="AX831" s="1" t="s">
        <v>74</v>
      </c>
      <c r="AY831" s="1" t="s">
        <v>74</v>
      </c>
      <c r="AZ831" s="1" t="s">
        <v>74</v>
      </c>
      <c r="BA831" s="1" t="s">
        <v>74</v>
      </c>
      <c r="BB831" s="1">
        <v>91.0</v>
      </c>
      <c r="BC831" s="1">
        <v>102.0</v>
      </c>
      <c r="BD831" s="1" t="s">
        <v>74</v>
      </c>
      <c r="BE831" s="1" t="s">
        <v>6921</v>
      </c>
      <c r="BF831" s="2" t="str">
        <f>HYPERLINK("http://dx.doi.org/10.4064/sm175-1-6","http://dx.doi.org/10.4064/sm175-1-6")</f>
        <v>http://dx.doi.org/10.4064/sm175-1-6</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6922</v>
      </c>
      <c r="BT831" s="1" t="str">
        <f>HYPERLINK("https%3A%2F%2Fwww.webofscience.com%2Fwos%2Fwoscc%2Ffull-record%2FWOS:000240691500006","View Full Record in Web of Science")</f>
        <v>View Full Record in Web of Science</v>
      </c>
    </row>
    <row r="832" ht="12.75" customHeight="1">
      <c r="A832" s="1" t="s">
        <v>126</v>
      </c>
      <c r="B832" s="1" t="s">
        <v>6923</v>
      </c>
      <c r="C832" s="1" t="s">
        <v>74</v>
      </c>
      <c r="D832" s="1" t="s">
        <v>6924</v>
      </c>
      <c r="E832" s="1" t="s">
        <v>74</v>
      </c>
      <c r="F832" s="1" t="s">
        <v>6925</v>
      </c>
      <c r="G832" s="1" t="s">
        <v>74</v>
      </c>
      <c r="H832" s="1" t="s">
        <v>74</v>
      </c>
      <c r="I832" s="1" t="s">
        <v>6926</v>
      </c>
      <c r="J832" s="1" t="s">
        <v>6927</v>
      </c>
      <c r="K832" s="1" t="s">
        <v>6928</v>
      </c>
      <c r="L832" s="1" t="s">
        <v>74</v>
      </c>
      <c r="M832" s="1" t="s">
        <v>74</v>
      </c>
      <c r="N832" s="1" t="s">
        <v>74</v>
      </c>
      <c r="O832" s="1" t="s">
        <v>6929</v>
      </c>
      <c r="P832" s="1" t="s">
        <v>6930</v>
      </c>
      <c r="Q832" s="1" t="s">
        <v>6931</v>
      </c>
      <c r="R832" s="1" t="s">
        <v>6932</v>
      </c>
      <c r="S832" s="1" t="s">
        <v>74</v>
      </c>
      <c r="T832" s="1" t="s">
        <v>74</v>
      </c>
      <c r="U832" s="1" t="s">
        <v>74</v>
      </c>
      <c r="V832" s="1" t="s">
        <v>6933</v>
      </c>
      <c r="W832" s="1" t="s">
        <v>74</v>
      </c>
      <c r="X832" s="1" t="s">
        <v>74</v>
      </c>
      <c r="Y832" s="1" t="s">
        <v>74</v>
      </c>
      <c r="Z832" s="1" t="s">
        <v>74</v>
      </c>
      <c r="AA832" s="1" t="s">
        <v>6934</v>
      </c>
      <c r="AB832" s="1" t="s">
        <v>6935</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1558</v>
      </c>
      <c r="AP832" s="1" t="s">
        <v>74</v>
      </c>
      <c r="AQ832" s="1" t="s">
        <v>74</v>
      </c>
      <c r="AR832" s="1" t="s">
        <v>74</v>
      </c>
      <c r="AS832" s="1" t="s">
        <v>74</v>
      </c>
      <c r="AT832" s="1" t="s">
        <v>74</v>
      </c>
      <c r="AU832" s="1">
        <v>2006.0</v>
      </c>
      <c r="AV832" s="1">
        <v>38.0</v>
      </c>
      <c r="AW832" s="1">
        <v>8.0</v>
      </c>
      <c r="AX832" s="1" t="s">
        <v>74</v>
      </c>
      <c r="AY832" s="1" t="s">
        <v>74</v>
      </c>
      <c r="AZ832" s="1" t="s">
        <v>74</v>
      </c>
      <c r="BA832" s="1" t="s">
        <v>74</v>
      </c>
      <c r="BB832" s="1">
        <v>1631.0</v>
      </c>
      <c r="BC832" s="1">
        <v>1636.0</v>
      </c>
      <c r="BD832" s="1" t="s">
        <v>74</v>
      </c>
      <c r="BE832" s="1" t="s">
        <v>6936</v>
      </c>
      <c r="BF832" s="2" t="str">
        <f>HYPERLINK("http://dx.doi.org/10.1016/j.asr.2006.05.013","http://dx.doi.org/10.1016/j.asr.2006.05.013")</f>
        <v>http://dx.doi.org/10.1016/j.asr.2006.05.013</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6937</v>
      </c>
      <c r="BT832" s="1" t="str">
        <f>HYPERLINK("https%3A%2F%2Fwww.webofscience.com%2Fwos%2Fwoscc%2Ffull-record%2FWOS:000245035000009","View Full Record in Web of Science")</f>
        <v>View Full Record in Web of Science</v>
      </c>
    </row>
    <row r="833" ht="12.75" customHeight="1">
      <c r="A833" s="1" t="s">
        <v>72</v>
      </c>
      <c r="B833" s="1" t="s">
        <v>6938</v>
      </c>
      <c r="C833" s="1" t="s">
        <v>74</v>
      </c>
      <c r="D833" s="1" t="s">
        <v>74</v>
      </c>
      <c r="E833" s="1" t="s">
        <v>74</v>
      </c>
      <c r="F833" s="1" t="s">
        <v>6938</v>
      </c>
      <c r="G833" s="1" t="s">
        <v>74</v>
      </c>
      <c r="H833" s="1" t="s">
        <v>74</v>
      </c>
      <c r="I833" s="1" t="s">
        <v>6939</v>
      </c>
      <c r="J833" s="1" t="s">
        <v>5319</v>
      </c>
      <c r="K833" s="1" t="s">
        <v>74</v>
      </c>
      <c r="L833" s="1" t="s">
        <v>74</v>
      </c>
      <c r="M833" s="1" t="s">
        <v>74</v>
      </c>
      <c r="N833" s="1" t="s">
        <v>74</v>
      </c>
      <c r="O833" s="1" t="s">
        <v>74</v>
      </c>
      <c r="P833" s="1" t="s">
        <v>74</v>
      </c>
      <c r="Q833" s="1" t="s">
        <v>74</v>
      </c>
      <c r="R833" s="1" t="s">
        <v>74</v>
      </c>
      <c r="S833" s="1" t="s">
        <v>74</v>
      </c>
      <c r="T833" s="1" t="s">
        <v>74</v>
      </c>
      <c r="U833" s="1" t="s">
        <v>74</v>
      </c>
      <c r="V833" s="1" t="s">
        <v>6940</v>
      </c>
      <c r="W833" s="1" t="s">
        <v>74</v>
      </c>
      <c r="X833" s="1" t="s">
        <v>74</v>
      </c>
      <c r="Y833" s="1" t="s">
        <v>74</v>
      </c>
      <c r="Z833" s="1" t="s">
        <v>74</v>
      </c>
      <c r="AA833" s="1" t="s">
        <v>5420</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5323</v>
      </c>
      <c r="AP833" s="1" t="s">
        <v>5324</v>
      </c>
      <c r="AQ833" s="1" t="s">
        <v>74</v>
      </c>
      <c r="AR833" s="1" t="s">
        <v>74</v>
      </c>
      <c r="AS833" s="1" t="s">
        <v>74</v>
      </c>
      <c r="AT833" s="1" t="s">
        <v>74</v>
      </c>
      <c r="AU833" s="1">
        <v>2005.0</v>
      </c>
      <c r="AV833" s="1">
        <v>38.0</v>
      </c>
      <c r="AW833" s="1">
        <v>6.0</v>
      </c>
      <c r="AX833" s="1" t="s">
        <v>74</v>
      </c>
      <c r="AY833" s="1" t="s">
        <v>74</v>
      </c>
      <c r="AZ833" s="1" t="s">
        <v>74</v>
      </c>
      <c r="BA833" s="1" t="s">
        <v>74</v>
      </c>
      <c r="BB833" s="1">
        <v>599.0</v>
      </c>
      <c r="BC833" s="1">
        <v>604.0</v>
      </c>
      <c r="BD833" s="1" t="s">
        <v>74</v>
      </c>
      <c r="BE833" s="1" t="s">
        <v>6941</v>
      </c>
      <c r="BF833" s="2" t="str">
        <f>HYPERLINK("http://dx.doi.org/10.1016/j.lwt.2004.08.008","http://dx.doi.org/10.1016/j.lwt.2004.08.008")</f>
        <v>http://dx.doi.org/10.1016/j.lwt.2004.08.008</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6942</v>
      </c>
      <c r="BT833" s="1" t="str">
        <f>HYPERLINK("https%3A%2F%2Fwww.webofscience.com%2Fwos%2Fwoscc%2Ffull-record%2FWOS:000228950000004","View Full Record in Web of Science")</f>
        <v>View Full Record in Web of Science</v>
      </c>
    </row>
    <row r="834" ht="12.75" customHeight="1">
      <c r="A834" s="1" t="s">
        <v>72</v>
      </c>
      <c r="B834" s="1" t="s">
        <v>3197</v>
      </c>
      <c r="C834" s="1" t="s">
        <v>74</v>
      </c>
      <c r="D834" s="1" t="s">
        <v>74</v>
      </c>
      <c r="E834" s="1" t="s">
        <v>74</v>
      </c>
      <c r="F834" s="1" t="s">
        <v>3197</v>
      </c>
      <c r="G834" s="1" t="s">
        <v>74</v>
      </c>
      <c r="H834" s="1" t="s">
        <v>74</v>
      </c>
      <c r="I834" s="1" t="s">
        <v>6943</v>
      </c>
      <c r="J834" s="1" t="s">
        <v>4027</v>
      </c>
      <c r="K834" s="1" t="s">
        <v>74</v>
      </c>
      <c r="L834" s="1" t="s">
        <v>74</v>
      </c>
      <c r="M834" s="1" t="s">
        <v>74</v>
      </c>
      <c r="N834" s="1" t="s">
        <v>74</v>
      </c>
      <c r="O834" s="1" t="s">
        <v>74</v>
      </c>
      <c r="P834" s="1" t="s">
        <v>74</v>
      </c>
      <c r="Q834" s="1" t="s">
        <v>74</v>
      </c>
      <c r="R834" s="1" t="s">
        <v>74</v>
      </c>
      <c r="S834" s="1" t="s">
        <v>74</v>
      </c>
      <c r="T834" s="1" t="s">
        <v>74</v>
      </c>
      <c r="U834" s="1" t="s">
        <v>74</v>
      </c>
      <c r="V834" s="1" t="s">
        <v>6944</v>
      </c>
      <c r="W834" s="1" t="s">
        <v>74</v>
      </c>
      <c r="X834" s="1" t="s">
        <v>74</v>
      </c>
      <c r="Y834" s="1" t="s">
        <v>74</v>
      </c>
      <c r="Z834" s="1" t="s">
        <v>74</v>
      </c>
      <c r="AA834" s="1" t="s">
        <v>3200</v>
      </c>
      <c r="AB834" s="1" t="s">
        <v>3201</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4029</v>
      </c>
      <c r="AP834" s="1" t="s">
        <v>74</v>
      </c>
      <c r="AQ834" s="1" t="s">
        <v>74</v>
      </c>
      <c r="AR834" s="1" t="s">
        <v>74</v>
      </c>
      <c r="AS834" s="1" t="s">
        <v>74</v>
      </c>
      <c r="AT834" s="1" t="s">
        <v>158</v>
      </c>
      <c r="AU834" s="1">
        <v>2004.0</v>
      </c>
      <c r="AV834" s="1">
        <v>25.0</v>
      </c>
      <c r="AW834" s="1">
        <v>9.0</v>
      </c>
      <c r="AX834" s="1" t="s">
        <v>74</v>
      </c>
      <c r="AY834" s="1" t="s">
        <v>74</v>
      </c>
      <c r="AZ834" s="1" t="s">
        <v>74</v>
      </c>
      <c r="BA834" s="1" t="s">
        <v>74</v>
      </c>
      <c r="BB834" s="1">
        <v>987.0</v>
      </c>
      <c r="BC834" s="1">
        <v>996.0</v>
      </c>
      <c r="BD834" s="1" t="s">
        <v>74</v>
      </c>
      <c r="BE834" s="1" t="s">
        <v>6945</v>
      </c>
      <c r="BF834" s="2" t="str">
        <f>HYPERLINK("http://dx.doi.org/10.1080/09593332508618390","http://dx.doi.org/10.1080/09593332508618390")</f>
        <v>http://dx.doi.org/10.1080/09593332508618390</v>
      </c>
      <c r="BG834" s="1" t="s">
        <v>74</v>
      </c>
      <c r="BH834" s="1" t="s">
        <v>74</v>
      </c>
      <c r="BI834" s="1" t="s">
        <v>74</v>
      </c>
      <c r="BJ834" s="1" t="s">
        <v>74</v>
      </c>
      <c r="BK834" s="1" t="s">
        <v>74</v>
      </c>
      <c r="BL834" s="1" t="s">
        <v>74</v>
      </c>
      <c r="BM834" s="1" t="s">
        <v>74</v>
      </c>
      <c r="BN834" s="1">
        <v>1.5515265E7</v>
      </c>
      <c r="BO834" s="1" t="s">
        <v>74</v>
      </c>
      <c r="BP834" s="1" t="s">
        <v>74</v>
      </c>
      <c r="BQ834" s="1" t="s">
        <v>74</v>
      </c>
      <c r="BR834" s="1" t="s">
        <v>74</v>
      </c>
      <c r="BS834" s="1" t="s">
        <v>6946</v>
      </c>
      <c r="BT834" s="1" t="str">
        <f>HYPERLINK("https%3A%2F%2Fwww.webofscience.com%2Fwos%2Fwoscc%2Ffull-record%2FWOS:000224971800002","View Full Record in Web of Science")</f>
        <v>View Full Record in Web of Science</v>
      </c>
    </row>
    <row r="835" ht="12.75" customHeight="1">
      <c r="A835" s="1" t="s">
        <v>72</v>
      </c>
      <c r="B835" s="1" t="s">
        <v>6947</v>
      </c>
      <c r="C835" s="1" t="s">
        <v>74</v>
      </c>
      <c r="D835" s="1" t="s">
        <v>74</v>
      </c>
      <c r="E835" s="1" t="s">
        <v>74</v>
      </c>
      <c r="F835" s="1" t="s">
        <v>6947</v>
      </c>
      <c r="G835" s="1" t="s">
        <v>74</v>
      </c>
      <c r="H835" s="1" t="s">
        <v>74</v>
      </c>
      <c r="I835" s="1" t="s">
        <v>6948</v>
      </c>
      <c r="J835" s="1" t="s">
        <v>880</v>
      </c>
      <c r="K835" s="1" t="s">
        <v>74</v>
      </c>
      <c r="L835" s="1" t="s">
        <v>74</v>
      </c>
      <c r="M835" s="1" t="s">
        <v>74</v>
      </c>
      <c r="N835" s="1" t="s">
        <v>74</v>
      </c>
      <c r="O835" s="1" t="s">
        <v>74</v>
      </c>
      <c r="P835" s="1" t="s">
        <v>74</v>
      </c>
      <c r="Q835" s="1" t="s">
        <v>74</v>
      </c>
      <c r="R835" s="1" t="s">
        <v>74</v>
      </c>
      <c r="S835" s="1" t="s">
        <v>74</v>
      </c>
      <c r="T835" s="1" t="s">
        <v>74</v>
      </c>
      <c r="U835" s="1" t="s">
        <v>74</v>
      </c>
      <c r="V835" s="1" t="s">
        <v>74</v>
      </c>
      <c r="W835" s="1" t="s">
        <v>74</v>
      </c>
      <c r="X835" s="1" t="s">
        <v>74</v>
      </c>
      <c r="Y835" s="1" t="s">
        <v>74</v>
      </c>
      <c r="Z835" s="1" t="s">
        <v>74</v>
      </c>
      <c r="AA835" s="1" t="s">
        <v>74</v>
      </c>
      <c r="AB835" s="1" t="s">
        <v>701</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881</v>
      </c>
      <c r="AP835" s="1" t="s">
        <v>74</v>
      </c>
      <c r="AQ835" s="1" t="s">
        <v>74</v>
      </c>
      <c r="AR835" s="1" t="s">
        <v>74</v>
      </c>
      <c r="AS835" s="1" t="s">
        <v>74</v>
      </c>
      <c r="AT835" s="1" t="s">
        <v>818</v>
      </c>
      <c r="AU835" s="1">
        <v>2004.0</v>
      </c>
      <c r="AV835" s="1">
        <v>32.0</v>
      </c>
      <c r="AW835" s="1">
        <v>2.0</v>
      </c>
      <c r="AX835" s="1" t="s">
        <v>74</v>
      </c>
      <c r="AY835" s="1" t="s">
        <v>74</v>
      </c>
      <c r="AZ835" s="1" t="s">
        <v>74</v>
      </c>
      <c r="BA835" s="1" t="s">
        <v>74</v>
      </c>
      <c r="BB835" s="1">
        <v>215.0</v>
      </c>
      <c r="BC835" s="1">
        <v>218.0</v>
      </c>
      <c r="BD835" s="1" t="s">
        <v>74</v>
      </c>
      <c r="BE835" s="1" t="s">
        <v>6949</v>
      </c>
      <c r="BF835" s="2" t="str">
        <f>HYPERLINK("http://dx.doi.org/10.1016/S0305-1978(03)00157-1","http://dx.doi.org/10.1016/S0305-1978(03)00157-1")</f>
        <v>http://dx.doi.org/10.1016/S0305-1978(03)00157-1</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6950</v>
      </c>
      <c r="BT835" s="1" t="str">
        <f>HYPERLINK("https%3A%2F%2Fwww.webofscience.com%2Fwos%2Fwoscc%2Ffull-record%2FWOS:000188704600012","View Full Record in Web of Science")</f>
        <v>View Full Record in Web of Science</v>
      </c>
    </row>
    <row r="836" ht="12.75" customHeight="1">
      <c r="A836" s="1" t="s">
        <v>126</v>
      </c>
      <c r="B836" s="1" t="s">
        <v>6951</v>
      </c>
      <c r="C836" s="1" t="s">
        <v>74</v>
      </c>
      <c r="D836" s="1" t="s">
        <v>6952</v>
      </c>
      <c r="E836" s="1" t="s">
        <v>74</v>
      </c>
      <c r="F836" s="1" t="s">
        <v>6951</v>
      </c>
      <c r="G836" s="1" t="s">
        <v>74</v>
      </c>
      <c r="H836" s="1" t="s">
        <v>74</v>
      </c>
      <c r="I836" s="1" t="s">
        <v>6953</v>
      </c>
      <c r="J836" s="1" t="s">
        <v>6954</v>
      </c>
      <c r="K836" s="1" t="s">
        <v>6955</v>
      </c>
      <c r="L836" s="1" t="s">
        <v>74</v>
      </c>
      <c r="M836" s="1" t="s">
        <v>74</v>
      </c>
      <c r="N836" s="1" t="s">
        <v>74</v>
      </c>
      <c r="O836" s="1" t="s">
        <v>6956</v>
      </c>
      <c r="P836" s="1" t="s">
        <v>6957</v>
      </c>
      <c r="Q836" s="1" t="s">
        <v>6958</v>
      </c>
      <c r="R836" s="1" t="s">
        <v>6959</v>
      </c>
      <c r="S836" s="1" t="s">
        <v>74</v>
      </c>
      <c r="T836" s="1" t="s">
        <v>74</v>
      </c>
      <c r="U836" s="1" t="s">
        <v>74</v>
      </c>
      <c r="V836" s="1" t="s">
        <v>6960</v>
      </c>
      <c r="W836" s="1" t="s">
        <v>74</v>
      </c>
      <c r="X836" s="1" t="s">
        <v>74</v>
      </c>
      <c r="Y836" s="1" t="s">
        <v>74</v>
      </c>
      <c r="Z836" s="1" t="s">
        <v>74</v>
      </c>
      <c r="AA836" s="1" t="s">
        <v>74</v>
      </c>
      <c r="AB836" s="1" t="s">
        <v>74</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74</v>
      </c>
      <c r="AP836" s="1" t="s">
        <v>74</v>
      </c>
      <c r="AQ836" s="1" t="s">
        <v>6961</v>
      </c>
      <c r="AR836" s="1" t="s">
        <v>74</v>
      </c>
      <c r="AS836" s="1" t="s">
        <v>74</v>
      </c>
      <c r="AT836" s="1" t="s">
        <v>74</v>
      </c>
      <c r="AU836" s="1">
        <v>2004.0</v>
      </c>
      <c r="AV836" s="1">
        <v>9.0</v>
      </c>
      <c r="AW836" s="1" t="s">
        <v>74</v>
      </c>
      <c r="AX836" s="1" t="s">
        <v>74</v>
      </c>
      <c r="AY836" s="1" t="s">
        <v>74</v>
      </c>
      <c r="AZ836" s="1" t="s">
        <v>74</v>
      </c>
      <c r="BA836" s="1" t="s">
        <v>74</v>
      </c>
      <c r="BB836" s="1">
        <v>207.0</v>
      </c>
      <c r="BC836" s="1">
        <v>217.0</v>
      </c>
      <c r="BD836" s="1" t="s">
        <v>74</v>
      </c>
      <c r="BE836" s="1" t="s">
        <v>74</v>
      </c>
      <c r="BF836" s="1" t="s">
        <v>74</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6962</v>
      </c>
      <c r="BT836" s="1" t="str">
        <f>HYPERLINK("https%3A%2F%2Fwww.webofscience.com%2Fwos%2Fwoscc%2Ffull-record%2FWOS:000189476300012","View Full Record in Web of Science")</f>
        <v>View Full Record in Web of Science</v>
      </c>
    </row>
    <row r="837" ht="12.75" customHeight="1">
      <c r="A837" s="1" t="s">
        <v>72</v>
      </c>
      <c r="B837" s="1" t="s">
        <v>6963</v>
      </c>
      <c r="C837" s="1" t="s">
        <v>74</v>
      </c>
      <c r="D837" s="1" t="s">
        <v>74</v>
      </c>
      <c r="E837" s="1" t="s">
        <v>74</v>
      </c>
      <c r="F837" s="1" t="s">
        <v>6963</v>
      </c>
      <c r="G837" s="1" t="s">
        <v>74</v>
      </c>
      <c r="H837" s="1" t="s">
        <v>74</v>
      </c>
      <c r="I837" s="1" t="s">
        <v>6964</v>
      </c>
      <c r="J837" s="1" t="s">
        <v>6965</v>
      </c>
      <c r="K837" s="1" t="s">
        <v>74</v>
      </c>
      <c r="L837" s="1" t="s">
        <v>74</v>
      </c>
      <c r="M837" s="1" t="s">
        <v>74</v>
      </c>
      <c r="N837" s="1" t="s">
        <v>74</v>
      </c>
      <c r="O837" s="1" t="s">
        <v>74</v>
      </c>
      <c r="P837" s="1" t="s">
        <v>74</v>
      </c>
      <c r="Q837" s="1" t="s">
        <v>74</v>
      </c>
      <c r="R837" s="1" t="s">
        <v>74</v>
      </c>
      <c r="S837" s="1" t="s">
        <v>74</v>
      </c>
      <c r="T837" s="1" t="s">
        <v>74</v>
      </c>
      <c r="U837" s="1" t="s">
        <v>74</v>
      </c>
      <c r="V837" s="1" t="s">
        <v>6966</v>
      </c>
      <c r="W837" s="1" t="s">
        <v>74</v>
      </c>
      <c r="X837" s="1" t="s">
        <v>74</v>
      </c>
      <c r="Y837" s="1" t="s">
        <v>74</v>
      </c>
      <c r="Z837" s="1" t="s">
        <v>74</v>
      </c>
      <c r="AA837" s="1" t="s">
        <v>6967</v>
      </c>
      <c r="AB837" s="1" t="s">
        <v>6968</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6969</v>
      </c>
      <c r="AP837" s="1" t="s">
        <v>74</v>
      </c>
      <c r="AQ837" s="1" t="s">
        <v>74</v>
      </c>
      <c r="AR837" s="1" t="s">
        <v>74</v>
      </c>
      <c r="AS837" s="1" t="s">
        <v>74</v>
      </c>
      <c r="AT837" s="1" t="s">
        <v>920</v>
      </c>
      <c r="AU837" s="1">
        <v>2004.0</v>
      </c>
      <c r="AV837" s="1">
        <v>21.0</v>
      </c>
      <c r="AW837" s="1">
        <v>1.0</v>
      </c>
      <c r="AX837" s="1" t="s">
        <v>74</v>
      </c>
      <c r="AY837" s="1" t="s">
        <v>74</v>
      </c>
      <c r="AZ837" s="1" t="s">
        <v>74</v>
      </c>
      <c r="BA837" s="1" t="s">
        <v>74</v>
      </c>
      <c r="BB837" s="1">
        <v>83.0</v>
      </c>
      <c r="BC837" s="1">
        <v>95.0</v>
      </c>
      <c r="BD837" s="1" t="s">
        <v>74</v>
      </c>
      <c r="BE837" s="1" t="s">
        <v>6970</v>
      </c>
      <c r="BF837" s="2" t="str">
        <f>HYPERLINK("http://dx.doi.org/10.1002/sres.561","http://dx.doi.org/10.1002/sres.561")</f>
        <v>http://dx.doi.org/10.1002/sres.561</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6971</v>
      </c>
      <c r="BT837" s="1" t="str">
        <f>HYPERLINK("https%3A%2F%2Fwww.webofscience.com%2Fwos%2Fwoscc%2Ffull-record%2FWOS:000188497700005","View Full Record in Web of Science")</f>
        <v>View Full Record in Web of Science</v>
      </c>
    </row>
    <row r="838" ht="12.75" customHeight="1">
      <c r="A838" s="1" t="s">
        <v>72</v>
      </c>
      <c r="B838" s="1" t="s">
        <v>6972</v>
      </c>
      <c r="C838" s="1" t="s">
        <v>74</v>
      </c>
      <c r="D838" s="1" t="s">
        <v>74</v>
      </c>
      <c r="E838" s="1" t="s">
        <v>74</v>
      </c>
      <c r="F838" s="1" t="s">
        <v>6972</v>
      </c>
      <c r="G838" s="1" t="s">
        <v>74</v>
      </c>
      <c r="H838" s="1" t="s">
        <v>74</v>
      </c>
      <c r="I838" s="1" t="s">
        <v>6973</v>
      </c>
      <c r="J838" s="1" t="s">
        <v>2355</v>
      </c>
      <c r="K838" s="1" t="s">
        <v>74</v>
      </c>
      <c r="L838" s="1" t="s">
        <v>74</v>
      </c>
      <c r="M838" s="1" t="s">
        <v>74</v>
      </c>
      <c r="N838" s="1" t="s">
        <v>74</v>
      </c>
      <c r="O838" s="1" t="s">
        <v>74</v>
      </c>
      <c r="P838" s="1" t="s">
        <v>74</v>
      </c>
      <c r="Q838" s="1" t="s">
        <v>74</v>
      </c>
      <c r="R838" s="1" t="s">
        <v>74</v>
      </c>
      <c r="S838" s="1" t="s">
        <v>74</v>
      </c>
      <c r="T838" s="1" t="s">
        <v>74</v>
      </c>
      <c r="U838" s="1" t="s">
        <v>74</v>
      </c>
      <c r="V838" s="1" t="s">
        <v>6974</v>
      </c>
      <c r="W838" s="1" t="s">
        <v>74</v>
      </c>
      <c r="X838" s="1" t="s">
        <v>74</v>
      </c>
      <c r="Y838" s="1" t="s">
        <v>74</v>
      </c>
      <c r="Z838" s="1" t="s">
        <v>74</v>
      </c>
      <c r="AA838" s="1" t="s">
        <v>74</v>
      </c>
      <c r="AB838" s="1" t="s">
        <v>74</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2356</v>
      </c>
      <c r="AP838" s="1" t="s">
        <v>74</v>
      </c>
      <c r="AQ838" s="1" t="s">
        <v>74</v>
      </c>
      <c r="AR838" s="1" t="s">
        <v>74</v>
      </c>
      <c r="AS838" s="1" t="s">
        <v>74</v>
      </c>
      <c r="AT838" s="1" t="s">
        <v>974</v>
      </c>
      <c r="AU838" s="1">
        <v>2003.0</v>
      </c>
      <c r="AV838" s="1">
        <v>71.0</v>
      </c>
      <c r="AW838" s="1">
        <v>8.0</v>
      </c>
      <c r="AX838" s="1" t="s">
        <v>74</v>
      </c>
      <c r="AY838" s="1" t="s">
        <v>74</v>
      </c>
      <c r="AZ838" s="1" t="s">
        <v>74</v>
      </c>
      <c r="BA838" s="1" t="s">
        <v>74</v>
      </c>
      <c r="BB838" s="1">
        <v>813.0</v>
      </c>
      <c r="BC838" s="1">
        <v>815.0</v>
      </c>
      <c r="BD838" s="1" t="s">
        <v>74</v>
      </c>
      <c r="BE838" s="1" t="s">
        <v>6975</v>
      </c>
      <c r="BF838" s="2" t="str">
        <f>HYPERLINK("http://dx.doi.org/10.1119/1.1574039","http://dx.doi.org/10.1119/1.1574039")</f>
        <v>http://dx.doi.org/10.1119/1.1574039</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6976</v>
      </c>
      <c r="BT838" s="1" t="str">
        <f>HYPERLINK("https%3A%2F%2Fwww.webofscience.com%2Fwos%2Fwoscc%2Ffull-record%2FWOS:000184278100018","View Full Record in Web of Science")</f>
        <v>View Full Record in Web of Science</v>
      </c>
    </row>
    <row r="839" ht="12.75" customHeight="1">
      <c r="A839" s="1" t="s">
        <v>72</v>
      </c>
      <c r="B839" s="1" t="s">
        <v>6977</v>
      </c>
      <c r="C839" s="1" t="s">
        <v>74</v>
      </c>
      <c r="D839" s="1" t="s">
        <v>74</v>
      </c>
      <c r="E839" s="1" t="s">
        <v>74</v>
      </c>
      <c r="F839" s="1" t="s">
        <v>6977</v>
      </c>
      <c r="G839" s="1" t="s">
        <v>74</v>
      </c>
      <c r="H839" s="1" t="s">
        <v>74</v>
      </c>
      <c r="I839" s="1" t="s">
        <v>6978</v>
      </c>
      <c r="J839" s="1" t="s">
        <v>698</v>
      </c>
      <c r="K839" s="1" t="s">
        <v>74</v>
      </c>
      <c r="L839" s="1" t="s">
        <v>74</v>
      </c>
      <c r="M839" s="1" t="s">
        <v>74</v>
      </c>
      <c r="N839" s="1" t="s">
        <v>74</v>
      </c>
      <c r="O839" s="1" t="s">
        <v>74</v>
      </c>
      <c r="P839" s="1" t="s">
        <v>74</v>
      </c>
      <c r="Q839" s="1" t="s">
        <v>74</v>
      </c>
      <c r="R839" s="1" t="s">
        <v>74</v>
      </c>
      <c r="S839" s="1" t="s">
        <v>74</v>
      </c>
      <c r="T839" s="1" t="s">
        <v>74</v>
      </c>
      <c r="U839" s="1" t="s">
        <v>74</v>
      </c>
      <c r="V839" s="1" t="s">
        <v>6979</v>
      </c>
      <c r="W839" s="1" t="s">
        <v>74</v>
      </c>
      <c r="X839" s="1" t="s">
        <v>74</v>
      </c>
      <c r="Y839" s="1" t="s">
        <v>74</v>
      </c>
      <c r="Z839" s="1" t="s">
        <v>74</v>
      </c>
      <c r="AA839" s="1" t="s">
        <v>1454</v>
      </c>
      <c r="AB839" s="1" t="s">
        <v>6980</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2256</v>
      </c>
      <c r="AP839" s="1" t="s">
        <v>74</v>
      </c>
      <c r="AQ839" s="1" t="s">
        <v>74</v>
      </c>
      <c r="AR839" s="1" t="s">
        <v>74</v>
      </c>
      <c r="AS839" s="1" t="s">
        <v>74</v>
      </c>
      <c r="AT839" s="1" t="s">
        <v>256</v>
      </c>
      <c r="AU839" s="1">
        <v>2003.0</v>
      </c>
      <c r="AV839" s="1">
        <v>48.0</v>
      </c>
      <c r="AW839" s="1">
        <v>1.0</v>
      </c>
      <c r="AX839" s="1" t="s">
        <v>74</v>
      </c>
      <c r="AY839" s="1" t="s">
        <v>74</v>
      </c>
      <c r="AZ839" s="1" t="s">
        <v>74</v>
      </c>
      <c r="BA839" s="1" t="s">
        <v>74</v>
      </c>
      <c r="BB839" s="1">
        <v>49.0</v>
      </c>
      <c r="BC839" s="1">
        <v>55.0</v>
      </c>
      <c r="BD839" s="1" t="s">
        <v>74</v>
      </c>
      <c r="BE839" s="1" t="s">
        <v>74</v>
      </c>
      <c r="BF839" s="1" t="s">
        <v>74</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6981</v>
      </c>
      <c r="BT839" s="1" t="str">
        <f>HYPERLINK("https%3A%2F%2Fwww.webofscience.com%2Fwos%2Fwoscc%2Ffull-record%2FWOS:000182751800009","View Full Record in Web of Science")</f>
        <v>View Full Record in Web of Science</v>
      </c>
    </row>
    <row r="840" ht="12.75" customHeight="1">
      <c r="A840" s="1" t="s">
        <v>126</v>
      </c>
      <c r="B840" s="1" t="s">
        <v>6982</v>
      </c>
      <c r="C840" s="1" t="s">
        <v>74</v>
      </c>
      <c r="D840" s="1" t="s">
        <v>6983</v>
      </c>
      <c r="E840" s="1" t="s">
        <v>74</v>
      </c>
      <c r="F840" s="1" t="s">
        <v>6982</v>
      </c>
      <c r="G840" s="1" t="s">
        <v>74</v>
      </c>
      <c r="H840" s="1" t="s">
        <v>74</v>
      </c>
      <c r="I840" s="1" t="s">
        <v>6984</v>
      </c>
      <c r="J840" s="1" t="s">
        <v>6985</v>
      </c>
      <c r="K840" s="1" t="s">
        <v>6986</v>
      </c>
      <c r="L840" s="1" t="s">
        <v>74</v>
      </c>
      <c r="M840" s="1" t="s">
        <v>74</v>
      </c>
      <c r="N840" s="1" t="s">
        <v>74</v>
      </c>
      <c r="O840" s="1" t="s">
        <v>6987</v>
      </c>
      <c r="P840" s="1" t="s">
        <v>6988</v>
      </c>
      <c r="Q840" s="1" t="s">
        <v>6989</v>
      </c>
      <c r="R840" s="1" t="s">
        <v>6990</v>
      </c>
      <c r="S840" s="1" t="s">
        <v>74</v>
      </c>
      <c r="T840" s="1" t="s">
        <v>74</v>
      </c>
      <c r="U840" s="1" t="s">
        <v>74</v>
      </c>
      <c r="V840" s="1" t="s">
        <v>6991</v>
      </c>
      <c r="W840" s="1" t="s">
        <v>74</v>
      </c>
      <c r="X840" s="1" t="s">
        <v>74</v>
      </c>
      <c r="Y840" s="1" t="s">
        <v>74</v>
      </c>
      <c r="Z840" s="1" t="s">
        <v>74</v>
      </c>
      <c r="AA840" s="1" t="s">
        <v>6992</v>
      </c>
      <c r="AB840" s="1" t="s">
        <v>6993</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491</v>
      </c>
      <c r="AP840" s="1" t="s">
        <v>74</v>
      </c>
      <c r="AQ840" s="1" t="s">
        <v>6994</v>
      </c>
      <c r="AR840" s="1" t="s">
        <v>74</v>
      </c>
      <c r="AS840" s="1" t="s">
        <v>74</v>
      </c>
      <c r="AT840" s="1" t="s">
        <v>74</v>
      </c>
      <c r="AU840" s="1">
        <v>2003.0</v>
      </c>
      <c r="AV840" s="1">
        <v>14.0</v>
      </c>
      <c r="AW840" s="1" t="s">
        <v>74</v>
      </c>
      <c r="AX840" s="1" t="s">
        <v>74</v>
      </c>
      <c r="AY840" s="1" t="s">
        <v>74</v>
      </c>
      <c r="AZ840" s="1" t="s">
        <v>74</v>
      </c>
      <c r="BA840" s="1" t="s">
        <v>74</v>
      </c>
      <c r="BB840" s="1">
        <v>1073.0</v>
      </c>
      <c r="BC840" s="1">
        <v>1078.0</v>
      </c>
      <c r="BD840" s="1" t="s">
        <v>74</v>
      </c>
      <c r="BE840" s="1" t="s">
        <v>74</v>
      </c>
      <c r="BF840" s="1" t="s">
        <v>74</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6995</v>
      </c>
      <c r="BT840" s="1" t="str">
        <f>HYPERLINK("https%3A%2F%2Fwww.webofscience.com%2Fwos%2Fwoscc%2Ffull-record%2FWOS:000183369400179","View Full Record in Web of Science")</f>
        <v>View Full Record in Web of Science</v>
      </c>
    </row>
    <row r="841" ht="12.75" customHeight="1">
      <c r="A841" s="1" t="s">
        <v>72</v>
      </c>
      <c r="B841" s="1" t="s">
        <v>6996</v>
      </c>
      <c r="C841" s="1" t="s">
        <v>74</v>
      </c>
      <c r="D841" s="1" t="s">
        <v>74</v>
      </c>
      <c r="E841" s="1" t="s">
        <v>74</v>
      </c>
      <c r="F841" s="1" t="s">
        <v>6996</v>
      </c>
      <c r="G841" s="1" t="s">
        <v>74</v>
      </c>
      <c r="H841" s="1" t="s">
        <v>74</v>
      </c>
      <c r="I841" s="1" t="s">
        <v>6997</v>
      </c>
      <c r="J841" s="1" t="s">
        <v>6998</v>
      </c>
      <c r="K841" s="1" t="s">
        <v>74</v>
      </c>
      <c r="L841" s="1" t="s">
        <v>74</v>
      </c>
      <c r="M841" s="1" t="s">
        <v>74</v>
      </c>
      <c r="N841" s="1" t="s">
        <v>74</v>
      </c>
      <c r="O841" s="1" t="s">
        <v>74</v>
      </c>
      <c r="P841" s="1" t="s">
        <v>74</v>
      </c>
      <c r="Q841" s="1" t="s">
        <v>74</v>
      </c>
      <c r="R841" s="1" t="s">
        <v>74</v>
      </c>
      <c r="S841" s="1" t="s">
        <v>74</v>
      </c>
      <c r="T841" s="1" t="s">
        <v>74</v>
      </c>
      <c r="U841" s="1" t="s">
        <v>74</v>
      </c>
      <c r="V841" s="1" t="s">
        <v>6999</v>
      </c>
      <c r="W841" s="1" t="s">
        <v>74</v>
      </c>
      <c r="X841" s="1" t="s">
        <v>74</v>
      </c>
      <c r="Y841" s="1" t="s">
        <v>74</v>
      </c>
      <c r="Z841" s="1" t="s">
        <v>74</v>
      </c>
      <c r="AA841" s="1" t="s">
        <v>74</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7000</v>
      </c>
      <c r="AP841" s="1" t="s">
        <v>7001</v>
      </c>
      <c r="AQ841" s="1" t="s">
        <v>74</v>
      </c>
      <c r="AR841" s="1" t="s">
        <v>74</v>
      </c>
      <c r="AS841" s="1" t="s">
        <v>74</v>
      </c>
      <c r="AT841" s="1" t="s">
        <v>171</v>
      </c>
      <c r="AU841" s="1">
        <v>2002.0</v>
      </c>
      <c r="AV841" s="1">
        <v>17.0</v>
      </c>
      <c r="AW841" s="1">
        <v>2.0</v>
      </c>
      <c r="AX841" s="1" t="s">
        <v>74</v>
      </c>
      <c r="AY841" s="1" t="s">
        <v>74</v>
      </c>
      <c r="AZ841" s="1" t="s">
        <v>74</v>
      </c>
      <c r="BA841" s="1" t="s">
        <v>74</v>
      </c>
      <c r="BB841" s="1">
        <v>119.0</v>
      </c>
      <c r="BC841" s="1">
        <v>124.0</v>
      </c>
      <c r="BD841" s="1" t="s">
        <v>74</v>
      </c>
      <c r="BE841" s="1" t="s">
        <v>7002</v>
      </c>
      <c r="BF841" s="2" t="str">
        <f>HYPERLINK("http://dx.doi.org/10.1154/1.1414012","http://dx.doi.org/10.1154/1.1414012")</f>
        <v>http://dx.doi.org/10.1154/1.1414012</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7003</v>
      </c>
      <c r="BT841" s="1" t="str">
        <f>HYPERLINK("https%3A%2F%2Fwww.webofscience.com%2Fwos%2Fwoscc%2Ffull-record%2FWOS:000176108300009","View Full Record in Web of Science")</f>
        <v>View Full Record in Web of Science</v>
      </c>
    </row>
    <row r="842" ht="12.75" customHeight="1">
      <c r="A842" s="1" t="s">
        <v>72</v>
      </c>
      <c r="B842" s="1" t="s">
        <v>739</v>
      </c>
      <c r="C842" s="1" t="s">
        <v>74</v>
      </c>
      <c r="D842" s="1" t="s">
        <v>74</v>
      </c>
      <c r="E842" s="1" t="s">
        <v>74</v>
      </c>
      <c r="F842" s="1" t="s">
        <v>739</v>
      </c>
      <c r="G842" s="1" t="s">
        <v>74</v>
      </c>
      <c r="H842" s="1" t="s">
        <v>74</v>
      </c>
      <c r="I842" s="1" t="s">
        <v>7004</v>
      </c>
      <c r="J842" s="1" t="s">
        <v>7005</v>
      </c>
      <c r="K842" s="1" t="s">
        <v>74</v>
      </c>
      <c r="L842" s="1" t="s">
        <v>74</v>
      </c>
      <c r="M842" s="1" t="s">
        <v>74</v>
      </c>
      <c r="N842" s="1" t="s">
        <v>74</v>
      </c>
      <c r="O842" s="1" t="s">
        <v>74</v>
      </c>
      <c r="P842" s="1" t="s">
        <v>74</v>
      </c>
      <c r="Q842" s="1" t="s">
        <v>74</v>
      </c>
      <c r="R842" s="1" t="s">
        <v>74</v>
      </c>
      <c r="S842" s="1" t="s">
        <v>74</v>
      </c>
      <c r="T842" s="1" t="s">
        <v>74</v>
      </c>
      <c r="U842" s="1" t="s">
        <v>74</v>
      </c>
      <c r="V842" s="1" t="s">
        <v>7006</v>
      </c>
      <c r="W842" s="1" t="s">
        <v>74</v>
      </c>
      <c r="X842" s="1" t="s">
        <v>74</v>
      </c>
      <c r="Y842" s="1" t="s">
        <v>74</v>
      </c>
      <c r="Z842" s="1" t="s">
        <v>74</v>
      </c>
      <c r="AA842" s="1" t="s">
        <v>690</v>
      </c>
      <c r="AB842" s="1" t="s">
        <v>74</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7007</v>
      </c>
      <c r="AP842" s="1" t="s">
        <v>7008</v>
      </c>
      <c r="AQ842" s="1" t="s">
        <v>74</v>
      </c>
      <c r="AR842" s="1" t="s">
        <v>74</v>
      </c>
      <c r="AS842" s="1" t="s">
        <v>74</v>
      </c>
      <c r="AT842" s="1" t="s">
        <v>74</v>
      </c>
      <c r="AU842" s="1">
        <v>2002.0</v>
      </c>
      <c r="AV842" s="1">
        <v>18.0</v>
      </c>
      <c r="AW842" s="1">
        <v>10.0</v>
      </c>
      <c r="AX842" s="1" t="s">
        <v>74</v>
      </c>
      <c r="AY842" s="1" t="s">
        <v>74</v>
      </c>
      <c r="AZ842" s="1" t="s">
        <v>74</v>
      </c>
      <c r="BA842" s="1" t="s">
        <v>74</v>
      </c>
      <c r="BB842" s="1">
        <v>1291.0</v>
      </c>
      <c r="BC842" s="1">
        <v>1335.0</v>
      </c>
      <c r="BD842" s="1" t="s">
        <v>7009</v>
      </c>
      <c r="BE842" s="1" t="s">
        <v>7010</v>
      </c>
      <c r="BF842" s="2" t="str">
        <f>HYPERLINK("http://dx.doi.org/10.1016/S0749-6419(01)00075-4","http://dx.doi.org/10.1016/S0749-6419(01)00075-4")</f>
        <v>http://dx.doi.org/10.1016/S0749-6419(01)00075-4</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7011</v>
      </c>
      <c r="BT842" s="1" t="str">
        <f>HYPERLINK("https%3A%2F%2Fwww.webofscience.com%2Fwos%2Fwoscc%2Ffull-record%2FWOS:000178164600002","View Full Record in Web of Science")</f>
        <v>View Full Record in Web of Science</v>
      </c>
    </row>
    <row r="843" ht="12.75" customHeight="1">
      <c r="A843" s="1" t="s">
        <v>72</v>
      </c>
      <c r="B843" s="1" t="s">
        <v>7012</v>
      </c>
      <c r="C843" s="1" t="s">
        <v>74</v>
      </c>
      <c r="D843" s="1" t="s">
        <v>74</v>
      </c>
      <c r="E843" s="1" t="s">
        <v>74</v>
      </c>
      <c r="F843" s="1" t="s">
        <v>7012</v>
      </c>
      <c r="G843" s="1" t="s">
        <v>74</v>
      </c>
      <c r="H843" s="1" t="s">
        <v>74</v>
      </c>
      <c r="I843" s="1" t="s">
        <v>7013</v>
      </c>
      <c r="J843" s="1" t="s">
        <v>322</v>
      </c>
      <c r="K843" s="1" t="s">
        <v>74</v>
      </c>
      <c r="L843" s="1" t="s">
        <v>74</v>
      </c>
      <c r="M843" s="1" t="s">
        <v>74</v>
      </c>
      <c r="N843" s="1" t="s">
        <v>74</v>
      </c>
      <c r="O843" s="1" t="s">
        <v>74</v>
      </c>
      <c r="P843" s="1" t="s">
        <v>74</v>
      </c>
      <c r="Q843" s="1" t="s">
        <v>74</v>
      </c>
      <c r="R843" s="1" t="s">
        <v>74</v>
      </c>
      <c r="S843" s="1" t="s">
        <v>74</v>
      </c>
      <c r="T843" s="1" t="s">
        <v>74</v>
      </c>
      <c r="U843" s="1" t="s">
        <v>74</v>
      </c>
      <c r="V843" s="1" t="s">
        <v>7014</v>
      </c>
      <c r="W843" s="1" t="s">
        <v>74</v>
      </c>
      <c r="X843" s="1" t="s">
        <v>74</v>
      </c>
      <c r="Y843" s="1" t="s">
        <v>74</v>
      </c>
      <c r="Z843" s="1" t="s">
        <v>74</v>
      </c>
      <c r="AA843" s="1" t="s">
        <v>7015</v>
      </c>
      <c r="AB843" s="1" t="s">
        <v>74</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324</v>
      </c>
      <c r="AP843" s="1" t="s">
        <v>74</v>
      </c>
      <c r="AQ843" s="1" t="s">
        <v>74</v>
      </c>
      <c r="AR843" s="1" t="s">
        <v>74</v>
      </c>
      <c r="AS843" s="1" t="s">
        <v>74</v>
      </c>
      <c r="AT843" s="1" t="s">
        <v>2414</v>
      </c>
      <c r="AU843" s="1">
        <v>2001.0</v>
      </c>
      <c r="AV843" s="1">
        <v>16.0</v>
      </c>
      <c r="AW843" s="1">
        <v>23.0</v>
      </c>
      <c r="AX843" s="1" t="s">
        <v>74</v>
      </c>
      <c r="AY843" s="1" t="s">
        <v>74</v>
      </c>
      <c r="AZ843" s="1" t="s">
        <v>74</v>
      </c>
      <c r="BA843" s="1" t="s">
        <v>74</v>
      </c>
      <c r="BB843" s="1">
        <v>1525.0</v>
      </c>
      <c r="BC843" s="1">
        <v>1529.0</v>
      </c>
      <c r="BD843" s="1" t="s">
        <v>74</v>
      </c>
      <c r="BE843" s="1" t="s">
        <v>7016</v>
      </c>
      <c r="BF843" s="2" t="str">
        <f>HYPERLINK("http://dx.doi.org/10.1142/S0217732301004583","http://dx.doi.org/10.1142/S0217732301004583")</f>
        <v>http://dx.doi.org/10.1142/S0217732301004583</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7017</v>
      </c>
      <c r="BT843" s="1" t="str">
        <f>HYPERLINK("https%3A%2F%2Fwww.webofscience.com%2Fwos%2Fwoscc%2Ffull-record%2FWOS:000171004700006","View Full Record in Web of Science")</f>
        <v>View Full Record in Web of Science</v>
      </c>
    </row>
    <row r="844" ht="12.75" customHeight="1">
      <c r="A844" s="1" t="s">
        <v>72</v>
      </c>
      <c r="B844" s="1" t="s">
        <v>7018</v>
      </c>
      <c r="C844" s="1" t="s">
        <v>74</v>
      </c>
      <c r="D844" s="1" t="s">
        <v>74</v>
      </c>
      <c r="E844" s="1" t="s">
        <v>74</v>
      </c>
      <c r="F844" s="1" t="s">
        <v>7018</v>
      </c>
      <c r="G844" s="1" t="s">
        <v>74</v>
      </c>
      <c r="H844" s="1" t="s">
        <v>74</v>
      </c>
      <c r="I844" s="1" t="s">
        <v>7019</v>
      </c>
      <c r="J844" s="1" t="s">
        <v>5413</v>
      </c>
      <c r="K844" s="1" t="s">
        <v>74</v>
      </c>
      <c r="L844" s="1" t="s">
        <v>74</v>
      </c>
      <c r="M844" s="1" t="s">
        <v>74</v>
      </c>
      <c r="N844" s="1" t="s">
        <v>74</v>
      </c>
      <c r="O844" s="1" t="s">
        <v>74</v>
      </c>
      <c r="P844" s="1" t="s">
        <v>74</v>
      </c>
      <c r="Q844" s="1" t="s">
        <v>74</v>
      </c>
      <c r="R844" s="1" t="s">
        <v>74</v>
      </c>
      <c r="S844" s="1" t="s">
        <v>74</v>
      </c>
      <c r="T844" s="1" t="s">
        <v>74</v>
      </c>
      <c r="U844" s="1" t="s">
        <v>74</v>
      </c>
      <c r="V844" s="1" t="s">
        <v>7020</v>
      </c>
      <c r="W844" s="1" t="s">
        <v>74</v>
      </c>
      <c r="X844" s="1" t="s">
        <v>74</v>
      </c>
      <c r="Y844" s="1" t="s">
        <v>74</v>
      </c>
      <c r="Z844" s="1" t="s">
        <v>74</v>
      </c>
      <c r="AA844" s="1" t="s">
        <v>74</v>
      </c>
      <c r="AB844" s="1" t="s">
        <v>74</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5415</v>
      </c>
      <c r="AP844" s="1" t="s">
        <v>74</v>
      </c>
      <c r="AQ844" s="1" t="s">
        <v>74</v>
      </c>
      <c r="AR844" s="1" t="s">
        <v>74</v>
      </c>
      <c r="AS844" s="1" t="s">
        <v>74</v>
      </c>
      <c r="AT844" s="1" t="s">
        <v>74</v>
      </c>
      <c r="AU844" s="1">
        <v>2001.0</v>
      </c>
      <c r="AV844" s="1">
        <v>33.0</v>
      </c>
      <c r="AW844" s="1">
        <v>1.0</v>
      </c>
      <c r="AX844" s="1" t="s">
        <v>74</v>
      </c>
      <c r="AY844" s="1" t="s">
        <v>74</v>
      </c>
      <c r="AZ844" s="1" t="s">
        <v>74</v>
      </c>
      <c r="BA844" s="1" t="s">
        <v>74</v>
      </c>
      <c r="BB844" s="1">
        <v>23.0</v>
      </c>
      <c r="BC844" s="1">
        <v>37.0</v>
      </c>
      <c r="BD844" s="1" t="s">
        <v>74</v>
      </c>
      <c r="BE844" s="1" t="s">
        <v>74</v>
      </c>
      <c r="BF844" s="1" t="s">
        <v>74</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7021</v>
      </c>
      <c r="BT844" s="1" t="str">
        <f>HYPERLINK("https%3A%2F%2Fwww.webofscience.com%2Fwos%2Fwoscc%2Ffull-record%2FWOS:000168061800003","View Full Record in Web of Science")</f>
        <v>View Full Record in Web of Science</v>
      </c>
    </row>
    <row r="845" ht="12.75" customHeight="1">
      <c r="A845" s="1" t="s">
        <v>72</v>
      </c>
      <c r="B845" s="1" t="s">
        <v>7022</v>
      </c>
      <c r="C845" s="1" t="s">
        <v>74</v>
      </c>
      <c r="D845" s="1" t="s">
        <v>74</v>
      </c>
      <c r="E845" s="1" t="s">
        <v>74</v>
      </c>
      <c r="F845" s="1" t="s">
        <v>7022</v>
      </c>
      <c r="G845" s="1" t="s">
        <v>74</v>
      </c>
      <c r="H845" s="1" t="s">
        <v>74</v>
      </c>
      <c r="I845" s="1" t="s">
        <v>7023</v>
      </c>
      <c r="J845" s="1" t="s">
        <v>748</v>
      </c>
      <c r="K845" s="1" t="s">
        <v>74</v>
      </c>
      <c r="L845" s="1" t="s">
        <v>74</v>
      </c>
      <c r="M845" s="1" t="s">
        <v>74</v>
      </c>
      <c r="N845" s="1" t="s">
        <v>74</v>
      </c>
      <c r="O845" s="1" t="s">
        <v>74</v>
      </c>
      <c r="P845" s="1" t="s">
        <v>74</v>
      </c>
      <c r="Q845" s="1" t="s">
        <v>74</v>
      </c>
      <c r="R845" s="1" t="s">
        <v>74</v>
      </c>
      <c r="S845" s="1" t="s">
        <v>74</v>
      </c>
      <c r="T845" s="1" t="s">
        <v>74</v>
      </c>
      <c r="U845" s="1" t="s">
        <v>74</v>
      </c>
      <c r="V845" s="1" t="s">
        <v>7024</v>
      </c>
      <c r="W845" s="1" t="s">
        <v>74</v>
      </c>
      <c r="X845" s="1" t="s">
        <v>74</v>
      </c>
      <c r="Y845" s="1" t="s">
        <v>74</v>
      </c>
      <c r="Z845" s="1" t="s">
        <v>74</v>
      </c>
      <c r="AA845" s="1" t="s">
        <v>700</v>
      </c>
      <c r="AB845" s="1" t="s">
        <v>701</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750</v>
      </c>
      <c r="AP845" s="1" t="s">
        <v>74</v>
      </c>
      <c r="AQ845" s="1" t="s">
        <v>74</v>
      </c>
      <c r="AR845" s="1" t="s">
        <v>74</v>
      </c>
      <c r="AS845" s="1" t="s">
        <v>74</v>
      </c>
      <c r="AT845" s="1" t="s">
        <v>256</v>
      </c>
      <c r="AU845" s="1">
        <v>2000.0</v>
      </c>
      <c r="AV845" s="1">
        <v>45.0</v>
      </c>
      <c r="AW845" s="1">
        <v>1.0</v>
      </c>
      <c r="AX845" s="1" t="s">
        <v>74</v>
      </c>
      <c r="AY845" s="1" t="s">
        <v>74</v>
      </c>
      <c r="AZ845" s="1" t="s">
        <v>74</v>
      </c>
      <c r="BA845" s="1" t="s">
        <v>74</v>
      </c>
      <c r="BB845" s="1">
        <v>23.0</v>
      </c>
      <c r="BC845" s="1">
        <v>29.0</v>
      </c>
      <c r="BD845" s="1" t="s">
        <v>74</v>
      </c>
      <c r="BE845" s="1" t="s">
        <v>74</v>
      </c>
      <c r="BF845" s="1" t="s">
        <v>74</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7025</v>
      </c>
      <c r="BT845" s="1" t="str">
        <f>HYPERLINK("https%3A%2F%2Fwww.webofscience.com%2Fwos%2Fwoscc%2Ffull-record%2FWOS:000086415500004","View Full Record in Web of Science")</f>
        <v>View Full Record in Web of Science</v>
      </c>
    </row>
    <row r="846" ht="12.75" customHeight="1">
      <c r="A846" s="1" t="s">
        <v>72</v>
      </c>
      <c r="B846" s="1" t="s">
        <v>7026</v>
      </c>
      <c r="C846" s="1" t="s">
        <v>74</v>
      </c>
      <c r="D846" s="1" t="s">
        <v>74</v>
      </c>
      <c r="E846" s="1" t="s">
        <v>74</v>
      </c>
      <c r="F846" s="1" t="s">
        <v>7026</v>
      </c>
      <c r="G846" s="1" t="s">
        <v>74</v>
      </c>
      <c r="H846" s="1" t="s">
        <v>74</v>
      </c>
      <c r="I846" s="1" t="s">
        <v>7027</v>
      </c>
      <c r="J846" s="1" t="s">
        <v>514</v>
      </c>
      <c r="K846" s="1" t="s">
        <v>74</v>
      </c>
      <c r="L846" s="1" t="s">
        <v>74</v>
      </c>
      <c r="M846" s="1" t="s">
        <v>74</v>
      </c>
      <c r="N846" s="1" t="s">
        <v>74</v>
      </c>
      <c r="O846" s="1" t="s">
        <v>74</v>
      </c>
      <c r="P846" s="1" t="s">
        <v>74</v>
      </c>
      <c r="Q846" s="1" t="s">
        <v>74</v>
      </c>
      <c r="R846" s="1" t="s">
        <v>74</v>
      </c>
      <c r="S846" s="1" t="s">
        <v>74</v>
      </c>
      <c r="T846" s="1" t="s">
        <v>74</v>
      </c>
      <c r="U846" s="1" t="s">
        <v>74</v>
      </c>
      <c r="V846" s="1" t="s">
        <v>7028</v>
      </c>
      <c r="W846" s="1" t="s">
        <v>74</v>
      </c>
      <c r="X846" s="1" t="s">
        <v>74</v>
      </c>
      <c r="Y846" s="1" t="s">
        <v>74</v>
      </c>
      <c r="Z846" s="1" t="s">
        <v>74</v>
      </c>
      <c r="AA846" s="1" t="s">
        <v>74</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516</v>
      </c>
      <c r="AP846" s="1" t="s">
        <v>74</v>
      </c>
      <c r="AQ846" s="1" t="s">
        <v>74</v>
      </c>
      <c r="AR846" s="1" t="s">
        <v>74</v>
      </c>
      <c r="AS846" s="1" t="s">
        <v>74</v>
      </c>
      <c r="AT846" s="1" t="s">
        <v>74</v>
      </c>
      <c r="AU846" s="1">
        <v>1999.0</v>
      </c>
      <c r="AV846" s="1">
        <v>17.0</v>
      </c>
      <c r="AW846" s="1" t="s">
        <v>831</v>
      </c>
      <c r="AX846" s="1" t="s">
        <v>74</v>
      </c>
      <c r="AY846" s="1" t="s">
        <v>74</v>
      </c>
      <c r="AZ846" s="1" t="s">
        <v>74</v>
      </c>
      <c r="BA846" s="1" t="s">
        <v>74</v>
      </c>
      <c r="BB846" s="1">
        <v>791.0</v>
      </c>
      <c r="BC846" s="1">
        <v>808.0</v>
      </c>
      <c r="BD846" s="1" t="s">
        <v>74</v>
      </c>
      <c r="BE846" s="1" t="s">
        <v>7029</v>
      </c>
      <c r="BF846" s="2" t="str">
        <f>HYPERLINK("http://dx.doi.org/10.1080/07373939908917570","http://dx.doi.org/10.1080/07373939908917570")</f>
        <v>http://dx.doi.org/10.1080/07373939908917570</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7030</v>
      </c>
      <c r="BT846" s="1" t="str">
        <f>HYPERLINK("https%3A%2F%2Fwww.webofscience.com%2Fwos%2Fwoscc%2Ffull-record%2FWOS:000080188000009","View Full Record in Web of Science")</f>
        <v>View Full Record in Web of Science</v>
      </c>
    </row>
    <row r="847" ht="12.75" customHeight="1">
      <c r="A847" s="1" t="s">
        <v>126</v>
      </c>
      <c r="B847" s="1" t="s">
        <v>7031</v>
      </c>
      <c r="C847" s="1" t="s">
        <v>74</v>
      </c>
      <c r="D847" s="1" t="s">
        <v>5489</v>
      </c>
      <c r="E847" s="1" t="s">
        <v>74</v>
      </c>
      <c r="F847" s="1" t="s">
        <v>7031</v>
      </c>
      <c r="G847" s="1" t="s">
        <v>74</v>
      </c>
      <c r="H847" s="1" t="s">
        <v>74</v>
      </c>
      <c r="I847" s="1" t="s">
        <v>7032</v>
      </c>
      <c r="J847" s="1" t="s">
        <v>5491</v>
      </c>
      <c r="K847" s="1" t="s">
        <v>74</v>
      </c>
      <c r="L847" s="1" t="s">
        <v>74</v>
      </c>
      <c r="M847" s="1" t="s">
        <v>74</v>
      </c>
      <c r="N847" s="1" t="s">
        <v>74</v>
      </c>
      <c r="O847" s="1" t="s">
        <v>5492</v>
      </c>
      <c r="P847" s="1" t="s">
        <v>5493</v>
      </c>
      <c r="Q847" s="1" t="s">
        <v>5494</v>
      </c>
      <c r="R847" s="1" t="s">
        <v>5495</v>
      </c>
      <c r="S847" s="1" t="s">
        <v>74</v>
      </c>
      <c r="T847" s="1" t="s">
        <v>74</v>
      </c>
      <c r="U847" s="1" t="s">
        <v>74</v>
      </c>
      <c r="V847" s="1" t="s">
        <v>7033</v>
      </c>
      <c r="W847" s="1" t="s">
        <v>74</v>
      </c>
      <c r="X847" s="1" t="s">
        <v>74</v>
      </c>
      <c r="Y847" s="1" t="s">
        <v>74</v>
      </c>
      <c r="Z847" s="1" t="s">
        <v>74</v>
      </c>
      <c r="AA847" s="1" t="s">
        <v>6753</v>
      </c>
      <c r="AB847" s="1" t="s">
        <v>3900</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74</v>
      </c>
      <c r="AP847" s="1" t="s">
        <v>74</v>
      </c>
      <c r="AQ847" s="1" t="s">
        <v>5498</v>
      </c>
      <c r="AR847" s="1" t="s">
        <v>74</v>
      </c>
      <c r="AS847" s="1" t="s">
        <v>74</v>
      </c>
      <c r="AT847" s="1" t="s">
        <v>74</v>
      </c>
      <c r="AU847" s="1">
        <v>1999.0</v>
      </c>
      <c r="AV847" s="1" t="s">
        <v>74</v>
      </c>
      <c r="AW847" s="1" t="s">
        <v>74</v>
      </c>
      <c r="AX847" s="1" t="s">
        <v>74</v>
      </c>
      <c r="AY847" s="1" t="s">
        <v>74</v>
      </c>
      <c r="AZ847" s="1" t="s">
        <v>74</v>
      </c>
      <c r="BA847" s="1" t="s">
        <v>74</v>
      </c>
      <c r="BB847" s="1">
        <v>427.0</v>
      </c>
      <c r="BC847" s="1">
        <v>435.0</v>
      </c>
      <c r="BD847" s="1" t="s">
        <v>74</v>
      </c>
      <c r="BE847" s="1" t="s">
        <v>74</v>
      </c>
      <c r="BF847" s="1" t="s">
        <v>74</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7034</v>
      </c>
      <c r="BT847" s="1" t="str">
        <f>HYPERLINK("https%3A%2F%2Fwww.webofscience.com%2Fwos%2Fwoscc%2Ffull-record%2FWOS:000085714700027","View Full Record in Web of Science")</f>
        <v>View Full Record in Web of Science</v>
      </c>
    </row>
    <row r="848" ht="12.75" customHeight="1">
      <c r="A848" s="1" t="s">
        <v>72</v>
      </c>
      <c r="B848" s="1" t="s">
        <v>7035</v>
      </c>
      <c r="C848" s="1" t="s">
        <v>74</v>
      </c>
      <c r="D848" s="1" t="s">
        <v>74</v>
      </c>
      <c r="E848" s="1" t="s">
        <v>74</v>
      </c>
      <c r="F848" s="1" t="s">
        <v>7035</v>
      </c>
      <c r="G848" s="1" t="s">
        <v>74</v>
      </c>
      <c r="H848" s="1" t="s">
        <v>74</v>
      </c>
      <c r="I848" s="1" t="s">
        <v>7036</v>
      </c>
      <c r="J848" s="1" t="s">
        <v>7037</v>
      </c>
      <c r="K848" s="1" t="s">
        <v>74</v>
      </c>
      <c r="L848" s="1" t="s">
        <v>74</v>
      </c>
      <c r="M848" s="1" t="s">
        <v>74</v>
      </c>
      <c r="N848" s="1" t="s">
        <v>74</v>
      </c>
      <c r="O848" s="1" t="s">
        <v>74</v>
      </c>
      <c r="P848" s="1" t="s">
        <v>74</v>
      </c>
      <c r="Q848" s="1" t="s">
        <v>74</v>
      </c>
      <c r="R848" s="1" t="s">
        <v>74</v>
      </c>
      <c r="S848" s="1" t="s">
        <v>74</v>
      </c>
      <c r="T848" s="1" t="s">
        <v>74</v>
      </c>
      <c r="U848" s="1" t="s">
        <v>74</v>
      </c>
      <c r="V848" s="1" t="s">
        <v>7038</v>
      </c>
      <c r="W848" s="1" t="s">
        <v>74</v>
      </c>
      <c r="X848" s="1" t="s">
        <v>74</v>
      </c>
      <c r="Y848" s="1" t="s">
        <v>74</v>
      </c>
      <c r="Z848" s="1" t="s">
        <v>74</v>
      </c>
      <c r="AA848" s="1" t="s">
        <v>74</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7039</v>
      </c>
      <c r="AP848" s="1" t="s">
        <v>74</v>
      </c>
      <c r="AQ848" s="1" t="s">
        <v>74</v>
      </c>
      <c r="AR848" s="1" t="s">
        <v>74</v>
      </c>
      <c r="AS848" s="1" t="s">
        <v>74</v>
      </c>
      <c r="AT848" s="1" t="s">
        <v>171</v>
      </c>
      <c r="AU848" s="1">
        <v>1998.0</v>
      </c>
      <c r="AV848" s="1">
        <v>24.0</v>
      </c>
      <c r="AW848" s="1">
        <v>9.0</v>
      </c>
      <c r="AX848" s="1" t="s">
        <v>74</v>
      </c>
      <c r="AY848" s="1" t="s">
        <v>74</v>
      </c>
      <c r="AZ848" s="1" t="s">
        <v>74</v>
      </c>
      <c r="BA848" s="1" t="s">
        <v>74</v>
      </c>
      <c r="BB848" s="1">
        <v>1535.0</v>
      </c>
      <c r="BC848" s="1">
        <v>1536.0</v>
      </c>
      <c r="BD848" s="1" t="s">
        <v>74</v>
      </c>
      <c r="BE848" s="1" t="s">
        <v>7040</v>
      </c>
      <c r="BF848" s="2" t="str">
        <f>HYPERLINK("http://dx.doi.org/10.1016/S0891-5849(98)00004-5","http://dx.doi.org/10.1016/S0891-5849(98)00004-5")</f>
        <v>http://dx.doi.org/10.1016/S0891-5849(98)00004-5</v>
      </c>
      <c r="BG848" s="1" t="s">
        <v>74</v>
      </c>
      <c r="BH848" s="1" t="s">
        <v>74</v>
      </c>
      <c r="BI848" s="1" t="s">
        <v>74</v>
      </c>
      <c r="BJ848" s="1" t="s">
        <v>74</v>
      </c>
      <c r="BK848" s="1" t="s">
        <v>74</v>
      </c>
      <c r="BL848" s="1" t="s">
        <v>74</v>
      </c>
      <c r="BM848" s="1" t="s">
        <v>74</v>
      </c>
      <c r="BN848" s="1">
        <v>9641272.0</v>
      </c>
      <c r="BO848" s="1" t="s">
        <v>74</v>
      </c>
      <c r="BP848" s="1" t="s">
        <v>74</v>
      </c>
      <c r="BQ848" s="1" t="s">
        <v>74</v>
      </c>
      <c r="BR848" s="1" t="s">
        <v>74</v>
      </c>
      <c r="BS848" s="1" t="s">
        <v>7041</v>
      </c>
      <c r="BT848" s="1" t="str">
        <f>HYPERLINK("https%3A%2F%2Fwww.webofscience.com%2Fwos%2Fwoscc%2Ffull-record%2FWOS:000074148900021","View Full Record in Web of Science")</f>
        <v>View Full Record in Web of Science</v>
      </c>
    </row>
    <row r="849" ht="12.75" customHeight="1">
      <c r="A849" s="1" t="s">
        <v>72</v>
      </c>
      <c r="B849" s="1" t="s">
        <v>7042</v>
      </c>
      <c r="C849" s="1" t="s">
        <v>74</v>
      </c>
      <c r="D849" s="1" t="s">
        <v>74</v>
      </c>
      <c r="E849" s="1" t="s">
        <v>74</v>
      </c>
      <c r="F849" s="1" t="s">
        <v>7042</v>
      </c>
      <c r="G849" s="1" t="s">
        <v>74</v>
      </c>
      <c r="H849" s="1" t="s">
        <v>74</v>
      </c>
      <c r="I849" s="1" t="s">
        <v>7043</v>
      </c>
      <c r="J849" s="1" t="s">
        <v>1592</v>
      </c>
      <c r="K849" s="1" t="s">
        <v>74</v>
      </c>
      <c r="L849" s="1" t="s">
        <v>74</v>
      </c>
      <c r="M849" s="1" t="s">
        <v>74</v>
      </c>
      <c r="N849" s="1" t="s">
        <v>74</v>
      </c>
      <c r="O849" s="1" t="s">
        <v>74</v>
      </c>
      <c r="P849" s="1" t="s">
        <v>74</v>
      </c>
      <c r="Q849" s="1" t="s">
        <v>74</v>
      </c>
      <c r="R849" s="1" t="s">
        <v>74</v>
      </c>
      <c r="S849" s="1" t="s">
        <v>74</v>
      </c>
      <c r="T849" s="1" t="s">
        <v>74</v>
      </c>
      <c r="U849" s="1" t="s">
        <v>74</v>
      </c>
      <c r="V849" s="1" t="s">
        <v>7044</v>
      </c>
      <c r="W849" s="1" t="s">
        <v>74</v>
      </c>
      <c r="X849" s="1" t="s">
        <v>74</v>
      </c>
      <c r="Y849" s="1" t="s">
        <v>74</v>
      </c>
      <c r="Z849" s="1" t="s">
        <v>74</v>
      </c>
      <c r="AA849" s="1" t="s">
        <v>7045</v>
      </c>
      <c r="AB849" s="1" t="s">
        <v>74</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1596</v>
      </c>
      <c r="AP849" s="1" t="s">
        <v>74</v>
      </c>
      <c r="AQ849" s="1" t="s">
        <v>74</v>
      </c>
      <c r="AR849" s="1" t="s">
        <v>74</v>
      </c>
      <c r="AS849" s="1" t="s">
        <v>74</v>
      </c>
      <c r="AT849" s="1" t="s">
        <v>74</v>
      </c>
      <c r="AU849" s="1">
        <v>1997.0</v>
      </c>
      <c r="AV849" s="1">
        <v>42.0</v>
      </c>
      <c r="AW849" s="1">
        <v>11.0</v>
      </c>
      <c r="AX849" s="1" t="s">
        <v>74</v>
      </c>
      <c r="AY849" s="1" t="s">
        <v>74</v>
      </c>
      <c r="AZ849" s="1" t="s">
        <v>74</v>
      </c>
      <c r="BA849" s="1" t="s">
        <v>74</v>
      </c>
      <c r="BB849" s="1">
        <v>1725.0</v>
      </c>
      <c r="BC849" s="1">
        <v>1731.0</v>
      </c>
      <c r="BD849" s="1" t="s">
        <v>74</v>
      </c>
      <c r="BE849" s="1" t="s">
        <v>7046</v>
      </c>
      <c r="BF849" s="2" t="str">
        <f>HYPERLINK("http://dx.doi.org/10.1016/S0013-4686(96)00372-6","http://dx.doi.org/10.1016/S0013-4686(96)00372-6")</f>
        <v>http://dx.doi.org/10.1016/S0013-4686(96)00372-6</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7047</v>
      </c>
      <c r="BT849" s="1" t="str">
        <f>HYPERLINK("https%3A%2F%2Fwww.webofscience.com%2Fwos%2Fwoscc%2Ffull-record%2FWOS:A1997WR73900011","View Full Record in Web of Science")</f>
        <v>View Full Record in Web of Science</v>
      </c>
    </row>
    <row r="850" ht="12.75" customHeight="1">
      <c r="A850" s="1" t="s">
        <v>72</v>
      </c>
      <c r="B850" s="1" t="s">
        <v>7048</v>
      </c>
      <c r="C850" s="1" t="s">
        <v>74</v>
      </c>
      <c r="D850" s="1" t="s">
        <v>74</v>
      </c>
      <c r="E850" s="1" t="s">
        <v>74</v>
      </c>
      <c r="F850" s="1" t="s">
        <v>7048</v>
      </c>
      <c r="G850" s="1" t="s">
        <v>74</v>
      </c>
      <c r="H850" s="1" t="s">
        <v>74</v>
      </c>
      <c r="I850" s="1" t="s">
        <v>7049</v>
      </c>
      <c r="J850" s="1" t="s">
        <v>7050</v>
      </c>
      <c r="K850" s="1" t="s">
        <v>74</v>
      </c>
      <c r="L850" s="1" t="s">
        <v>74</v>
      </c>
      <c r="M850" s="1" t="s">
        <v>74</v>
      </c>
      <c r="N850" s="1" t="s">
        <v>74</v>
      </c>
      <c r="O850" s="1" t="s">
        <v>74</v>
      </c>
      <c r="P850" s="1" t="s">
        <v>74</v>
      </c>
      <c r="Q850" s="1" t="s">
        <v>74</v>
      </c>
      <c r="R850" s="1" t="s">
        <v>74</v>
      </c>
      <c r="S850" s="1" t="s">
        <v>74</v>
      </c>
      <c r="T850" s="1" t="s">
        <v>74</v>
      </c>
      <c r="U850" s="1" t="s">
        <v>74</v>
      </c>
      <c r="V850" s="1" t="s">
        <v>74</v>
      </c>
      <c r="W850" s="1" t="s">
        <v>74</v>
      </c>
      <c r="X850" s="1" t="s">
        <v>74</v>
      </c>
      <c r="Y850" s="1" t="s">
        <v>74</v>
      </c>
      <c r="Z850" s="1" t="s">
        <v>74</v>
      </c>
      <c r="AA850" s="1" t="s">
        <v>74</v>
      </c>
      <c r="AB850" s="1" t="s">
        <v>74</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7051</v>
      </c>
      <c r="AP850" s="1" t="s">
        <v>74</v>
      </c>
      <c r="AQ850" s="1" t="s">
        <v>74</v>
      </c>
      <c r="AR850" s="1" t="s">
        <v>74</v>
      </c>
      <c r="AS850" s="1" t="s">
        <v>74</v>
      </c>
      <c r="AT850" s="1" t="s">
        <v>818</v>
      </c>
      <c r="AU850" s="1">
        <v>1993.0</v>
      </c>
      <c r="AV850" s="1">
        <v>27.0</v>
      </c>
      <c r="AW850" s="1">
        <v>3.0</v>
      </c>
      <c r="AX850" s="1" t="s">
        <v>74</v>
      </c>
      <c r="AY850" s="1" t="s">
        <v>74</v>
      </c>
      <c r="AZ850" s="1" t="s">
        <v>74</v>
      </c>
      <c r="BA850" s="1" t="s">
        <v>74</v>
      </c>
      <c r="BB850" s="1">
        <v>291.0</v>
      </c>
      <c r="BC850" s="1">
        <v>292.0</v>
      </c>
      <c r="BD850" s="1" t="s">
        <v>74</v>
      </c>
      <c r="BE850" s="1" t="s">
        <v>7052</v>
      </c>
      <c r="BF850" s="2" t="str">
        <f>HYPERLINK("http://dx.doi.org/10.1016/0960-1686(93)90103-6","http://dx.doi.org/10.1016/0960-1686(93)90103-6")</f>
        <v>http://dx.doi.org/10.1016/0960-1686(93)90103-6</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7053</v>
      </c>
      <c r="BT850" s="1" t="str">
        <f>HYPERLINK("https%3A%2F%2Fwww.webofscience.com%2Fwos%2Fwoscc%2Ffull-record%2FWOS:A1993KQ75200001","View Full Record in Web of Science")</f>
        <v>View Full Record in Web of Science</v>
      </c>
    </row>
    <row r="851" ht="12.75" customHeight="1">
      <c r="A851" s="1" t="s">
        <v>72</v>
      </c>
      <c r="B851" s="1" t="s">
        <v>7054</v>
      </c>
      <c r="C851" s="1" t="s">
        <v>74</v>
      </c>
      <c r="D851" s="1" t="s">
        <v>74</v>
      </c>
      <c r="E851" s="1" t="s">
        <v>74</v>
      </c>
      <c r="F851" s="1" t="s">
        <v>7054</v>
      </c>
      <c r="G851" s="1" t="s">
        <v>74</v>
      </c>
      <c r="H851" s="1" t="s">
        <v>74</v>
      </c>
      <c r="I851" s="1" t="s">
        <v>7055</v>
      </c>
      <c r="J851" s="1" t="s">
        <v>6312</v>
      </c>
      <c r="K851" s="1" t="s">
        <v>74</v>
      </c>
      <c r="L851" s="1" t="s">
        <v>74</v>
      </c>
      <c r="M851" s="1" t="s">
        <v>74</v>
      </c>
      <c r="N851" s="1" t="s">
        <v>74</v>
      </c>
      <c r="O851" s="1" t="s">
        <v>74</v>
      </c>
      <c r="P851" s="1" t="s">
        <v>74</v>
      </c>
      <c r="Q851" s="1" t="s">
        <v>74</v>
      </c>
      <c r="R851" s="1" t="s">
        <v>74</v>
      </c>
      <c r="S851" s="1" t="s">
        <v>74</v>
      </c>
      <c r="T851" s="1" t="s">
        <v>74</v>
      </c>
      <c r="U851" s="1" t="s">
        <v>74</v>
      </c>
      <c r="V851" s="1" t="s">
        <v>7056</v>
      </c>
      <c r="W851" s="1" t="s">
        <v>74</v>
      </c>
      <c r="X851" s="1" t="s">
        <v>74</v>
      </c>
      <c r="Y851" s="1" t="s">
        <v>74</v>
      </c>
      <c r="Z851" s="1" t="s">
        <v>74</v>
      </c>
      <c r="AA851" s="1" t="s">
        <v>74</v>
      </c>
      <c r="AB851" s="1" t="s">
        <v>701</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6313</v>
      </c>
      <c r="AP851" s="1" t="s">
        <v>7057</v>
      </c>
      <c r="AQ851" s="1" t="s">
        <v>74</v>
      </c>
      <c r="AR851" s="1" t="s">
        <v>74</v>
      </c>
      <c r="AS851" s="1" t="s">
        <v>74</v>
      </c>
      <c r="AT851" s="1" t="s">
        <v>7058</v>
      </c>
      <c r="AU851" s="1">
        <v>1989.0</v>
      </c>
      <c r="AV851" s="1">
        <v>52.0</v>
      </c>
      <c r="AW851" s="1">
        <v>2.0</v>
      </c>
      <c r="AX851" s="1" t="s">
        <v>74</v>
      </c>
      <c r="AY851" s="1" t="s">
        <v>74</v>
      </c>
      <c r="AZ851" s="1" t="s">
        <v>74</v>
      </c>
      <c r="BA851" s="1" t="s">
        <v>74</v>
      </c>
      <c r="BB851" s="1">
        <v>402.0</v>
      </c>
      <c r="BC851" s="1">
        <v>403.0</v>
      </c>
      <c r="BD851" s="1" t="s">
        <v>74</v>
      </c>
      <c r="BE851" s="1" t="s">
        <v>7059</v>
      </c>
      <c r="BF851" s="2" t="str">
        <f>HYPERLINK("http://dx.doi.org/10.1021/np50062a034","http://dx.doi.org/10.1021/np50062a034")</f>
        <v>http://dx.doi.org/10.1021/np50062a034</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7060</v>
      </c>
      <c r="BT851" s="1" t="str">
        <f>HYPERLINK("https%3A%2F%2Fwww.webofscience.com%2Fwos%2Fwoscc%2Ffull-record%2FWOS:A1989U448700035","View Full Record in Web of Science")</f>
        <v>View Full Record in Web of Science</v>
      </c>
    </row>
    <row r="852" ht="12.75" customHeight="1">
      <c r="A852" s="1" t="s">
        <v>72</v>
      </c>
      <c r="B852" s="1" t="s">
        <v>7061</v>
      </c>
      <c r="C852" s="1" t="s">
        <v>74</v>
      </c>
      <c r="D852" s="1" t="s">
        <v>74</v>
      </c>
      <c r="E852" s="1" t="s">
        <v>74</v>
      </c>
      <c r="F852" s="1" t="s">
        <v>7061</v>
      </c>
      <c r="G852" s="1" t="s">
        <v>74</v>
      </c>
      <c r="H852" s="1" t="s">
        <v>74</v>
      </c>
      <c r="I852" s="1" t="s">
        <v>7062</v>
      </c>
      <c r="J852" s="1" t="s">
        <v>7063</v>
      </c>
      <c r="K852" s="1" t="s">
        <v>74</v>
      </c>
      <c r="L852" s="1" t="s">
        <v>74</v>
      </c>
      <c r="M852" s="1" t="s">
        <v>74</v>
      </c>
      <c r="N852" s="1" t="s">
        <v>74</v>
      </c>
      <c r="O852" s="1" t="s">
        <v>74</v>
      </c>
      <c r="P852" s="1" t="s">
        <v>74</v>
      </c>
      <c r="Q852" s="1" t="s">
        <v>74</v>
      </c>
      <c r="R852" s="1" t="s">
        <v>74</v>
      </c>
      <c r="S852" s="1" t="s">
        <v>74</v>
      </c>
      <c r="T852" s="1" t="s">
        <v>74</v>
      </c>
      <c r="U852" s="1" t="s">
        <v>74</v>
      </c>
      <c r="V852" s="1" t="s">
        <v>74</v>
      </c>
      <c r="W852" s="1" t="s">
        <v>74</v>
      </c>
      <c r="X852" s="1" t="s">
        <v>74</v>
      </c>
      <c r="Y852" s="1" t="s">
        <v>74</v>
      </c>
      <c r="Z852" s="1" t="s">
        <v>74</v>
      </c>
      <c r="AA852" s="1" t="s">
        <v>74</v>
      </c>
      <c r="AB852" s="1" t="s">
        <v>74</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7064</v>
      </c>
      <c r="AP852" s="1" t="s">
        <v>74</v>
      </c>
      <c r="AQ852" s="1" t="s">
        <v>74</v>
      </c>
      <c r="AR852" s="1" t="s">
        <v>74</v>
      </c>
      <c r="AS852" s="1" t="s">
        <v>74</v>
      </c>
      <c r="AT852" s="1" t="s">
        <v>974</v>
      </c>
      <c r="AU852" s="1">
        <v>1988.0</v>
      </c>
      <c r="AV852" s="1">
        <v>30.0</v>
      </c>
      <c r="AW852" s="1" t="s">
        <v>3081</v>
      </c>
      <c r="AX852" s="1" t="s">
        <v>74</v>
      </c>
      <c r="AY852" s="1" t="s">
        <v>74</v>
      </c>
      <c r="AZ852" s="1" t="s">
        <v>74</v>
      </c>
      <c r="BA852" s="1" t="s">
        <v>74</v>
      </c>
      <c r="BB852" s="1">
        <v>215.0</v>
      </c>
      <c r="BC852" s="1">
        <v>219.0</v>
      </c>
      <c r="BD852" s="1" t="s">
        <v>74</v>
      </c>
      <c r="BE852" s="1" t="s">
        <v>7065</v>
      </c>
      <c r="BF852" s="2" t="str">
        <f>HYPERLINK("http://dx.doi.org/10.1016/0167-6105(88)90086-4","http://dx.doi.org/10.1016/0167-6105(88)90086-4")</f>
        <v>http://dx.doi.org/10.1016/0167-6105(88)90086-4</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7066</v>
      </c>
      <c r="BT852" s="1" t="str">
        <f>HYPERLINK("https%3A%2F%2Fwww.webofscience.com%2Fwos%2Fwoscc%2Ffull-record%2FWOS:A1988Q744700022","View Full Record in Web of Science")</f>
        <v>View Full Record in Web of Science</v>
      </c>
    </row>
    <row r="853" ht="12.75" customHeight="1">
      <c r="A853" s="1" t="s">
        <v>72</v>
      </c>
      <c r="B853" s="1" t="s">
        <v>7067</v>
      </c>
      <c r="C853" s="1" t="s">
        <v>74</v>
      </c>
      <c r="D853" s="1" t="s">
        <v>74</v>
      </c>
      <c r="E853" s="1" t="s">
        <v>74</v>
      </c>
      <c r="F853" s="1" t="s">
        <v>7067</v>
      </c>
      <c r="G853" s="1" t="s">
        <v>74</v>
      </c>
      <c r="H853" s="1" t="s">
        <v>74</v>
      </c>
      <c r="I853" s="1" t="s">
        <v>7068</v>
      </c>
      <c r="J853" s="1" t="s">
        <v>7069</v>
      </c>
      <c r="K853" s="1" t="s">
        <v>74</v>
      </c>
      <c r="L853" s="1" t="s">
        <v>74</v>
      </c>
      <c r="M853" s="1" t="s">
        <v>74</v>
      </c>
      <c r="N853" s="1" t="s">
        <v>74</v>
      </c>
      <c r="O853" s="1" t="s">
        <v>74</v>
      </c>
      <c r="P853" s="1" t="s">
        <v>74</v>
      </c>
      <c r="Q853" s="1" t="s">
        <v>74</v>
      </c>
      <c r="R853" s="1" t="s">
        <v>74</v>
      </c>
      <c r="S853" s="1" t="s">
        <v>74</v>
      </c>
      <c r="T853" s="1" t="s">
        <v>74</v>
      </c>
      <c r="U853" s="1" t="s">
        <v>74</v>
      </c>
      <c r="V853" s="1" t="s">
        <v>74</v>
      </c>
      <c r="W853" s="1" t="s">
        <v>74</v>
      </c>
      <c r="X853" s="1" t="s">
        <v>74</v>
      </c>
      <c r="Y853" s="1" t="s">
        <v>74</v>
      </c>
      <c r="Z853" s="1" t="s">
        <v>74</v>
      </c>
      <c r="AA853" s="1" t="s">
        <v>74</v>
      </c>
      <c r="AB853" s="1" t="s">
        <v>74</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7070</v>
      </c>
      <c r="AP853" s="1" t="s">
        <v>74</v>
      </c>
      <c r="AQ853" s="1" t="s">
        <v>74</v>
      </c>
      <c r="AR853" s="1" t="s">
        <v>74</v>
      </c>
      <c r="AS853" s="1" t="s">
        <v>74</v>
      </c>
      <c r="AT853" s="1" t="s">
        <v>91</v>
      </c>
      <c r="AU853" s="1">
        <v>1988.0</v>
      </c>
      <c r="AV853" s="1">
        <v>23.0</v>
      </c>
      <c r="AW853" s="1" t="s">
        <v>945</v>
      </c>
      <c r="AX853" s="1" t="s">
        <v>74</v>
      </c>
      <c r="AY853" s="1" t="s">
        <v>74</v>
      </c>
      <c r="AZ853" s="1" t="s">
        <v>74</v>
      </c>
      <c r="BA853" s="1" t="s">
        <v>74</v>
      </c>
      <c r="BB853" s="1">
        <v>253.0</v>
      </c>
      <c r="BC853" s="1">
        <v>264.0</v>
      </c>
      <c r="BD853" s="1" t="s">
        <v>74</v>
      </c>
      <c r="BE853" s="1" t="s">
        <v>7071</v>
      </c>
      <c r="BF853" s="2" t="str">
        <f>HYPERLINK("http://dx.doi.org/10.1016/0301-7516(88)90019-1","http://dx.doi.org/10.1016/0301-7516(88)90019-1")</f>
        <v>http://dx.doi.org/10.1016/0301-7516(88)90019-1</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7072</v>
      </c>
      <c r="BT853" s="1" t="str">
        <f>HYPERLINK("https%3A%2F%2Fwww.webofscience.com%2Fwos%2Fwoscc%2Ffull-record%2FWOS:A1988P493600008","View Full Record in Web of Science")</f>
        <v>View Full Record in Web of Science</v>
      </c>
    </row>
    <row r="854" ht="12.75" customHeight="1">
      <c r="A854" s="1" t="s">
        <v>72</v>
      </c>
      <c r="B854" s="1" t="s">
        <v>7073</v>
      </c>
      <c r="C854" s="1" t="s">
        <v>74</v>
      </c>
      <c r="D854" s="1" t="s">
        <v>74</v>
      </c>
      <c r="E854" s="1" t="s">
        <v>74</v>
      </c>
      <c r="F854" s="1" t="s">
        <v>7073</v>
      </c>
      <c r="G854" s="1" t="s">
        <v>74</v>
      </c>
      <c r="H854" s="1" t="s">
        <v>74</v>
      </c>
      <c r="I854" s="1" t="s">
        <v>7074</v>
      </c>
      <c r="J854" s="1" t="s">
        <v>4811</v>
      </c>
      <c r="K854" s="1" t="s">
        <v>74</v>
      </c>
      <c r="L854" s="1" t="s">
        <v>74</v>
      </c>
      <c r="M854" s="1" t="s">
        <v>74</v>
      </c>
      <c r="N854" s="1" t="s">
        <v>74</v>
      </c>
      <c r="O854" s="1" t="s">
        <v>74</v>
      </c>
      <c r="P854" s="1" t="s">
        <v>74</v>
      </c>
      <c r="Q854" s="1" t="s">
        <v>74</v>
      </c>
      <c r="R854" s="1" t="s">
        <v>74</v>
      </c>
      <c r="S854" s="1" t="s">
        <v>74</v>
      </c>
      <c r="T854" s="1" t="s">
        <v>74</v>
      </c>
      <c r="U854" s="1" t="s">
        <v>74</v>
      </c>
      <c r="V854" s="1" t="s">
        <v>74</v>
      </c>
      <c r="W854" s="1" t="s">
        <v>74</v>
      </c>
      <c r="X854" s="1" t="s">
        <v>74</v>
      </c>
      <c r="Y854" s="1" t="s">
        <v>74</v>
      </c>
      <c r="Z854" s="1" t="s">
        <v>74</v>
      </c>
      <c r="AA854" s="1" t="s">
        <v>74</v>
      </c>
      <c r="AB854" s="1" t="s">
        <v>74</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4813</v>
      </c>
      <c r="AP854" s="1" t="s">
        <v>74</v>
      </c>
      <c r="AQ854" s="1" t="s">
        <v>74</v>
      </c>
      <c r="AR854" s="1" t="s">
        <v>74</v>
      </c>
      <c r="AS854" s="1" t="s">
        <v>74</v>
      </c>
      <c r="AT854" s="1" t="s">
        <v>74</v>
      </c>
      <c r="AU854" s="1">
        <v>1981.0</v>
      </c>
      <c r="AV854" s="1">
        <v>16.0</v>
      </c>
      <c r="AW854" s="1">
        <v>10.0</v>
      </c>
      <c r="AX854" s="1" t="s">
        <v>74</v>
      </c>
      <c r="AY854" s="1" t="s">
        <v>74</v>
      </c>
      <c r="AZ854" s="1" t="s">
        <v>74</v>
      </c>
      <c r="BA854" s="1" t="s">
        <v>74</v>
      </c>
      <c r="BB854" s="1">
        <v>1735.0</v>
      </c>
      <c r="BC854" s="1">
        <v>1738.0</v>
      </c>
      <c r="BD854" s="1" t="s">
        <v>74</v>
      </c>
      <c r="BE854" s="1" t="s">
        <v>74</v>
      </c>
      <c r="BF854" s="1" t="s">
        <v>74</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7075</v>
      </c>
      <c r="BT854" s="1" t="str">
        <f>HYPERLINK("https%3A%2F%2Fwww.webofscience.com%2Fwos%2Fwoscc%2Ffull-record%2FWOS:A1981MJ36200018","View Full Record in Web of Science")</f>
        <v>View Full Record in Web of Science</v>
      </c>
    </row>
    <row r="855" ht="12.75" customHeight="1">
      <c r="A855" s="1" t="s">
        <v>72</v>
      </c>
      <c r="B855" s="1" t="s">
        <v>7076</v>
      </c>
      <c r="C855" s="1" t="s">
        <v>74</v>
      </c>
      <c r="D855" s="1" t="s">
        <v>74</v>
      </c>
      <c r="E855" s="1" t="s">
        <v>74</v>
      </c>
      <c r="F855" s="1" t="s">
        <v>7076</v>
      </c>
      <c r="G855" s="1" t="s">
        <v>74</v>
      </c>
      <c r="H855" s="1" t="s">
        <v>74</v>
      </c>
      <c r="I855" s="1" t="s">
        <v>7077</v>
      </c>
      <c r="J855" s="1" t="s">
        <v>4822</v>
      </c>
      <c r="K855" s="1" t="s">
        <v>74</v>
      </c>
      <c r="L855" s="1" t="s">
        <v>74</v>
      </c>
      <c r="M855" s="1" t="s">
        <v>74</v>
      </c>
      <c r="N855" s="1" t="s">
        <v>74</v>
      </c>
      <c r="O855" s="1" t="s">
        <v>74</v>
      </c>
      <c r="P855" s="1" t="s">
        <v>74</v>
      </c>
      <c r="Q855" s="1" t="s">
        <v>74</v>
      </c>
      <c r="R855" s="1" t="s">
        <v>74</v>
      </c>
      <c r="S855" s="1" t="s">
        <v>74</v>
      </c>
      <c r="T855" s="1" t="s">
        <v>74</v>
      </c>
      <c r="U855" s="1" t="s">
        <v>74</v>
      </c>
      <c r="V855" s="1" t="s">
        <v>74</v>
      </c>
      <c r="W855" s="1" t="s">
        <v>74</v>
      </c>
      <c r="X855" s="1" t="s">
        <v>74</v>
      </c>
      <c r="Y855" s="1" t="s">
        <v>74</v>
      </c>
      <c r="Z855" s="1" t="s">
        <v>74</v>
      </c>
      <c r="AA855" s="1" t="s">
        <v>74</v>
      </c>
      <c r="AB855" s="1" t="s">
        <v>74</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4824</v>
      </c>
      <c r="AP855" s="1" t="s">
        <v>4825</v>
      </c>
      <c r="AQ855" s="1" t="s">
        <v>74</v>
      </c>
      <c r="AR855" s="1" t="s">
        <v>74</v>
      </c>
      <c r="AS855" s="1" t="s">
        <v>74</v>
      </c>
      <c r="AT855" s="1" t="s">
        <v>74</v>
      </c>
      <c r="AU855" s="1">
        <v>1980.0</v>
      </c>
      <c r="AV855" s="1">
        <v>23.0</v>
      </c>
      <c r="AW855" s="1">
        <v>12.0</v>
      </c>
      <c r="AX855" s="1" t="s">
        <v>74</v>
      </c>
      <c r="AY855" s="1" t="s">
        <v>74</v>
      </c>
      <c r="AZ855" s="1" t="s">
        <v>74</v>
      </c>
      <c r="BA855" s="1" t="s">
        <v>74</v>
      </c>
      <c r="BB855" s="1">
        <v>741.0</v>
      </c>
      <c r="BC855" s="1">
        <v>743.0</v>
      </c>
      <c r="BD855" s="1" t="s">
        <v>74</v>
      </c>
      <c r="BE855" s="1" t="s">
        <v>74</v>
      </c>
      <c r="BF855" s="1" t="s">
        <v>74</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7078</v>
      </c>
      <c r="BT855" s="1" t="str">
        <f>HYPERLINK("https%3A%2F%2Fwww.webofscience.com%2Fwos%2Fwoscc%2Ffull-record%2FWOS:A1980KV96900002","View Full Record in Web of Science")</f>
        <v>View Full Record in Web of Science</v>
      </c>
    </row>
    <row r="856" ht="12.75" customHeight="1">
      <c r="A856" s="1" t="s">
        <v>72</v>
      </c>
      <c r="B856" s="1" t="s">
        <v>3311</v>
      </c>
      <c r="C856" s="1" t="s">
        <v>74</v>
      </c>
      <c r="D856" s="1" t="s">
        <v>74</v>
      </c>
      <c r="E856" s="1" t="s">
        <v>74</v>
      </c>
      <c r="F856" s="1" t="s">
        <v>3311</v>
      </c>
      <c r="G856" s="1" t="s">
        <v>74</v>
      </c>
      <c r="H856" s="1" t="s">
        <v>74</v>
      </c>
      <c r="I856" s="1" t="s">
        <v>7079</v>
      </c>
      <c r="J856" s="1" t="s">
        <v>7080</v>
      </c>
      <c r="K856" s="1" t="s">
        <v>74</v>
      </c>
      <c r="L856" s="1" t="s">
        <v>74</v>
      </c>
      <c r="M856" s="1" t="s">
        <v>74</v>
      </c>
      <c r="N856" s="1" t="s">
        <v>74</v>
      </c>
      <c r="O856" s="1" t="s">
        <v>74</v>
      </c>
      <c r="P856" s="1" t="s">
        <v>74</v>
      </c>
      <c r="Q856" s="1" t="s">
        <v>74</v>
      </c>
      <c r="R856" s="1" t="s">
        <v>74</v>
      </c>
      <c r="S856" s="1" t="s">
        <v>74</v>
      </c>
      <c r="T856" s="1" t="s">
        <v>74</v>
      </c>
      <c r="U856" s="1" t="s">
        <v>74</v>
      </c>
      <c r="V856" s="1" t="s">
        <v>74</v>
      </c>
      <c r="W856" s="1" t="s">
        <v>74</v>
      </c>
      <c r="X856" s="1" t="s">
        <v>74</v>
      </c>
      <c r="Y856" s="1" t="s">
        <v>74</v>
      </c>
      <c r="Z856" s="1" t="s">
        <v>74</v>
      </c>
      <c r="AA856" s="1" t="s">
        <v>74</v>
      </c>
      <c r="AB856" s="1" t="s">
        <v>74</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7081</v>
      </c>
      <c r="AP856" s="1" t="s">
        <v>74</v>
      </c>
      <c r="AQ856" s="1" t="s">
        <v>74</v>
      </c>
      <c r="AR856" s="1" t="s">
        <v>74</v>
      </c>
      <c r="AS856" s="1" t="s">
        <v>74</v>
      </c>
      <c r="AT856" s="1" t="s">
        <v>74</v>
      </c>
      <c r="AU856" s="1">
        <v>1979.0</v>
      </c>
      <c r="AV856" s="1">
        <v>30.0</v>
      </c>
      <c r="AW856" s="1">
        <v>1.0</v>
      </c>
      <c r="AX856" s="1" t="s">
        <v>74</v>
      </c>
      <c r="AY856" s="1" t="s">
        <v>74</v>
      </c>
      <c r="AZ856" s="1" t="s">
        <v>74</v>
      </c>
      <c r="BA856" s="1" t="s">
        <v>74</v>
      </c>
      <c r="BB856" s="1">
        <v>59.0</v>
      </c>
      <c r="BC856" s="1">
        <v>62.0</v>
      </c>
      <c r="BD856" s="1" t="s">
        <v>74</v>
      </c>
      <c r="BE856" s="1" t="s">
        <v>7082</v>
      </c>
      <c r="BF856" s="2" t="str">
        <f>HYPERLINK("http://dx.doi.org/10.1111/j.1751-1097.1979.tb07115.x","http://dx.doi.org/10.1111/j.1751-1097.1979.tb07115.x")</f>
        <v>http://dx.doi.org/10.1111/j.1751-1097.1979.tb07115.x</v>
      </c>
      <c r="BG856" s="1" t="s">
        <v>74</v>
      </c>
      <c r="BH856" s="1" t="s">
        <v>74</v>
      </c>
      <c r="BI856" s="1" t="s">
        <v>74</v>
      </c>
      <c r="BJ856" s="1" t="s">
        <v>74</v>
      </c>
      <c r="BK856" s="1" t="s">
        <v>74</v>
      </c>
      <c r="BL856" s="1" t="s">
        <v>74</v>
      </c>
      <c r="BM856" s="1" t="s">
        <v>74</v>
      </c>
      <c r="BN856" s="1" t="s">
        <v>74</v>
      </c>
      <c r="BO856" s="1" t="s">
        <v>74</v>
      </c>
      <c r="BP856" s="1" t="s">
        <v>74</v>
      </c>
      <c r="BQ856" s="1" t="s">
        <v>74</v>
      </c>
      <c r="BR856" s="1" t="s">
        <v>74</v>
      </c>
      <c r="BS856" s="1" t="s">
        <v>7083</v>
      </c>
      <c r="BT856" s="1" t="str">
        <f>HYPERLINK("https%3A%2F%2Fwww.webofscience.com%2Fwos%2Fwoscc%2Ffull-record%2FWOS:A1979HF80000009","View Full Record in Web of Science")</f>
        <v>View Full Record in Web of Science</v>
      </c>
    </row>
    <row r="857" ht="12.75" customHeight="1">
      <c r="A857" s="1" t="s">
        <v>105</v>
      </c>
      <c r="B857" s="1" t="s">
        <v>7084</v>
      </c>
      <c r="C857" s="1" t="s">
        <v>74</v>
      </c>
      <c r="D857" s="1" t="s">
        <v>7085</v>
      </c>
      <c r="E857" s="1" t="s">
        <v>74</v>
      </c>
      <c r="F857" s="1" t="s">
        <v>7086</v>
      </c>
      <c r="G857" s="1" t="s">
        <v>74</v>
      </c>
      <c r="H857" s="1" t="s">
        <v>74</v>
      </c>
      <c r="I857" s="1" t="s">
        <v>7087</v>
      </c>
      <c r="J857" s="1" t="s">
        <v>7088</v>
      </c>
      <c r="K857" s="1" t="s">
        <v>7089</v>
      </c>
      <c r="L857" s="1" t="s">
        <v>74</v>
      </c>
      <c r="M857" s="1" t="s">
        <v>74</v>
      </c>
      <c r="N857" s="1" t="s">
        <v>74</v>
      </c>
      <c r="O857" s="1" t="s">
        <v>74</v>
      </c>
      <c r="P857" s="1" t="s">
        <v>74</v>
      </c>
      <c r="Q857" s="1" t="s">
        <v>74</v>
      </c>
      <c r="R857" s="1" t="s">
        <v>74</v>
      </c>
      <c r="S857" s="1" t="s">
        <v>74</v>
      </c>
      <c r="T857" s="1" t="s">
        <v>74</v>
      </c>
      <c r="U857" s="1" t="s">
        <v>74</v>
      </c>
      <c r="V857" s="1" t="s">
        <v>74</v>
      </c>
      <c r="W857" s="1" t="s">
        <v>74</v>
      </c>
      <c r="X857" s="1" t="s">
        <v>74</v>
      </c>
      <c r="Y857" s="1" t="s">
        <v>74</v>
      </c>
      <c r="Z857" s="1" t="s">
        <v>74</v>
      </c>
      <c r="AA857" s="1" t="s">
        <v>74</v>
      </c>
      <c r="AB857" s="1" t="s">
        <v>74</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74</v>
      </c>
      <c r="AP857" s="1" t="s">
        <v>74</v>
      </c>
      <c r="AQ857" s="1" t="s">
        <v>7090</v>
      </c>
      <c r="AR857" s="1" t="s">
        <v>74</v>
      </c>
      <c r="AS857" s="1" t="s">
        <v>74</v>
      </c>
      <c r="AT857" s="1" t="s">
        <v>74</v>
      </c>
      <c r="AU857" s="1">
        <v>2024.0</v>
      </c>
      <c r="AV857" s="1" t="s">
        <v>74</v>
      </c>
      <c r="AW857" s="1" t="s">
        <v>74</v>
      </c>
      <c r="AX857" s="1" t="s">
        <v>74</v>
      </c>
      <c r="AY857" s="1" t="s">
        <v>74</v>
      </c>
      <c r="AZ857" s="1" t="s">
        <v>74</v>
      </c>
      <c r="BA857" s="1" t="s">
        <v>74</v>
      </c>
      <c r="BB857" s="1">
        <v>145.0</v>
      </c>
      <c r="BC857" s="1">
        <v>152.0</v>
      </c>
      <c r="BD857" s="1" t="s">
        <v>74</v>
      </c>
      <c r="BE857" s="1" t="s">
        <v>7091</v>
      </c>
      <c r="BF857" s="2" t="str">
        <f>HYPERLINK("http://dx.doi.org/10.4324/9781315183886-16","http://dx.doi.org/10.4324/9781315183886-16")</f>
        <v>http://dx.doi.org/10.4324/9781315183886-16</v>
      </c>
      <c r="BG857" s="1" t="s">
        <v>7092</v>
      </c>
      <c r="BH857" s="1" t="s">
        <v>74</v>
      </c>
      <c r="BI857" s="1" t="s">
        <v>74</v>
      </c>
      <c r="BJ857" s="1" t="s">
        <v>74</v>
      </c>
      <c r="BK857" s="1" t="s">
        <v>74</v>
      </c>
      <c r="BL857" s="1" t="s">
        <v>74</v>
      </c>
      <c r="BM857" s="1" t="s">
        <v>74</v>
      </c>
      <c r="BN857" s="1" t="s">
        <v>74</v>
      </c>
      <c r="BO857" s="1" t="s">
        <v>74</v>
      </c>
      <c r="BP857" s="1" t="s">
        <v>74</v>
      </c>
      <c r="BQ857" s="1" t="s">
        <v>74</v>
      </c>
      <c r="BR857" s="1" t="s">
        <v>74</v>
      </c>
      <c r="BS857" s="1" t="s">
        <v>7093</v>
      </c>
      <c r="BT857" s="1" t="str">
        <f>HYPERLINK("https%3A%2F%2Fwww.webofscience.com%2Fwos%2Fwoscc%2Ffull-record%2FWOS:001200200000017","View Full Record in Web of Science")</f>
        <v>View Full Record in Web of Science</v>
      </c>
    </row>
    <row r="858" ht="12.75" customHeight="1">
      <c r="A858" s="1" t="s">
        <v>126</v>
      </c>
      <c r="B858" s="1" t="s">
        <v>7094</v>
      </c>
      <c r="C858" s="1" t="s">
        <v>74</v>
      </c>
      <c r="D858" s="1" t="s">
        <v>74</v>
      </c>
      <c r="E858" s="1" t="s">
        <v>128</v>
      </c>
      <c r="F858" s="1" t="s">
        <v>7095</v>
      </c>
      <c r="G858" s="1" t="s">
        <v>74</v>
      </c>
      <c r="H858" s="1" t="s">
        <v>74</v>
      </c>
      <c r="I858" s="1" t="s">
        <v>7096</v>
      </c>
      <c r="J858" s="1" t="s">
        <v>7097</v>
      </c>
      <c r="K858" s="1" t="s">
        <v>74</v>
      </c>
      <c r="L858" s="1" t="s">
        <v>74</v>
      </c>
      <c r="M858" s="1" t="s">
        <v>74</v>
      </c>
      <c r="N858" s="1" t="s">
        <v>74</v>
      </c>
      <c r="O858" s="1" t="s">
        <v>7098</v>
      </c>
      <c r="P858" s="1" t="s">
        <v>7099</v>
      </c>
      <c r="Q858" s="1" t="s">
        <v>7100</v>
      </c>
      <c r="R858" s="1" t="s">
        <v>7101</v>
      </c>
      <c r="S858" s="1" t="s">
        <v>74</v>
      </c>
      <c r="T858" s="1" t="s">
        <v>74</v>
      </c>
      <c r="U858" s="1" t="s">
        <v>74</v>
      </c>
      <c r="V858" s="1" t="s">
        <v>7102</v>
      </c>
      <c r="W858" s="1" t="s">
        <v>74</v>
      </c>
      <c r="X858" s="1" t="s">
        <v>74</v>
      </c>
      <c r="Y858" s="1" t="s">
        <v>74</v>
      </c>
      <c r="Z858" s="1" t="s">
        <v>74</v>
      </c>
      <c r="AA858" s="1" t="s">
        <v>7103</v>
      </c>
      <c r="AB858" s="1" t="s">
        <v>74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74</v>
      </c>
      <c r="AP858" s="1" t="s">
        <v>74</v>
      </c>
      <c r="AQ858" s="1" t="s">
        <v>7104</v>
      </c>
      <c r="AR858" s="1" t="s">
        <v>74</v>
      </c>
      <c r="AS858" s="1" t="s">
        <v>74</v>
      </c>
      <c r="AT858" s="1" t="s">
        <v>74</v>
      </c>
      <c r="AU858" s="1">
        <v>2024.0</v>
      </c>
      <c r="AV858" s="1" t="s">
        <v>74</v>
      </c>
      <c r="AW858" s="1" t="s">
        <v>74</v>
      </c>
      <c r="AX858" s="1" t="s">
        <v>74</v>
      </c>
      <c r="AY858" s="1" t="s">
        <v>74</v>
      </c>
      <c r="AZ858" s="1" t="s">
        <v>74</v>
      </c>
      <c r="BA858" s="1" t="s">
        <v>74</v>
      </c>
      <c r="BB858" s="1" t="s">
        <v>74</v>
      </c>
      <c r="BC858" s="1" t="s">
        <v>74</v>
      </c>
      <c r="BD858" s="1" t="s">
        <v>74</v>
      </c>
      <c r="BE858" s="1" t="s">
        <v>7105</v>
      </c>
      <c r="BF858" s="2" t="str">
        <f>HYPERLINK("http://dx.doi.org/10.46620/URSIATRASC24/VJYI4215","http://dx.doi.org/10.46620/URSIATRASC24/VJYI4215")</f>
        <v>http://dx.doi.org/10.46620/URSIATRASC24/VJYI4215</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7106</v>
      </c>
      <c r="BT858" s="1" t="str">
        <f>HYPERLINK("https%3A%2F%2Fwww.webofscience.com%2Fwos%2Fwoscc%2Ffull-record%2FWOS:001269451500141","View Full Record in Web of Science")</f>
        <v>View Full Record in Web of Science</v>
      </c>
    </row>
    <row r="859" ht="12.75" customHeight="1">
      <c r="A859" s="1" t="s">
        <v>72</v>
      </c>
      <c r="B859" s="1" t="s">
        <v>7107</v>
      </c>
      <c r="C859" s="1" t="s">
        <v>74</v>
      </c>
      <c r="D859" s="1" t="s">
        <v>74</v>
      </c>
      <c r="E859" s="1" t="s">
        <v>74</v>
      </c>
      <c r="F859" s="1" t="s">
        <v>7108</v>
      </c>
      <c r="G859" s="1" t="s">
        <v>74</v>
      </c>
      <c r="H859" s="1" t="s">
        <v>74</v>
      </c>
      <c r="I859" s="1" t="s">
        <v>7109</v>
      </c>
      <c r="J859" s="1" t="s">
        <v>7110</v>
      </c>
      <c r="K859" s="1" t="s">
        <v>74</v>
      </c>
      <c r="L859" s="1" t="s">
        <v>74</v>
      </c>
      <c r="M859" s="1" t="s">
        <v>74</v>
      </c>
      <c r="N859" s="1" t="s">
        <v>74</v>
      </c>
      <c r="O859" s="1" t="s">
        <v>7111</v>
      </c>
      <c r="P859" s="1" t="s">
        <v>7112</v>
      </c>
      <c r="Q859" s="1" t="s">
        <v>7113</v>
      </c>
      <c r="R859" s="1" t="s">
        <v>74</v>
      </c>
      <c r="S859" s="1" t="s">
        <v>74</v>
      </c>
      <c r="T859" s="1" t="s">
        <v>74</v>
      </c>
      <c r="U859" s="1" t="s">
        <v>74</v>
      </c>
      <c r="V859" s="1" t="s">
        <v>74</v>
      </c>
      <c r="W859" s="1" t="s">
        <v>74</v>
      </c>
      <c r="X859" s="1" t="s">
        <v>74</v>
      </c>
      <c r="Y859" s="1" t="s">
        <v>74</v>
      </c>
      <c r="Z859" s="1" t="s">
        <v>74</v>
      </c>
      <c r="AA859" s="1" t="s">
        <v>74</v>
      </c>
      <c r="AB859" s="1" t="s">
        <v>74</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7114</v>
      </c>
      <c r="AP859" s="1" t="s">
        <v>7115</v>
      </c>
      <c r="AQ859" s="1" t="s">
        <v>74</v>
      </c>
      <c r="AR859" s="1" t="s">
        <v>74</v>
      </c>
      <c r="AS859" s="1" t="s">
        <v>74</v>
      </c>
      <c r="AT859" s="1" t="s">
        <v>91</v>
      </c>
      <c r="AU859" s="1">
        <v>2023.0</v>
      </c>
      <c r="AV859" s="1">
        <v>71.0</v>
      </c>
      <c r="AW859" s="1" t="s">
        <v>74</v>
      </c>
      <c r="AX859" s="1" t="s">
        <v>74</v>
      </c>
      <c r="AY859" s="1">
        <v>1.0</v>
      </c>
      <c r="AZ859" s="1" t="s">
        <v>74</v>
      </c>
      <c r="BA859" s="1" t="s">
        <v>7116</v>
      </c>
      <c r="BB859" s="1" t="s">
        <v>7117</v>
      </c>
      <c r="BC859" s="1" t="s">
        <v>7117</v>
      </c>
      <c r="BD859" s="1" t="s">
        <v>74</v>
      </c>
      <c r="BE859" s="1" t="s">
        <v>74</v>
      </c>
      <c r="BF859" s="1" t="s">
        <v>74</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7118</v>
      </c>
      <c r="BT859" s="1" t="str">
        <f>HYPERLINK("https%3A%2F%2Fwww.webofscience.com%2Fwos%2Fwoscc%2Ffull-record%2FWOS:001191372500592","View Full Record in Web of Science")</f>
        <v>View Full Record in Web of Science</v>
      </c>
    </row>
    <row r="860" ht="12.75" customHeight="1">
      <c r="A860" s="1" t="s">
        <v>72</v>
      </c>
      <c r="B860" s="1" t="s">
        <v>7119</v>
      </c>
      <c r="C860" s="1" t="s">
        <v>74</v>
      </c>
      <c r="D860" s="1" t="s">
        <v>74</v>
      </c>
      <c r="E860" s="1" t="s">
        <v>74</v>
      </c>
      <c r="F860" s="1" t="s">
        <v>7120</v>
      </c>
      <c r="G860" s="1" t="s">
        <v>74</v>
      </c>
      <c r="H860" s="1" t="s">
        <v>74</v>
      </c>
      <c r="I860" s="1" t="s">
        <v>7121</v>
      </c>
      <c r="J860" s="1" t="s">
        <v>7122</v>
      </c>
      <c r="K860" s="1" t="s">
        <v>74</v>
      </c>
      <c r="L860" s="1" t="s">
        <v>74</v>
      </c>
      <c r="M860" s="1" t="s">
        <v>74</v>
      </c>
      <c r="N860" s="1" t="s">
        <v>74</v>
      </c>
      <c r="O860" s="1" t="s">
        <v>74</v>
      </c>
      <c r="P860" s="1" t="s">
        <v>74</v>
      </c>
      <c r="Q860" s="1" t="s">
        <v>74</v>
      </c>
      <c r="R860" s="1" t="s">
        <v>74</v>
      </c>
      <c r="S860" s="1" t="s">
        <v>74</v>
      </c>
      <c r="T860" s="1" t="s">
        <v>74</v>
      </c>
      <c r="U860" s="1" t="s">
        <v>74</v>
      </c>
      <c r="V860" s="1" t="s">
        <v>7123</v>
      </c>
      <c r="W860" s="1" t="s">
        <v>74</v>
      </c>
      <c r="X860" s="1" t="s">
        <v>74</v>
      </c>
      <c r="Y860" s="1" t="s">
        <v>74</v>
      </c>
      <c r="Z860" s="1" t="s">
        <v>74</v>
      </c>
      <c r="AA860" s="1" t="s">
        <v>7124</v>
      </c>
      <c r="AB860" s="1" t="s">
        <v>7125</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7126</v>
      </c>
      <c r="AP860" s="1" t="s">
        <v>7127</v>
      </c>
      <c r="AQ860" s="1" t="s">
        <v>74</v>
      </c>
      <c r="AR860" s="1" t="s">
        <v>74</v>
      </c>
      <c r="AS860" s="1" t="s">
        <v>74</v>
      </c>
      <c r="AT860" s="1" t="s">
        <v>224</v>
      </c>
      <c r="AU860" s="1">
        <v>2021.0</v>
      </c>
      <c r="AV860" s="1">
        <v>28.0</v>
      </c>
      <c r="AW860" s="1">
        <v>5.0</v>
      </c>
      <c r="AX860" s="1" t="s">
        <v>74</v>
      </c>
      <c r="AY860" s="1" t="s">
        <v>74</v>
      </c>
      <c r="AZ860" s="1" t="s">
        <v>74</v>
      </c>
      <c r="BA860" s="1" t="s">
        <v>74</v>
      </c>
      <c r="BB860" s="1">
        <v>443.0</v>
      </c>
      <c r="BC860" s="1">
        <v>449.0</v>
      </c>
      <c r="BD860" s="1" t="s">
        <v>74</v>
      </c>
      <c r="BE860" s="1" t="s">
        <v>7128</v>
      </c>
      <c r="BF860" s="2" t="str">
        <f>HYPERLINK("http://dx.doi.org/10.1002/jhbp.931","http://dx.doi.org/10.1002/jhbp.931")</f>
        <v>http://dx.doi.org/10.1002/jhbp.931</v>
      </c>
      <c r="BG860" s="1" t="s">
        <v>74</v>
      </c>
      <c r="BH860" s="1" t="s">
        <v>1966</v>
      </c>
      <c r="BI860" s="1" t="s">
        <v>74</v>
      </c>
      <c r="BJ860" s="1" t="s">
        <v>74</v>
      </c>
      <c r="BK860" s="1" t="s">
        <v>74</v>
      </c>
      <c r="BL860" s="1" t="s">
        <v>74</v>
      </c>
      <c r="BM860" s="1" t="s">
        <v>74</v>
      </c>
      <c r="BN860" s="1">
        <v>3.3636035E7</v>
      </c>
      <c r="BO860" s="1" t="s">
        <v>74</v>
      </c>
      <c r="BP860" s="1" t="s">
        <v>74</v>
      </c>
      <c r="BQ860" s="1" t="s">
        <v>74</v>
      </c>
      <c r="BR860" s="1" t="s">
        <v>74</v>
      </c>
      <c r="BS860" s="1" t="s">
        <v>7129</v>
      </c>
      <c r="BT860" s="1" t="str">
        <f>HYPERLINK("https%3A%2F%2Fwww.webofscience.com%2Fwos%2Fwoscc%2Ffull-record%2FWOS:000628842000001","View Full Record in Web of Science")</f>
        <v>View Full Record in Web of Science</v>
      </c>
    </row>
    <row r="861" ht="12.75" customHeight="1">
      <c r="A861" s="1" t="s">
        <v>72</v>
      </c>
      <c r="B861" s="1" t="s">
        <v>7130</v>
      </c>
      <c r="C861" s="1" t="s">
        <v>74</v>
      </c>
      <c r="D861" s="1" t="s">
        <v>74</v>
      </c>
      <c r="E861" s="1" t="s">
        <v>74</v>
      </c>
      <c r="F861" s="1" t="s">
        <v>7131</v>
      </c>
      <c r="G861" s="1" t="s">
        <v>74</v>
      </c>
      <c r="H861" s="1" t="s">
        <v>74</v>
      </c>
      <c r="I861" s="1" t="s">
        <v>7132</v>
      </c>
      <c r="J861" s="1" t="s">
        <v>7133</v>
      </c>
      <c r="K861" s="1" t="s">
        <v>74</v>
      </c>
      <c r="L861" s="1" t="s">
        <v>74</v>
      </c>
      <c r="M861" s="1" t="s">
        <v>74</v>
      </c>
      <c r="N861" s="1" t="s">
        <v>74</v>
      </c>
      <c r="O861" s="1" t="s">
        <v>74</v>
      </c>
      <c r="P861" s="1" t="s">
        <v>74</v>
      </c>
      <c r="Q861" s="1" t="s">
        <v>74</v>
      </c>
      <c r="R861" s="1" t="s">
        <v>74</v>
      </c>
      <c r="S861" s="1" t="s">
        <v>74</v>
      </c>
      <c r="T861" s="1" t="s">
        <v>74</v>
      </c>
      <c r="U861" s="1" t="s">
        <v>74</v>
      </c>
      <c r="V861" s="1" t="s">
        <v>7134</v>
      </c>
      <c r="W861" s="1" t="s">
        <v>74</v>
      </c>
      <c r="X861" s="1" t="s">
        <v>74</v>
      </c>
      <c r="Y861" s="1" t="s">
        <v>74</v>
      </c>
      <c r="Z861" s="1" t="s">
        <v>74</v>
      </c>
      <c r="AA861" s="1" t="s">
        <v>7135</v>
      </c>
      <c r="AB861" s="1" t="s">
        <v>7136</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7137</v>
      </c>
      <c r="AP861" s="1" t="s">
        <v>7138</v>
      </c>
      <c r="AQ861" s="1" t="s">
        <v>74</v>
      </c>
      <c r="AR861" s="1" t="s">
        <v>74</v>
      </c>
      <c r="AS861" s="1" t="s">
        <v>74</v>
      </c>
      <c r="AT861" s="1" t="s">
        <v>974</v>
      </c>
      <c r="AU861" s="1">
        <v>2020.0</v>
      </c>
      <c r="AV861" s="1">
        <v>93.0</v>
      </c>
      <c r="AW861" s="1">
        <v>4.0</v>
      </c>
      <c r="AX861" s="1" t="s">
        <v>74</v>
      </c>
      <c r="AY861" s="1" t="s">
        <v>74</v>
      </c>
      <c r="AZ861" s="1" t="s">
        <v>74</v>
      </c>
      <c r="BA861" s="1" t="s">
        <v>74</v>
      </c>
      <c r="BB861" s="1">
        <v>1755.0</v>
      </c>
      <c r="BC861" s="1">
        <v>1762.0</v>
      </c>
      <c r="BD861" s="1" t="s">
        <v>74</v>
      </c>
      <c r="BE861" s="1" t="s">
        <v>7139</v>
      </c>
      <c r="BF861" s="2" t="str">
        <f>HYPERLINK("http://dx.doi.org/10.1016/j.joei.2020.03.006","http://dx.doi.org/10.1016/j.joei.2020.03.006")</f>
        <v>http://dx.doi.org/10.1016/j.joei.2020.03.006</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7140</v>
      </c>
      <c r="BT861" s="1" t="str">
        <f>HYPERLINK("https%3A%2F%2Fwww.webofscience.com%2Fwos%2Fwoscc%2Ffull-record%2FWOS:000539488400050","View Full Record in Web of Science")</f>
        <v>View Full Record in Web of Science</v>
      </c>
    </row>
    <row r="862" ht="12.75" customHeight="1">
      <c r="A862" s="1" t="s">
        <v>72</v>
      </c>
      <c r="B862" s="1" t="s">
        <v>7141</v>
      </c>
      <c r="C862" s="1" t="s">
        <v>74</v>
      </c>
      <c r="D862" s="1" t="s">
        <v>74</v>
      </c>
      <c r="E862" s="1" t="s">
        <v>74</v>
      </c>
      <c r="F862" s="1" t="s">
        <v>7142</v>
      </c>
      <c r="G862" s="1" t="s">
        <v>74</v>
      </c>
      <c r="H862" s="1" t="s">
        <v>74</v>
      </c>
      <c r="I862" s="1" t="s">
        <v>7143</v>
      </c>
      <c r="J862" s="1" t="s">
        <v>176</v>
      </c>
      <c r="K862" s="1" t="s">
        <v>74</v>
      </c>
      <c r="L862" s="1" t="s">
        <v>74</v>
      </c>
      <c r="M862" s="1" t="s">
        <v>74</v>
      </c>
      <c r="N862" s="1" t="s">
        <v>74</v>
      </c>
      <c r="O862" s="1" t="s">
        <v>74</v>
      </c>
      <c r="P862" s="1" t="s">
        <v>74</v>
      </c>
      <c r="Q862" s="1" t="s">
        <v>74</v>
      </c>
      <c r="R862" s="1" t="s">
        <v>74</v>
      </c>
      <c r="S862" s="1" t="s">
        <v>74</v>
      </c>
      <c r="T862" s="1" t="s">
        <v>74</v>
      </c>
      <c r="U862" s="1" t="s">
        <v>74</v>
      </c>
      <c r="V862" s="1" t="s">
        <v>7144</v>
      </c>
      <c r="W862" s="1" t="s">
        <v>74</v>
      </c>
      <c r="X862" s="1" t="s">
        <v>74</v>
      </c>
      <c r="Y862" s="1" t="s">
        <v>74</v>
      </c>
      <c r="Z862" s="1" t="s">
        <v>74</v>
      </c>
      <c r="AA862" s="1" t="s">
        <v>74</v>
      </c>
      <c r="AB862" s="1" t="s">
        <v>74</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178</v>
      </c>
      <c r="AP862" s="1" t="s">
        <v>74</v>
      </c>
      <c r="AQ862" s="1" t="s">
        <v>74</v>
      </c>
      <c r="AR862" s="1" t="s">
        <v>74</v>
      </c>
      <c r="AS862" s="1" t="s">
        <v>74</v>
      </c>
      <c r="AT862" s="1" t="s">
        <v>123</v>
      </c>
      <c r="AU862" s="1">
        <v>2020.0</v>
      </c>
      <c r="AV862" s="1">
        <v>49.0</v>
      </c>
      <c r="AW862" s="1" t="s">
        <v>74</v>
      </c>
      <c r="AX862" s="1" t="s">
        <v>74</v>
      </c>
      <c r="AY862" s="1" t="s">
        <v>74</v>
      </c>
      <c r="AZ862" s="1" t="s">
        <v>74</v>
      </c>
      <c r="BA862" s="1" t="s">
        <v>74</v>
      </c>
      <c r="BB862" s="1">
        <v>2456.0</v>
      </c>
      <c r="BC862" s="1" t="s">
        <v>509</v>
      </c>
      <c r="BD862" s="1" t="s">
        <v>74</v>
      </c>
      <c r="BE862" s="1" t="s">
        <v>74</v>
      </c>
      <c r="BF862" s="1" t="s">
        <v>74</v>
      </c>
      <c r="BG862" s="1" t="s">
        <v>74</v>
      </c>
      <c r="BH862" s="1" t="s">
        <v>74</v>
      </c>
      <c r="BI862" s="1" t="s">
        <v>74</v>
      </c>
      <c r="BJ862" s="1" t="s">
        <v>74</v>
      </c>
      <c r="BK862" s="1" t="s">
        <v>74</v>
      </c>
      <c r="BL862" s="1" t="s">
        <v>74</v>
      </c>
      <c r="BM862" s="1" t="s">
        <v>74</v>
      </c>
      <c r="BN862" s="1" t="s">
        <v>74</v>
      </c>
      <c r="BO862" s="1" t="s">
        <v>74</v>
      </c>
      <c r="BP862" s="1" t="s">
        <v>74</v>
      </c>
      <c r="BQ862" s="1" t="s">
        <v>74</v>
      </c>
      <c r="BR862" s="1" t="s">
        <v>74</v>
      </c>
      <c r="BS862" s="1" t="s">
        <v>7145</v>
      </c>
      <c r="BT862" s="1" t="str">
        <f>HYPERLINK("https%3A%2F%2Fwww.webofscience.com%2Fwos%2Fwoscc%2Ffull-record%2FWOS:000614863100105","View Full Record in Web of Science")</f>
        <v>View Full Record in Web of Science</v>
      </c>
    </row>
    <row r="863" ht="12.75" customHeight="1">
      <c r="A863" s="1" t="s">
        <v>72</v>
      </c>
      <c r="B863" s="1" t="s">
        <v>7146</v>
      </c>
      <c r="C863" s="1" t="s">
        <v>74</v>
      </c>
      <c r="D863" s="1" t="s">
        <v>74</v>
      </c>
      <c r="E863" s="1" t="s">
        <v>74</v>
      </c>
      <c r="F863" s="1" t="s">
        <v>7147</v>
      </c>
      <c r="G863" s="1" t="s">
        <v>74</v>
      </c>
      <c r="H863" s="1" t="s">
        <v>74</v>
      </c>
      <c r="I863" s="1" t="s">
        <v>7148</v>
      </c>
      <c r="J863" s="1" t="s">
        <v>7149</v>
      </c>
      <c r="K863" s="1" t="s">
        <v>74</v>
      </c>
      <c r="L863" s="1" t="s">
        <v>74</v>
      </c>
      <c r="M863" s="1" t="s">
        <v>74</v>
      </c>
      <c r="N863" s="1" t="s">
        <v>74</v>
      </c>
      <c r="O863" s="1" t="s">
        <v>74</v>
      </c>
      <c r="P863" s="1" t="s">
        <v>74</v>
      </c>
      <c r="Q863" s="1" t="s">
        <v>74</v>
      </c>
      <c r="R863" s="1" t="s">
        <v>74</v>
      </c>
      <c r="S863" s="1" t="s">
        <v>74</v>
      </c>
      <c r="T863" s="1" t="s">
        <v>74</v>
      </c>
      <c r="U863" s="1" t="s">
        <v>74</v>
      </c>
      <c r="V863" s="1" t="s">
        <v>7150</v>
      </c>
      <c r="W863" s="1" t="s">
        <v>74</v>
      </c>
      <c r="X863" s="1" t="s">
        <v>74</v>
      </c>
      <c r="Y863" s="1" t="s">
        <v>74</v>
      </c>
      <c r="Z863" s="1" t="s">
        <v>74</v>
      </c>
      <c r="AA863" s="1" t="s">
        <v>74</v>
      </c>
      <c r="AB863" s="1" t="s">
        <v>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7151</v>
      </c>
      <c r="AP863" s="1" t="s">
        <v>7152</v>
      </c>
      <c r="AQ863" s="1" t="s">
        <v>74</v>
      </c>
      <c r="AR863" s="1" t="s">
        <v>74</v>
      </c>
      <c r="AS863" s="1" t="s">
        <v>74</v>
      </c>
      <c r="AT863" s="1" t="s">
        <v>74</v>
      </c>
      <c r="AU863" s="1">
        <v>2020.0</v>
      </c>
      <c r="AV863" s="1">
        <v>23.0</v>
      </c>
      <c r="AW863" s="1">
        <v>1.0</v>
      </c>
      <c r="AX863" s="1" t="s">
        <v>74</v>
      </c>
      <c r="AY863" s="1" t="s">
        <v>74</v>
      </c>
      <c r="AZ863" s="1" t="s">
        <v>74</v>
      </c>
      <c r="BA863" s="1" t="s">
        <v>74</v>
      </c>
      <c r="BB863" s="1">
        <v>3.0</v>
      </c>
      <c r="BC863" s="1">
        <v>16.0</v>
      </c>
      <c r="BD863" s="1" t="s">
        <v>74</v>
      </c>
      <c r="BE863" s="1" t="s">
        <v>7153</v>
      </c>
      <c r="BF863" s="2" t="str">
        <f>HYPERLINK("http://dx.doi.org/10.5802/crchim.2","http://dx.doi.org/10.5802/crchim.2")</f>
        <v>http://dx.doi.org/10.5802/crchim.2</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7154</v>
      </c>
      <c r="BT863" s="1" t="str">
        <f>HYPERLINK("https%3A%2F%2Fwww.webofscience.com%2Fwos%2Fwoscc%2Ffull-record%2FWOS:000573968000002","View Full Record in Web of Science")</f>
        <v>View Full Record in Web of Science</v>
      </c>
    </row>
    <row r="864" ht="12.75" customHeight="1">
      <c r="A864" s="1" t="s">
        <v>72</v>
      </c>
      <c r="B864" s="1" t="s">
        <v>7155</v>
      </c>
      <c r="C864" s="1" t="s">
        <v>74</v>
      </c>
      <c r="D864" s="1" t="s">
        <v>74</v>
      </c>
      <c r="E864" s="1" t="s">
        <v>74</v>
      </c>
      <c r="F864" s="1" t="s">
        <v>7156</v>
      </c>
      <c r="G864" s="1" t="s">
        <v>74</v>
      </c>
      <c r="H864" s="1" t="s">
        <v>74</v>
      </c>
      <c r="I864" s="1" t="s">
        <v>7157</v>
      </c>
      <c r="J864" s="1" t="s">
        <v>2173</v>
      </c>
      <c r="K864" s="1" t="s">
        <v>74</v>
      </c>
      <c r="L864" s="1" t="s">
        <v>74</v>
      </c>
      <c r="M864" s="1" t="s">
        <v>74</v>
      </c>
      <c r="N864" s="1" t="s">
        <v>74</v>
      </c>
      <c r="O864" s="1" t="s">
        <v>74</v>
      </c>
      <c r="P864" s="1" t="s">
        <v>74</v>
      </c>
      <c r="Q864" s="1" t="s">
        <v>74</v>
      </c>
      <c r="R864" s="1" t="s">
        <v>74</v>
      </c>
      <c r="S864" s="1" t="s">
        <v>74</v>
      </c>
      <c r="T864" s="1" t="s">
        <v>74</v>
      </c>
      <c r="U864" s="1" t="s">
        <v>74</v>
      </c>
      <c r="V864" s="1" t="s">
        <v>7158</v>
      </c>
      <c r="W864" s="1" t="s">
        <v>74</v>
      </c>
      <c r="X864" s="1" t="s">
        <v>74</v>
      </c>
      <c r="Y864" s="1" t="s">
        <v>74</v>
      </c>
      <c r="Z864" s="1" t="s">
        <v>74</v>
      </c>
      <c r="AA864" s="1" t="s">
        <v>7159</v>
      </c>
      <c r="AB864" s="1" t="s">
        <v>7160</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2174</v>
      </c>
      <c r="AP864" s="1" t="s">
        <v>2175</v>
      </c>
      <c r="AQ864" s="1" t="s">
        <v>74</v>
      </c>
      <c r="AR864" s="1" t="s">
        <v>74</v>
      </c>
      <c r="AS864" s="1" t="s">
        <v>74</v>
      </c>
      <c r="AT864" s="1" t="s">
        <v>974</v>
      </c>
      <c r="AU864" s="1">
        <v>2019.0</v>
      </c>
      <c r="AV864" s="1">
        <v>31.0</v>
      </c>
      <c r="AW864" s="1">
        <v>8.0</v>
      </c>
      <c r="AX864" s="1" t="s">
        <v>74</v>
      </c>
      <c r="AY864" s="1" t="s">
        <v>74</v>
      </c>
      <c r="AZ864" s="1" t="s">
        <v>74</v>
      </c>
      <c r="BA864" s="1" t="s">
        <v>74</v>
      </c>
      <c r="BB864" s="1" t="s">
        <v>74</v>
      </c>
      <c r="BC864" s="1" t="s">
        <v>74</v>
      </c>
      <c r="BD864" s="1">
        <v>87106.0</v>
      </c>
      <c r="BE864" s="1" t="s">
        <v>7161</v>
      </c>
      <c r="BF864" s="2" t="str">
        <f>HYPERLINK("http://dx.doi.org/10.1063/1.5098999","http://dx.doi.org/10.1063/1.5098999")</f>
        <v>http://dx.doi.org/10.1063/1.5098999</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7162</v>
      </c>
      <c r="BT864" s="1" t="str">
        <f>HYPERLINK("https%3A%2F%2Fwww.webofscience.com%2Fwos%2Fwoscc%2Ffull-record%2FWOS:000483888900009","View Full Record in Web of Science")</f>
        <v>View Full Record in Web of Science</v>
      </c>
    </row>
    <row r="865" ht="12.75" customHeight="1">
      <c r="A865" s="1" t="s">
        <v>126</v>
      </c>
      <c r="B865" s="1" t="s">
        <v>7163</v>
      </c>
      <c r="C865" s="1" t="s">
        <v>74</v>
      </c>
      <c r="D865" s="1" t="s">
        <v>7164</v>
      </c>
      <c r="E865" s="1" t="s">
        <v>74</v>
      </c>
      <c r="F865" s="1" t="s">
        <v>7165</v>
      </c>
      <c r="G865" s="1" t="s">
        <v>74</v>
      </c>
      <c r="H865" s="1" t="s">
        <v>74</v>
      </c>
      <c r="I865" s="1" t="s">
        <v>7166</v>
      </c>
      <c r="J865" s="1" t="s">
        <v>7167</v>
      </c>
      <c r="K865" s="1" t="s">
        <v>7168</v>
      </c>
      <c r="L865" s="1" t="s">
        <v>74</v>
      </c>
      <c r="M865" s="1" t="s">
        <v>74</v>
      </c>
      <c r="N865" s="1" t="s">
        <v>74</v>
      </c>
      <c r="O865" s="1" t="s">
        <v>7169</v>
      </c>
      <c r="P865" s="1" t="s">
        <v>7170</v>
      </c>
      <c r="Q865" s="1" t="s">
        <v>7171</v>
      </c>
      <c r="R865" s="1" t="s">
        <v>74</v>
      </c>
      <c r="S865" s="1" t="s">
        <v>74</v>
      </c>
      <c r="T865" s="1" t="s">
        <v>74</v>
      </c>
      <c r="U865" s="1" t="s">
        <v>74</v>
      </c>
      <c r="V865" s="1" t="s">
        <v>7172</v>
      </c>
      <c r="W865" s="1" t="s">
        <v>74</v>
      </c>
      <c r="X865" s="1" t="s">
        <v>74</v>
      </c>
      <c r="Y865" s="1" t="s">
        <v>74</v>
      </c>
      <c r="Z865" s="1" t="s">
        <v>74</v>
      </c>
      <c r="AA865" s="1" t="s">
        <v>983</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7173</v>
      </c>
      <c r="AP865" s="1" t="s">
        <v>74</v>
      </c>
      <c r="AQ865" s="1" t="s">
        <v>74</v>
      </c>
      <c r="AR865" s="1" t="s">
        <v>74</v>
      </c>
      <c r="AS865" s="1" t="s">
        <v>74</v>
      </c>
      <c r="AT865" s="1" t="s">
        <v>74</v>
      </c>
      <c r="AU865" s="1">
        <v>2019.0</v>
      </c>
      <c r="AV865" s="1">
        <v>39.0</v>
      </c>
      <c r="AW865" s="1" t="s">
        <v>74</v>
      </c>
      <c r="AX865" s="1" t="s">
        <v>74</v>
      </c>
      <c r="AY865" s="1" t="s">
        <v>74</v>
      </c>
      <c r="AZ865" s="1" t="s">
        <v>74</v>
      </c>
      <c r="BA865" s="1" t="s">
        <v>74</v>
      </c>
      <c r="BB865" s="1">
        <v>1545.0</v>
      </c>
      <c r="BC865" s="1">
        <v>1551.0</v>
      </c>
      <c r="BD865" s="1" t="s">
        <v>74</v>
      </c>
      <c r="BE865" s="1" t="s">
        <v>7174</v>
      </c>
      <c r="BF865" s="2" t="str">
        <f>HYPERLINK("http://dx.doi.org/10.1016/j.promfg.2020.01.292","http://dx.doi.org/10.1016/j.promfg.2020.01.292")</f>
        <v>http://dx.doi.org/10.1016/j.promfg.2020.01.292</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7175</v>
      </c>
      <c r="BT865" s="1" t="str">
        <f>HYPERLINK("https%3A%2F%2Fwww.webofscience.com%2Fwos%2Fwoscc%2Ffull-record%2FWOS:000889480200179","View Full Record in Web of Science")</f>
        <v>View Full Record in Web of Science</v>
      </c>
    </row>
    <row r="866" ht="12.75" customHeight="1">
      <c r="A866" s="1" t="s">
        <v>126</v>
      </c>
      <c r="B866" s="1" t="s">
        <v>7176</v>
      </c>
      <c r="C866" s="1" t="s">
        <v>74</v>
      </c>
      <c r="D866" s="1" t="s">
        <v>4474</v>
      </c>
      <c r="E866" s="1" t="s">
        <v>74</v>
      </c>
      <c r="F866" s="1" t="s">
        <v>7177</v>
      </c>
      <c r="G866" s="1" t="s">
        <v>74</v>
      </c>
      <c r="H866" s="1" t="s">
        <v>74</v>
      </c>
      <c r="I866" s="1" t="s">
        <v>7178</v>
      </c>
      <c r="J866" s="1" t="s">
        <v>4477</v>
      </c>
      <c r="K866" s="1" t="s">
        <v>74</v>
      </c>
      <c r="L866" s="1" t="s">
        <v>74</v>
      </c>
      <c r="M866" s="1" t="s">
        <v>74</v>
      </c>
      <c r="N866" s="1" t="s">
        <v>74</v>
      </c>
      <c r="O866" s="1" t="s">
        <v>4478</v>
      </c>
      <c r="P866" s="1" t="s">
        <v>4479</v>
      </c>
      <c r="Q866" s="1" t="s">
        <v>2890</v>
      </c>
      <c r="R866" s="1" t="s">
        <v>4480</v>
      </c>
      <c r="S866" s="1" t="s">
        <v>74</v>
      </c>
      <c r="T866" s="1" t="s">
        <v>74</v>
      </c>
      <c r="U866" s="1" t="s">
        <v>74</v>
      </c>
      <c r="V866" s="1" t="s">
        <v>7179</v>
      </c>
      <c r="W866" s="1" t="s">
        <v>74</v>
      </c>
      <c r="X866" s="1" t="s">
        <v>74</v>
      </c>
      <c r="Y866" s="1" t="s">
        <v>74</v>
      </c>
      <c r="Z866" s="1" t="s">
        <v>74</v>
      </c>
      <c r="AA866" s="1" t="s">
        <v>74</v>
      </c>
      <c r="AB866" s="1" t="s">
        <v>74</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74</v>
      </c>
      <c r="AP866" s="1" t="s">
        <v>74</v>
      </c>
      <c r="AQ866" s="1" t="s">
        <v>4483</v>
      </c>
      <c r="AR866" s="1" t="s">
        <v>74</v>
      </c>
      <c r="AS866" s="1" t="s">
        <v>74</v>
      </c>
      <c r="AT866" s="1" t="s">
        <v>74</v>
      </c>
      <c r="AU866" s="1">
        <v>2018.0</v>
      </c>
      <c r="AV866" s="1" t="s">
        <v>74</v>
      </c>
      <c r="AW866" s="1" t="s">
        <v>74</v>
      </c>
      <c r="AX866" s="1" t="s">
        <v>74</v>
      </c>
      <c r="AY866" s="1" t="s">
        <v>74</v>
      </c>
      <c r="AZ866" s="1" t="s">
        <v>74</v>
      </c>
      <c r="BA866" s="1" t="s">
        <v>74</v>
      </c>
      <c r="BB866" s="1" t="s">
        <v>74</v>
      </c>
      <c r="BC866" s="1" t="s">
        <v>74</v>
      </c>
      <c r="BD866" s="1" t="s">
        <v>74</v>
      </c>
      <c r="BE866" s="1" t="s">
        <v>74</v>
      </c>
      <c r="BF866" s="1" t="s">
        <v>74</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7180</v>
      </c>
      <c r="BT866" s="1" t="str">
        <f>HYPERLINK("https%3A%2F%2Fwww.webofscience.com%2Fwos%2Fwoscc%2Ffull-record%2FWOS:000458417600124","View Full Record in Web of Science")</f>
        <v>View Full Record in Web of Science</v>
      </c>
    </row>
    <row r="867" ht="12.75" customHeight="1">
      <c r="A867" s="1" t="s">
        <v>72</v>
      </c>
      <c r="B867" s="1" t="s">
        <v>7181</v>
      </c>
      <c r="C867" s="1" t="s">
        <v>74</v>
      </c>
      <c r="D867" s="1" t="s">
        <v>74</v>
      </c>
      <c r="E867" s="1" t="s">
        <v>74</v>
      </c>
      <c r="F867" s="1" t="s">
        <v>7182</v>
      </c>
      <c r="G867" s="1" t="s">
        <v>74</v>
      </c>
      <c r="H867" s="1" t="s">
        <v>74</v>
      </c>
      <c r="I867" s="1" t="s">
        <v>7183</v>
      </c>
      <c r="J867" s="1" t="s">
        <v>2079</v>
      </c>
      <c r="K867" s="1" t="s">
        <v>74</v>
      </c>
      <c r="L867" s="1" t="s">
        <v>74</v>
      </c>
      <c r="M867" s="1" t="s">
        <v>74</v>
      </c>
      <c r="N867" s="1" t="s">
        <v>74</v>
      </c>
      <c r="O867" s="1" t="s">
        <v>74</v>
      </c>
      <c r="P867" s="1" t="s">
        <v>74</v>
      </c>
      <c r="Q867" s="1" t="s">
        <v>74</v>
      </c>
      <c r="R867" s="1" t="s">
        <v>74</v>
      </c>
      <c r="S867" s="1" t="s">
        <v>74</v>
      </c>
      <c r="T867" s="1" t="s">
        <v>74</v>
      </c>
      <c r="U867" s="1" t="s">
        <v>74</v>
      </c>
      <c r="V867" s="1" t="s">
        <v>74</v>
      </c>
      <c r="W867" s="1" t="s">
        <v>74</v>
      </c>
      <c r="X867" s="1" t="s">
        <v>74</v>
      </c>
      <c r="Y867" s="1" t="s">
        <v>74</v>
      </c>
      <c r="Z867" s="1" t="s">
        <v>74</v>
      </c>
      <c r="AA867" s="1" t="s">
        <v>3022</v>
      </c>
      <c r="AB867" s="1" t="s">
        <v>4963</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2083</v>
      </c>
      <c r="AP867" s="1" t="s">
        <v>2084</v>
      </c>
      <c r="AQ867" s="1" t="s">
        <v>74</v>
      </c>
      <c r="AR867" s="1" t="s">
        <v>74</v>
      </c>
      <c r="AS867" s="1" t="s">
        <v>74</v>
      </c>
      <c r="AT867" s="1" t="s">
        <v>171</v>
      </c>
      <c r="AU867" s="1">
        <v>2016.0</v>
      </c>
      <c r="AV867" s="1">
        <v>53.0</v>
      </c>
      <c r="AW867" s="1" t="s">
        <v>74</v>
      </c>
      <c r="AX867" s="1" t="s">
        <v>74</v>
      </c>
      <c r="AY867" s="1" t="s">
        <v>74</v>
      </c>
      <c r="AZ867" s="1" t="s">
        <v>159</v>
      </c>
      <c r="BA867" s="1" t="s">
        <v>7184</v>
      </c>
      <c r="BB867" s="1">
        <v>116.0</v>
      </c>
      <c r="BC867" s="1">
        <v>117.0</v>
      </c>
      <c r="BD867" s="1" t="s">
        <v>74</v>
      </c>
      <c r="BE867" s="1" t="s">
        <v>74</v>
      </c>
      <c r="BF867" s="1" t="s">
        <v>74</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7185</v>
      </c>
      <c r="BT867" s="1" t="str">
        <f>HYPERLINK("https%3A%2F%2Fwww.webofscience.com%2Fwos%2Fwoscc%2Ffull-record%2FWOS:000377730400179","View Full Record in Web of Science")</f>
        <v>View Full Record in Web of Science</v>
      </c>
    </row>
    <row r="868" ht="12.75" customHeight="1">
      <c r="A868" s="1" t="s">
        <v>72</v>
      </c>
      <c r="B868" s="1" t="s">
        <v>7186</v>
      </c>
      <c r="C868" s="1" t="s">
        <v>74</v>
      </c>
      <c r="D868" s="1" t="s">
        <v>74</v>
      </c>
      <c r="E868" s="1" t="s">
        <v>74</v>
      </c>
      <c r="F868" s="1" t="s">
        <v>7187</v>
      </c>
      <c r="G868" s="1" t="s">
        <v>74</v>
      </c>
      <c r="H868" s="1" t="s">
        <v>74</v>
      </c>
      <c r="I868" s="1" t="s">
        <v>7188</v>
      </c>
      <c r="J868" s="1" t="s">
        <v>698</v>
      </c>
      <c r="K868" s="1" t="s">
        <v>74</v>
      </c>
      <c r="L868" s="1" t="s">
        <v>74</v>
      </c>
      <c r="M868" s="1" t="s">
        <v>74</v>
      </c>
      <c r="N868" s="1" t="s">
        <v>74</v>
      </c>
      <c r="O868" s="1" t="s">
        <v>74</v>
      </c>
      <c r="P868" s="1" t="s">
        <v>74</v>
      </c>
      <c r="Q868" s="1" t="s">
        <v>74</v>
      </c>
      <c r="R868" s="1" t="s">
        <v>74</v>
      </c>
      <c r="S868" s="1" t="s">
        <v>74</v>
      </c>
      <c r="T868" s="1" t="s">
        <v>74</v>
      </c>
      <c r="U868" s="1" t="s">
        <v>74</v>
      </c>
      <c r="V868" s="1" t="s">
        <v>7189</v>
      </c>
      <c r="W868" s="1" t="s">
        <v>74</v>
      </c>
      <c r="X868" s="1" t="s">
        <v>74</v>
      </c>
      <c r="Y868" s="1" t="s">
        <v>74</v>
      </c>
      <c r="Z868" s="1" t="s">
        <v>74</v>
      </c>
      <c r="AA868" s="1" t="s">
        <v>1454</v>
      </c>
      <c r="AB868" s="1" t="s">
        <v>1455</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702</v>
      </c>
      <c r="AP868" s="1" t="s">
        <v>74</v>
      </c>
      <c r="AQ868" s="1" t="s">
        <v>74</v>
      </c>
      <c r="AR868" s="1" t="s">
        <v>74</v>
      </c>
      <c r="AS868" s="1" t="s">
        <v>74</v>
      </c>
      <c r="AT868" s="1" t="s">
        <v>91</v>
      </c>
      <c r="AU868" s="1">
        <v>2014.0</v>
      </c>
      <c r="AV868" s="1">
        <v>59.0</v>
      </c>
      <c r="AW868" s="1">
        <v>2.0</v>
      </c>
      <c r="AX868" s="1" t="s">
        <v>74</v>
      </c>
      <c r="AY868" s="1" t="s">
        <v>74</v>
      </c>
      <c r="AZ868" s="1" t="s">
        <v>74</v>
      </c>
      <c r="BA868" s="1" t="s">
        <v>74</v>
      </c>
      <c r="BB868" s="1">
        <v>2526.0</v>
      </c>
      <c r="BC868" s="1">
        <v>2528.0</v>
      </c>
      <c r="BD868" s="1" t="s">
        <v>74</v>
      </c>
      <c r="BE868" s="1" t="s">
        <v>7190</v>
      </c>
      <c r="BF868" s="2" t="str">
        <f>HYPERLINK("http://dx.doi.org/10.4067/S0717-97072014000200029","http://dx.doi.org/10.4067/S0717-97072014000200029")</f>
        <v>http://dx.doi.org/10.4067/S0717-97072014000200029</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7191</v>
      </c>
      <c r="BT868" s="1" t="str">
        <f>HYPERLINK("https%3A%2F%2Fwww.webofscience.com%2Fwos%2Fwoscc%2Ffull-record%2FWOS:000342613100029","View Full Record in Web of Science")</f>
        <v>View Full Record in Web of Science</v>
      </c>
    </row>
    <row r="869" ht="12.75" customHeight="1">
      <c r="A869" s="1" t="s">
        <v>72</v>
      </c>
      <c r="B869" s="1" t="s">
        <v>7192</v>
      </c>
      <c r="C869" s="1" t="s">
        <v>74</v>
      </c>
      <c r="D869" s="1" t="s">
        <v>74</v>
      </c>
      <c r="E869" s="1" t="s">
        <v>74</v>
      </c>
      <c r="F869" s="1" t="s">
        <v>7193</v>
      </c>
      <c r="G869" s="1" t="s">
        <v>74</v>
      </c>
      <c r="H869" s="1" t="s">
        <v>74</v>
      </c>
      <c r="I869" s="1" t="s">
        <v>7194</v>
      </c>
      <c r="J869" s="1" t="s">
        <v>3319</v>
      </c>
      <c r="K869" s="1" t="s">
        <v>74</v>
      </c>
      <c r="L869" s="1" t="s">
        <v>74</v>
      </c>
      <c r="M869" s="1" t="s">
        <v>74</v>
      </c>
      <c r="N869" s="1" t="s">
        <v>74</v>
      </c>
      <c r="O869" s="1" t="s">
        <v>74</v>
      </c>
      <c r="P869" s="1" t="s">
        <v>74</v>
      </c>
      <c r="Q869" s="1" t="s">
        <v>74</v>
      </c>
      <c r="R869" s="1" t="s">
        <v>74</v>
      </c>
      <c r="S869" s="1" t="s">
        <v>74</v>
      </c>
      <c r="T869" s="1" t="s">
        <v>74</v>
      </c>
      <c r="U869" s="1" t="s">
        <v>74</v>
      </c>
      <c r="V869" s="1" t="s">
        <v>7195</v>
      </c>
      <c r="W869" s="1" t="s">
        <v>74</v>
      </c>
      <c r="X869" s="1" t="s">
        <v>74</v>
      </c>
      <c r="Y869" s="1" t="s">
        <v>74</v>
      </c>
      <c r="Z869" s="1" t="s">
        <v>74</v>
      </c>
      <c r="AA869" s="1" t="s">
        <v>7196</v>
      </c>
      <c r="AB869" s="1" t="s">
        <v>7197</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3320</v>
      </c>
      <c r="AP869" s="1" t="s">
        <v>7198</v>
      </c>
      <c r="AQ869" s="1" t="s">
        <v>74</v>
      </c>
      <c r="AR869" s="1" t="s">
        <v>74</v>
      </c>
      <c r="AS869" s="1" t="s">
        <v>74</v>
      </c>
      <c r="AT869" s="1" t="s">
        <v>7199</v>
      </c>
      <c r="AU869" s="1">
        <v>2012.0</v>
      </c>
      <c r="AV869" s="1">
        <v>542.0</v>
      </c>
      <c r="AW869" s="1" t="s">
        <v>74</v>
      </c>
      <c r="AX869" s="1" t="s">
        <v>74</v>
      </c>
      <c r="AY869" s="1" t="s">
        <v>74</v>
      </c>
      <c r="AZ869" s="1" t="s">
        <v>74</v>
      </c>
      <c r="BA869" s="1" t="s">
        <v>74</v>
      </c>
      <c r="BB869" s="1">
        <v>147.0</v>
      </c>
      <c r="BC869" s="1">
        <v>152.0</v>
      </c>
      <c r="BD869" s="1" t="s">
        <v>74</v>
      </c>
      <c r="BE869" s="1" t="s">
        <v>7200</v>
      </c>
      <c r="BF869" s="2" t="str">
        <f>HYPERLINK("http://dx.doi.org/10.1016/j.cplett.2012.06.017","http://dx.doi.org/10.1016/j.cplett.2012.06.017")</f>
        <v>http://dx.doi.org/10.1016/j.cplett.2012.06.017</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7201</v>
      </c>
      <c r="BT869" s="1" t="str">
        <f>HYPERLINK("https%3A%2F%2Fwww.webofscience.com%2Fwos%2Fwoscc%2Ffull-record%2FWOS:000306234700029","View Full Record in Web of Science")</f>
        <v>View Full Record in Web of Science</v>
      </c>
    </row>
    <row r="870" ht="12.75" customHeight="1">
      <c r="A870" s="1" t="s">
        <v>72</v>
      </c>
      <c r="B870" s="1" t="s">
        <v>7202</v>
      </c>
      <c r="C870" s="1" t="s">
        <v>74</v>
      </c>
      <c r="D870" s="1" t="s">
        <v>74</v>
      </c>
      <c r="E870" s="1" t="s">
        <v>74</v>
      </c>
      <c r="F870" s="1" t="s">
        <v>7203</v>
      </c>
      <c r="G870" s="1" t="s">
        <v>74</v>
      </c>
      <c r="H870" s="1" t="s">
        <v>74</v>
      </c>
      <c r="I870" s="1" t="s">
        <v>7204</v>
      </c>
      <c r="J870" s="1" t="s">
        <v>7205</v>
      </c>
      <c r="K870" s="1" t="s">
        <v>74</v>
      </c>
      <c r="L870" s="1" t="s">
        <v>74</v>
      </c>
      <c r="M870" s="1" t="s">
        <v>74</v>
      </c>
      <c r="N870" s="1" t="s">
        <v>74</v>
      </c>
      <c r="O870" s="1" t="s">
        <v>7206</v>
      </c>
      <c r="P870" s="1" t="s">
        <v>7207</v>
      </c>
      <c r="Q870" s="1" t="s">
        <v>7208</v>
      </c>
      <c r="R870" s="1" t="s">
        <v>7209</v>
      </c>
      <c r="S870" s="1" t="s">
        <v>74</v>
      </c>
      <c r="T870" s="1" t="s">
        <v>74</v>
      </c>
      <c r="U870" s="1" t="s">
        <v>74</v>
      </c>
      <c r="V870" s="1" t="s">
        <v>74</v>
      </c>
      <c r="W870" s="1" t="s">
        <v>74</v>
      </c>
      <c r="X870" s="1" t="s">
        <v>74</v>
      </c>
      <c r="Y870" s="1" t="s">
        <v>74</v>
      </c>
      <c r="Z870" s="1" t="s">
        <v>74</v>
      </c>
      <c r="AA870" s="1" t="s">
        <v>7210</v>
      </c>
      <c r="AB870" s="1" t="s">
        <v>74</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7211</v>
      </c>
      <c r="AP870" s="1" t="s">
        <v>7212</v>
      </c>
      <c r="AQ870" s="1" t="s">
        <v>74</v>
      </c>
      <c r="AR870" s="1" t="s">
        <v>74</v>
      </c>
      <c r="AS870" s="1" t="s">
        <v>74</v>
      </c>
      <c r="AT870" s="1" t="s">
        <v>74</v>
      </c>
      <c r="AU870" s="1">
        <v>2009.0</v>
      </c>
      <c r="AV870" s="1" t="s">
        <v>74</v>
      </c>
      <c r="AW870" s="1" t="s">
        <v>74</v>
      </c>
      <c r="AX870" s="1" t="s">
        <v>74</v>
      </c>
      <c r="AY870" s="1" t="s">
        <v>638</v>
      </c>
      <c r="AZ870" s="1" t="s">
        <v>74</v>
      </c>
      <c r="BA870" s="1">
        <v>322.0</v>
      </c>
      <c r="BB870" s="1">
        <v>120.0</v>
      </c>
      <c r="BC870" s="1" t="s">
        <v>509</v>
      </c>
      <c r="BD870" s="1" t="s">
        <v>74</v>
      </c>
      <c r="BE870" s="1" t="s">
        <v>74</v>
      </c>
      <c r="BF870" s="1" t="s">
        <v>74</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7213</v>
      </c>
      <c r="BT870" s="1" t="str">
        <f>HYPERLINK("https%3A%2F%2Fwww.webofscience.com%2Fwos%2Fwoscc%2Ffull-record%2FWOS:000273605500310","View Full Record in Web of Science")</f>
        <v>View Full Record in Web of Science</v>
      </c>
    </row>
    <row r="871" ht="12.75" customHeight="1">
      <c r="A871" s="1" t="s">
        <v>126</v>
      </c>
      <c r="B871" s="1" t="s">
        <v>7214</v>
      </c>
      <c r="C871" s="1" t="s">
        <v>74</v>
      </c>
      <c r="D871" s="1" t="s">
        <v>7215</v>
      </c>
      <c r="E871" s="1" t="s">
        <v>74</v>
      </c>
      <c r="F871" s="1" t="s">
        <v>7216</v>
      </c>
      <c r="G871" s="1" t="s">
        <v>74</v>
      </c>
      <c r="H871" s="1" t="s">
        <v>74</v>
      </c>
      <c r="I871" s="1" t="s">
        <v>7217</v>
      </c>
      <c r="J871" s="1" t="s">
        <v>7218</v>
      </c>
      <c r="K871" s="1" t="s">
        <v>7219</v>
      </c>
      <c r="L871" s="1" t="s">
        <v>74</v>
      </c>
      <c r="M871" s="1" t="s">
        <v>74</v>
      </c>
      <c r="N871" s="1" t="s">
        <v>74</v>
      </c>
      <c r="O871" s="1" t="s">
        <v>7220</v>
      </c>
      <c r="P871" s="1" t="s">
        <v>7221</v>
      </c>
      <c r="Q871" s="1" t="s">
        <v>7222</v>
      </c>
      <c r="R871" s="1" t="s">
        <v>7223</v>
      </c>
      <c r="S871" s="1" t="s">
        <v>74</v>
      </c>
      <c r="T871" s="1" t="s">
        <v>74</v>
      </c>
      <c r="U871" s="1" t="s">
        <v>74</v>
      </c>
      <c r="V871" s="1" t="s">
        <v>7224</v>
      </c>
      <c r="W871" s="1" t="s">
        <v>74</v>
      </c>
      <c r="X871" s="1" t="s">
        <v>74</v>
      </c>
      <c r="Y871" s="1" t="s">
        <v>74</v>
      </c>
      <c r="Z871" s="1" t="s">
        <v>74</v>
      </c>
      <c r="AA871" s="1" t="s">
        <v>74</v>
      </c>
      <c r="AB871" s="1" t="s">
        <v>74</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2376</v>
      </c>
      <c r="AP871" s="1" t="s">
        <v>74</v>
      </c>
      <c r="AQ871" s="1" t="s">
        <v>7225</v>
      </c>
      <c r="AR871" s="1" t="s">
        <v>74</v>
      </c>
      <c r="AS871" s="1" t="s">
        <v>74</v>
      </c>
      <c r="AT871" s="1" t="s">
        <v>74</v>
      </c>
      <c r="AU871" s="1">
        <v>2008.0</v>
      </c>
      <c r="AV871" s="1">
        <v>6960.0</v>
      </c>
      <c r="AW871" s="1" t="s">
        <v>74</v>
      </c>
      <c r="AX871" s="1" t="s">
        <v>74</v>
      </c>
      <c r="AY871" s="1" t="s">
        <v>74</v>
      </c>
      <c r="AZ871" s="1" t="s">
        <v>74</v>
      </c>
      <c r="BA871" s="1" t="s">
        <v>74</v>
      </c>
      <c r="BB871" s="1" t="s">
        <v>74</v>
      </c>
      <c r="BC871" s="1" t="s">
        <v>74</v>
      </c>
      <c r="BD871" s="1" t="s">
        <v>7226</v>
      </c>
      <c r="BE871" s="1" t="s">
        <v>7227</v>
      </c>
      <c r="BF871" s="2" t="str">
        <f>HYPERLINK("http://dx.doi.org/10.1117/12.782288","http://dx.doi.org/10.1117/12.782288")</f>
        <v>http://dx.doi.org/10.1117/12.782288</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7228</v>
      </c>
      <c r="BT871" s="1" t="str">
        <f>HYPERLINK("https%3A%2F%2Fwww.webofscience.com%2Fwos%2Fwoscc%2Ffull-record%2FWOS:000257463400011","View Full Record in Web of Science")</f>
        <v>View Full Record in Web of Science</v>
      </c>
    </row>
    <row r="872" ht="12.75" customHeight="1">
      <c r="A872" s="1" t="s">
        <v>72</v>
      </c>
      <c r="B872" s="1" t="s">
        <v>7229</v>
      </c>
      <c r="C872" s="1" t="s">
        <v>74</v>
      </c>
      <c r="D872" s="1" t="s">
        <v>74</v>
      </c>
      <c r="E872" s="1" t="s">
        <v>74</v>
      </c>
      <c r="F872" s="1" t="s">
        <v>7229</v>
      </c>
      <c r="G872" s="1" t="s">
        <v>74</v>
      </c>
      <c r="H872" s="1" t="s">
        <v>74</v>
      </c>
      <c r="I872" s="1" t="s">
        <v>7230</v>
      </c>
      <c r="J872" s="1" t="s">
        <v>7231</v>
      </c>
      <c r="K872" s="1" t="s">
        <v>74</v>
      </c>
      <c r="L872" s="1" t="s">
        <v>74</v>
      </c>
      <c r="M872" s="1" t="s">
        <v>74</v>
      </c>
      <c r="N872" s="1" t="s">
        <v>74</v>
      </c>
      <c r="O872" s="1" t="s">
        <v>74</v>
      </c>
      <c r="P872" s="1" t="s">
        <v>74</v>
      </c>
      <c r="Q872" s="1" t="s">
        <v>74</v>
      </c>
      <c r="R872" s="1" t="s">
        <v>74</v>
      </c>
      <c r="S872" s="1" t="s">
        <v>74</v>
      </c>
      <c r="T872" s="1" t="s">
        <v>74</v>
      </c>
      <c r="U872" s="1" t="s">
        <v>74</v>
      </c>
      <c r="V872" s="1" t="s">
        <v>7232</v>
      </c>
      <c r="W872" s="1" t="s">
        <v>74</v>
      </c>
      <c r="X872" s="1" t="s">
        <v>74</v>
      </c>
      <c r="Y872" s="1" t="s">
        <v>74</v>
      </c>
      <c r="Z872" s="1" t="s">
        <v>74</v>
      </c>
      <c r="AA872" s="1" t="s">
        <v>450</v>
      </c>
      <c r="AB872" s="1" t="s">
        <v>74</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7233</v>
      </c>
      <c r="AP872" s="1" t="s">
        <v>7234</v>
      </c>
      <c r="AQ872" s="1" t="s">
        <v>74</v>
      </c>
      <c r="AR872" s="1" t="s">
        <v>74</v>
      </c>
      <c r="AS872" s="1" t="s">
        <v>74</v>
      </c>
      <c r="AT872" s="1" t="s">
        <v>7235</v>
      </c>
      <c r="AU872" s="1">
        <v>2005.0</v>
      </c>
      <c r="AV872" s="1">
        <v>46.0</v>
      </c>
      <c r="AW872" s="1">
        <v>24.0</v>
      </c>
      <c r="AX872" s="1" t="s">
        <v>74</v>
      </c>
      <c r="AY872" s="1" t="s">
        <v>74</v>
      </c>
      <c r="AZ872" s="1" t="s">
        <v>74</v>
      </c>
      <c r="BA872" s="1" t="s">
        <v>74</v>
      </c>
      <c r="BB872" s="1">
        <v>10658.0</v>
      </c>
      <c r="BC872" s="1">
        <v>10662.0</v>
      </c>
      <c r="BD872" s="1" t="s">
        <v>74</v>
      </c>
      <c r="BE872" s="1" t="s">
        <v>7236</v>
      </c>
      <c r="BF872" s="2" t="str">
        <f>HYPERLINK("http://dx.doi.org/10.1016/j.polymer.2005.09.051","http://dx.doi.org/10.1016/j.polymer.2005.09.051")</f>
        <v>http://dx.doi.org/10.1016/j.polymer.2005.09.051</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7237</v>
      </c>
      <c r="BT872" s="1" t="str">
        <f>HYPERLINK("https%3A%2F%2Fwww.webofscience.com%2Fwos%2Fwoscc%2Ffull-record%2FWOS:000233144700008","View Full Record in Web of Science")</f>
        <v>View Full Record in Web of Science</v>
      </c>
    </row>
    <row r="873" ht="12.75" customHeight="1">
      <c r="A873" s="1" t="s">
        <v>72</v>
      </c>
      <c r="B873" s="1" t="s">
        <v>7238</v>
      </c>
      <c r="C873" s="1" t="s">
        <v>74</v>
      </c>
      <c r="D873" s="1" t="s">
        <v>74</v>
      </c>
      <c r="E873" s="1" t="s">
        <v>74</v>
      </c>
      <c r="F873" s="1" t="s">
        <v>7238</v>
      </c>
      <c r="G873" s="1" t="s">
        <v>74</v>
      </c>
      <c r="H873" s="1" t="s">
        <v>74</v>
      </c>
      <c r="I873" s="1" t="s">
        <v>7239</v>
      </c>
      <c r="J873" s="1" t="s">
        <v>7240</v>
      </c>
      <c r="K873" s="1" t="s">
        <v>74</v>
      </c>
      <c r="L873" s="1" t="s">
        <v>74</v>
      </c>
      <c r="M873" s="1" t="s">
        <v>74</v>
      </c>
      <c r="N873" s="1" t="s">
        <v>74</v>
      </c>
      <c r="O873" s="1" t="s">
        <v>7241</v>
      </c>
      <c r="P873" s="1" t="s">
        <v>7242</v>
      </c>
      <c r="Q873" s="1" t="s">
        <v>7243</v>
      </c>
      <c r="R873" s="1" t="s">
        <v>7244</v>
      </c>
      <c r="S873" s="1" t="s">
        <v>74</v>
      </c>
      <c r="T873" s="1" t="s">
        <v>74</v>
      </c>
      <c r="U873" s="1" t="s">
        <v>74</v>
      </c>
      <c r="V873" s="1" t="s">
        <v>7245</v>
      </c>
      <c r="W873" s="1" t="s">
        <v>74</v>
      </c>
      <c r="X873" s="1" t="s">
        <v>74</v>
      </c>
      <c r="Y873" s="1" t="s">
        <v>74</v>
      </c>
      <c r="Z873" s="1" t="s">
        <v>74</v>
      </c>
      <c r="AA873" s="1" t="s">
        <v>74</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7246</v>
      </c>
      <c r="AP873" s="1" t="s">
        <v>7247</v>
      </c>
      <c r="AQ873" s="1" t="s">
        <v>74</v>
      </c>
      <c r="AR873" s="1" t="s">
        <v>74</v>
      </c>
      <c r="AS873" s="1" t="s">
        <v>74</v>
      </c>
      <c r="AT873" s="1" t="s">
        <v>7248</v>
      </c>
      <c r="AU873" s="1">
        <v>1996.0</v>
      </c>
      <c r="AV873" s="1">
        <v>327.0</v>
      </c>
      <c r="AW873" s="1" t="s">
        <v>74</v>
      </c>
      <c r="AX873" s="1" t="s">
        <v>74</v>
      </c>
      <c r="AY873" s="1" t="s">
        <v>74</v>
      </c>
      <c r="AZ873" s="1" t="s">
        <v>74</v>
      </c>
      <c r="BA873" s="1" t="s">
        <v>74</v>
      </c>
      <c r="BB873" s="1">
        <v>491.0</v>
      </c>
      <c r="BC873" s="1">
        <v>495.0</v>
      </c>
      <c r="BD873" s="1" t="s">
        <v>74</v>
      </c>
      <c r="BE873" s="1" t="s">
        <v>74</v>
      </c>
      <c r="BF873" s="1" t="s">
        <v>74</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7249</v>
      </c>
      <c r="BT873" s="1" t="str">
        <f>HYPERLINK("https%3A%2F%2Fwww.webofscience.com%2Fwos%2Fwoscc%2Ffull-record%2FWOS:A1996VG10200074","View Full Record in Web of Science")</f>
        <v>View Full Record in Web of Science</v>
      </c>
    </row>
    <row r="874" ht="12.75" customHeight="1">
      <c r="A874" s="1" t="s">
        <v>72</v>
      </c>
      <c r="B874" s="1" t="s">
        <v>7250</v>
      </c>
      <c r="C874" s="1" t="s">
        <v>74</v>
      </c>
      <c r="D874" s="1" t="s">
        <v>74</v>
      </c>
      <c r="E874" s="1" t="s">
        <v>74</v>
      </c>
      <c r="F874" s="1" t="s">
        <v>7251</v>
      </c>
      <c r="G874" s="1" t="s">
        <v>74</v>
      </c>
      <c r="H874" s="1" t="s">
        <v>74</v>
      </c>
      <c r="I874" s="1" t="s">
        <v>7252</v>
      </c>
      <c r="J874" s="1" t="s">
        <v>7253</v>
      </c>
      <c r="K874" s="1" t="s">
        <v>74</v>
      </c>
      <c r="L874" s="1" t="s">
        <v>74</v>
      </c>
      <c r="M874" s="1" t="s">
        <v>74</v>
      </c>
      <c r="N874" s="1" t="s">
        <v>74</v>
      </c>
      <c r="O874" s="1" t="s">
        <v>74</v>
      </c>
      <c r="P874" s="1" t="s">
        <v>74</v>
      </c>
      <c r="Q874" s="1" t="s">
        <v>74</v>
      </c>
      <c r="R874" s="1" t="s">
        <v>74</v>
      </c>
      <c r="S874" s="1" t="s">
        <v>74</v>
      </c>
      <c r="T874" s="1" t="s">
        <v>74</v>
      </c>
      <c r="U874" s="1" t="s">
        <v>74</v>
      </c>
      <c r="V874" s="1" t="s">
        <v>7254</v>
      </c>
      <c r="W874" s="1" t="s">
        <v>74</v>
      </c>
      <c r="X874" s="1" t="s">
        <v>74</v>
      </c>
      <c r="Y874" s="1" t="s">
        <v>74</v>
      </c>
      <c r="Z874" s="1" t="s">
        <v>74</v>
      </c>
      <c r="AA874" s="1" t="s">
        <v>74</v>
      </c>
      <c r="AB874" s="1" t="s">
        <v>74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7255</v>
      </c>
      <c r="AP874" s="1" t="s">
        <v>74</v>
      </c>
      <c r="AQ874" s="1" t="s">
        <v>74</v>
      </c>
      <c r="AR874" s="1" t="s">
        <v>74</v>
      </c>
      <c r="AS874" s="1" t="s">
        <v>74</v>
      </c>
      <c r="AT874" s="1" t="s">
        <v>7256</v>
      </c>
      <c r="AU874" s="1">
        <v>2024.0</v>
      </c>
      <c r="AV874" s="1" t="s">
        <v>74</v>
      </c>
      <c r="AW874" s="1">
        <v>56.0</v>
      </c>
      <c r="AX874" s="1" t="s">
        <v>74</v>
      </c>
      <c r="AY874" s="1" t="s">
        <v>74</v>
      </c>
      <c r="AZ874" s="1" t="s">
        <v>74</v>
      </c>
      <c r="BA874" s="1" t="s">
        <v>74</v>
      </c>
      <c r="BB874" s="1" t="s">
        <v>74</v>
      </c>
      <c r="BC874" s="1" t="s">
        <v>74</v>
      </c>
      <c r="BD874" s="1" t="s">
        <v>74</v>
      </c>
      <c r="BE874" s="1" t="s">
        <v>7257</v>
      </c>
      <c r="BF874" s="2" t="str">
        <f>HYPERLINK("http://dx.doi.org/10.15366/relacionesinternacionales2024.56.007","http://dx.doi.org/10.15366/relacionesinternacionales2024.56.007")</f>
        <v>http://dx.doi.org/10.15366/relacionesinternacionales2024.56.007</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7258</v>
      </c>
      <c r="BT874" s="1" t="str">
        <f>HYPERLINK("https%3A%2F%2Fwww.webofscience.com%2Fwos%2Fwoscc%2Ffull-record%2FWOS:001268537500008","View Full Record in Web of Science")</f>
        <v>View Full Record in Web of Science</v>
      </c>
    </row>
    <row r="875" ht="12.75" customHeight="1">
      <c r="A875" s="1" t="s">
        <v>72</v>
      </c>
      <c r="B875" s="1" t="s">
        <v>7259</v>
      </c>
      <c r="C875" s="1" t="s">
        <v>74</v>
      </c>
      <c r="D875" s="1" t="s">
        <v>74</v>
      </c>
      <c r="E875" s="1" t="s">
        <v>74</v>
      </c>
      <c r="F875" s="1" t="s">
        <v>7260</v>
      </c>
      <c r="G875" s="1" t="s">
        <v>74</v>
      </c>
      <c r="H875" s="1" t="s">
        <v>74</v>
      </c>
      <c r="I875" s="1" t="s">
        <v>7261</v>
      </c>
      <c r="J875" s="1" t="s">
        <v>7262</v>
      </c>
      <c r="K875" s="1" t="s">
        <v>74</v>
      </c>
      <c r="L875" s="1" t="s">
        <v>74</v>
      </c>
      <c r="M875" s="1" t="s">
        <v>74</v>
      </c>
      <c r="N875" s="1" t="s">
        <v>74</v>
      </c>
      <c r="O875" s="1" t="s">
        <v>74</v>
      </c>
      <c r="P875" s="1" t="s">
        <v>74</v>
      </c>
      <c r="Q875" s="1" t="s">
        <v>74</v>
      </c>
      <c r="R875" s="1" t="s">
        <v>74</v>
      </c>
      <c r="S875" s="1" t="s">
        <v>74</v>
      </c>
      <c r="T875" s="1" t="s">
        <v>74</v>
      </c>
      <c r="U875" s="1" t="s">
        <v>74</v>
      </c>
      <c r="V875" s="1" t="s">
        <v>7263</v>
      </c>
      <c r="W875" s="1" t="s">
        <v>74</v>
      </c>
      <c r="X875" s="1" t="s">
        <v>74</v>
      </c>
      <c r="Y875" s="1" t="s">
        <v>74</v>
      </c>
      <c r="Z875" s="1" t="s">
        <v>74</v>
      </c>
      <c r="AA875" s="1" t="s">
        <v>74</v>
      </c>
      <c r="AB875" s="1" t="s">
        <v>74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7264</v>
      </c>
      <c r="AP875" s="1" t="s">
        <v>7265</v>
      </c>
      <c r="AQ875" s="1" t="s">
        <v>74</v>
      </c>
      <c r="AR875" s="1" t="s">
        <v>74</v>
      </c>
      <c r="AS875" s="1" t="s">
        <v>74</v>
      </c>
      <c r="AT875" s="1" t="s">
        <v>5053</v>
      </c>
      <c r="AU875" s="1">
        <v>2023.0</v>
      </c>
      <c r="AV875" s="1">
        <v>46.0</v>
      </c>
      <c r="AW875" s="1">
        <v>2.0</v>
      </c>
      <c r="AX875" s="1" t="s">
        <v>74</v>
      </c>
      <c r="AY875" s="1" t="s">
        <v>74</v>
      </c>
      <c r="AZ875" s="1" t="s">
        <v>74</v>
      </c>
      <c r="BA875" s="1" t="s">
        <v>74</v>
      </c>
      <c r="BB875" s="1">
        <v>167.0</v>
      </c>
      <c r="BC875" s="1">
        <v>192.0</v>
      </c>
      <c r="BD875" s="1" t="s">
        <v>74</v>
      </c>
      <c r="BE875" s="1" t="s">
        <v>7266</v>
      </c>
      <c r="BF875" s="2" t="str">
        <f>HYPERLINK("http://dx.doi.org/10.1590/0101-3173.2023.v46n2.p167","http://dx.doi.org/10.1590/0101-3173.2023.v46n2.p167")</f>
        <v>http://dx.doi.org/10.1590/0101-3173.2023.v46n2.p167</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7267</v>
      </c>
      <c r="BT875" s="1" t="str">
        <f>HYPERLINK("https%3A%2F%2Fwww.webofscience.com%2Fwos%2Fwoscc%2Ffull-record%2FWOS:000967070900012","View Full Record in Web of Science")</f>
        <v>View Full Record in Web of Science</v>
      </c>
    </row>
    <row r="876" ht="12.75" customHeight="1">
      <c r="A876" s="1" t="s">
        <v>72</v>
      </c>
      <c r="B876" s="1" t="s">
        <v>7268</v>
      </c>
      <c r="C876" s="1" t="s">
        <v>74</v>
      </c>
      <c r="D876" s="1" t="s">
        <v>74</v>
      </c>
      <c r="E876" s="1" t="s">
        <v>74</v>
      </c>
      <c r="F876" s="1" t="s">
        <v>7269</v>
      </c>
      <c r="G876" s="1" t="s">
        <v>74</v>
      </c>
      <c r="H876" s="1" t="s">
        <v>74</v>
      </c>
      <c r="I876" s="1" t="s">
        <v>7270</v>
      </c>
      <c r="J876" s="1" t="s">
        <v>7271</v>
      </c>
      <c r="K876" s="1" t="s">
        <v>74</v>
      </c>
      <c r="L876" s="1" t="s">
        <v>74</v>
      </c>
      <c r="M876" s="1" t="s">
        <v>74</v>
      </c>
      <c r="N876" s="1" t="s">
        <v>74</v>
      </c>
      <c r="O876" s="1" t="s">
        <v>74</v>
      </c>
      <c r="P876" s="1" t="s">
        <v>74</v>
      </c>
      <c r="Q876" s="1" t="s">
        <v>74</v>
      </c>
      <c r="R876" s="1" t="s">
        <v>74</v>
      </c>
      <c r="S876" s="1" t="s">
        <v>74</v>
      </c>
      <c r="T876" s="1" t="s">
        <v>74</v>
      </c>
      <c r="U876" s="1" t="s">
        <v>74</v>
      </c>
      <c r="V876" s="1" t="s">
        <v>7272</v>
      </c>
      <c r="W876" s="1" t="s">
        <v>74</v>
      </c>
      <c r="X876" s="1" t="s">
        <v>74</v>
      </c>
      <c r="Y876" s="1" t="s">
        <v>74</v>
      </c>
      <c r="Z876" s="1" t="s">
        <v>74</v>
      </c>
      <c r="AA876" s="1" t="s">
        <v>7273</v>
      </c>
      <c r="AB876" s="1" t="s">
        <v>74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7274</v>
      </c>
      <c r="AP876" s="1" t="s">
        <v>74</v>
      </c>
      <c r="AQ876" s="1" t="s">
        <v>74</v>
      </c>
      <c r="AR876" s="1" t="s">
        <v>74</v>
      </c>
      <c r="AS876" s="1" t="s">
        <v>74</v>
      </c>
      <c r="AT876" s="1" t="s">
        <v>276</v>
      </c>
      <c r="AU876" s="1">
        <v>2022.0</v>
      </c>
      <c r="AV876" s="1">
        <v>11.0</v>
      </c>
      <c r="AW876" s="1">
        <v>20.0</v>
      </c>
      <c r="AX876" s="1" t="s">
        <v>74</v>
      </c>
      <c r="AY876" s="1" t="s">
        <v>74</v>
      </c>
      <c r="AZ876" s="1" t="s">
        <v>74</v>
      </c>
      <c r="BA876" s="1" t="s">
        <v>74</v>
      </c>
      <c r="BB876" s="1" t="s">
        <v>74</v>
      </c>
      <c r="BC876" s="1" t="s">
        <v>74</v>
      </c>
      <c r="BD876" s="1">
        <v>2772.0</v>
      </c>
      <c r="BE876" s="1" t="s">
        <v>7275</v>
      </c>
      <c r="BF876" s="2" t="str">
        <f>HYPERLINK("http://dx.doi.org/10.3390/plants11202772","http://dx.doi.org/10.3390/plants11202772")</f>
        <v>http://dx.doi.org/10.3390/plants11202772</v>
      </c>
      <c r="BG876" s="1" t="s">
        <v>74</v>
      </c>
      <c r="BH876" s="1" t="s">
        <v>74</v>
      </c>
      <c r="BI876" s="1" t="s">
        <v>74</v>
      </c>
      <c r="BJ876" s="1" t="s">
        <v>74</v>
      </c>
      <c r="BK876" s="1" t="s">
        <v>74</v>
      </c>
      <c r="BL876" s="1" t="s">
        <v>74</v>
      </c>
      <c r="BM876" s="1" t="s">
        <v>74</v>
      </c>
      <c r="BN876" s="1">
        <v>3.62978E7</v>
      </c>
      <c r="BO876" s="1" t="s">
        <v>74</v>
      </c>
      <c r="BP876" s="1" t="s">
        <v>74</v>
      </c>
      <c r="BQ876" s="1" t="s">
        <v>74</v>
      </c>
      <c r="BR876" s="1" t="s">
        <v>74</v>
      </c>
      <c r="BS876" s="1" t="s">
        <v>7276</v>
      </c>
      <c r="BT876" s="1" t="str">
        <f>HYPERLINK("https%3A%2F%2Fwww.webofscience.com%2Fwos%2Fwoscc%2Ffull-record%2FWOS:000875268600001","View Full Record in Web of Science")</f>
        <v>View Full Record in Web of Science</v>
      </c>
    </row>
    <row r="877" ht="12.75" customHeight="1">
      <c r="A877" s="1" t="s">
        <v>72</v>
      </c>
      <c r="B877" s="1" t="s">
        <v>7277</v>
      </c>
      <c r="C877" s="1" t="s">
        <v>74</v>
      </c>
      <c r="D877" s="1" t="s">
        <v>74</v>
      </c>
      <c r="E877" s="1" t="s">
        <v>74</v>
      </c>
      <c r="F877" s="1" t="s">
        <v>7278</v>
      </c>
      <c r="G877" s="1" t="s">
        <v>74</v>
      </c>
      <c r="H877" s="1" t="s">
        <v>74</v>
      </c>
      <c r="I877" s="1" t="s">
        <v>7279</v>
      </c>
      <c r="J877" s="1" t="s">
        <v>7280</v>
      </c>
      <c r="K877" s="1" t="s">
        <v>74</v>
      </c>
      <c r="L877" s="1" t="s">
        <v>74</v>
      </c>
      <c r="M877" s="1" t="s">
        <v>74</v>
      </c>
      <c r="N877" s="1" t="s">
        <v>74</v>
      </c>
      <c r="O877" s="1" t="s">
        <v>74</v>
      </c>
      <c r="P877" s="1" t="s">
        <v>74</v>
      </c>
      <c r="Q877" s="1" t="s">
        <v>74</v>
      </c>
      <c r="R877" s="1" t="s">
        <v>74</v>
      </c>
      <c r="S877" s="1" t="s">
        <v>74</v>
      </c>
      <c r="T877" s="1" t="s">
        <v>74</v>
      </c>
      <c r="U877" s="1" t="s">
        <v>74</v>
      </c>
      <c r="V877" s="1" t="s">
        <v>7281</v>
      </c>
      <c r="W877" s="1" t="s">
        <v>74</v>
      </c>
      <c r="X877" s="1" t="s">
        <v>74</v>
      </c>
      <c r="Y877" s="1" t="s">
        <v>74</v>
      </c>
      <c r="Z877" s="1" t="s">
        <v>74</v>
      </c>
      <c r="AA877" s="1" t="s">
        <v>7282</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7283</v>
      </c>
      <c r="AP877" s="1" t="s">
        <v>74</v>
      </c>
      <c r="AQ877" s="1" t="s">
        <v>74</v>
      </c>
      <c r="AR877" s="1" t="s">
        <v>74</v>
      </c>
      <c r="AS877" s="1" t="s">
        <v>74</v>
      </c>
      <c r="AT877" s="1" t="s">
        <v>74</v>
      </c>
      <c r="AU877" s="1">
        <v>2022.0</v>
      </c>
      <c r="AV877" s="1">
        <v>16.0</v>
      </c>
      <c r="AW877" s="1">
        <v>3.0</v>
      </c>
      <c r="AX877" s="1" t="s">
        <v>74</v>
      </c>
      <c r="AY877" s="1" t="s">
        <v>74</v>
      </c>
      <c r="AZ877" s="1" t="s">
        <v>74</v>
      </c>
      <c r="BA877" s="1" t="s">
        <v>74</v>
      </c>
      <c r="BB877" s="1" t="s">
        <v>74</v>
      </c>
      <c r="BC877" s="1" t="s">
        <v>74</v>
      </c>
      <c r="BD877" s="1" t="s">
        <v>74</v>
      </c>
      <c r="BE877" s="1" t="s">
        <v>74</v>
      </c>
      <c r="BF877" s="1" t="s">
        <v>74</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7284</v>
      </c>
      <c r="BT877" s="1" t="str">
        <f>HYPERLINK("https%3A%2F%2Fwww.webofscience.com%2Fwos%2Fwoscc%2Ffull-record%2FWOS:000972463200006","View Full Record in Web of Science")</f>
        <v>View Full Record in Web of Science</v>
      </c>
    </row>
    <row r="878" ht="12.75" customHeight="1">
      <c r="A878" s="1" t="s">
        <v>72</v>
      </c>
      <c r="B878" s="1" t="s">
        <v>7285</v>
      </c>
      <c r="C878" s="1" t="s">
        <v>74</v>
      </c>
      <c r="D878" s="1" t="s">
        <v>74</v>
      </c>
      <c r="E878" s="1" t="s">
        <v>74</v>
      </c>
      <c r="F878" s="1" t="s">
        <v>7286</v>
      </c>
      <c r="G878" s="1" t="s">
        <v>74</v>
      </c>
      <c r="H878" s="1" t="s">
        <v>74</v>
      </c>
      <c r="I878" s="1" t="s">
        <v>7287</v>
      </c>
      <c r="J878" s="1" t="s">
        <v>7288</v>
      </c>
      <c r="K878" s="1" t="s">
        <v>74</v>
      </c>
      <c r="L878" s="1" t="s">
        <v>74</v>
      </c>
      <c r="M878" s="1" t="s">
        <v>74</v>
      </c>
      <c r="N878" s="1" t="s">
        <v>74</v>
      </c>
      <c r="O878" s="1" t="s">
        <v>74</v>
      </c>
      <c r="P878" s="1" t="s">
        <v>74</v>
      </c>
      <c r="Q878" s="1" t="s">
        <v>74</v>
      </c>
      <c r="R878" s="1" t="s">
        <v>74</v>
      </c>
      <c r="S878" s="1" t="s">
        <v>74</v>
      </c>
      <c r="T878" s="1" t="s">
        <v>74</v>
      </c>
      <c r="U878" s="1" t="s">
        <v>74</v>
      </c>
      <c r="V878" s="1" t="s">
        <v>7289</v>
      </c>
      <c r="W878" s="1" t="s">
        <v>74</v>
      </c>
      <c r="X878" s="1" t="s">
        <v>74</v>
      </c>
      <c r="Y878" s="1" t="s">
        <v>74</v>
      </c>
      <c r="Z878" s="1" t="s">
        <v>74</v>
      </c>
      <c r="AA878" s="1" t="s">
        <v>7290</v>
      </c>
      <c r="AB878" s="1" t="s">
        <v>7291</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7292</v>
      </c>
      <c r="AP878" s="1" t="s">
        <v>7293</v>
      </c>
      <c r="AQ878" s="1" t="s">
        <v>74</v>
      </c>
      <c r="AR878" s="1" t="s">
        <v>74</v>
      </c>
      <c r="AS878" s="1" t="s">
        <v>74</v>
      </c>
      <c r="AT878" s="1" t="s">
        <v>7294</v>
      </c>
      <c r="AU878" s="1">
        <v>2023.0</v>
      </c>
      <c r="AV878" s="1">
        <v>69.0</v>
      </c>
      <c r="AW878" s="1">
        <v>3.0</v>
      </c>
      <c r="AX878" s="1" t="s">
        <v>74</v>
      </c>
      <c r="AY878" s="1" t="s">
        <v>74</v>
      </c>
      <c r="AZ878" s="1" t="s">
        <v>74</v>
      </c>
      <c r="BA878" s="1" t="s">
        <v>74</v>
      </c>
      <c r="BB878" s="1">
        <v>241.0</v>
      </c>
      <c r="BC878" s="1">
        <v>247.0</v>
      </c>
      <c r="BD878" s="1" t="s">
        <v>74</v>
      </c>
      <c r="BE878" s="1" t="s">
        <v>7295</v>
      </c>
      <c r="BF878" s="2" t="str">
        <f>HYPERLINK("http://dx.doi.org/10.1080/09670874.2021.1915512","http://dx.doi.org/10.1080/09670874.2021.1915512")</f>
        <v>http://dx.doi.org/10.1080/09670874.2021.1915512</v>
      </c>
      <c r="BG878" s="1" t="s">
        <v>74</v>
      </c>
      <c r="BH878" s="1" t="s">
        <v>3583</v>
      </c>
      <c r="BI878" s="1" t="s">
        <v>74</v>
      </c>
      <c r="BJ878" s="1" t="s">
        <v>74</v>
      </c>
      <c r="BK878" s="1" t="s">
        <v>74</v>
      </c>
      <c r="BL878" s="1" t="s">
        <v>74</v>
      </c>
      <c r="BM878" s="1" t="s">
        <v>74</v>
      </c>
      <c r="BN878" s="1" t="s">
        <v>74</v>
      </c>
      <c r="BO878" s="1" t="s">
        <v>74</v>
      </c>
      <c r="BP878" s="1" t="s">
        <v>74</v>
      </c>
      <c r="BQ878" s="1" t="s">
        <v>74</v>
      </c>
      <c r="BR878" s="1" t="s">
        <v>74</v>
      </c>
      <c r="BS878" s="1" t="s">
        <v>7296</v>
      </c>
      <c r="BT878" s="1" t="str">
        <f>HYPERLINK("https%3A%2F%2Fwww.webofscience.com%2Fwos%2Fwoscc%2Ffull-record%2FWOS:000647384400001","View Full Record in Web of Science")</f>
        <v>View Full Record in Web of Science</v>
      </c>
    </row>
    <row r="879" ht="12.75" customHeight="1">
      <c r="A879" s="1" t="s">
        <v>72</v>
      </c>
      <c r="B879" s="1" t="s">
        <v>7297</v>
      </c>
      <c r="C879" s="1" t="s">
        <v>74</v>
      </c>
      <c r="D879" s="1" t="s">
        <v>74</v>
      </c>
      <c r="E879" s="1" t="s">
        <v>74</v>
      </c>
      <c r="F879" s="1" t="s">
        <v>7298</v>
      </c>
      <c r="G879" s="1" t="s">
        <v>74</v>
      </c>
      <c r="H879" s="1" t="s">
        <v>74</v>
      </c>
      <c r="I879" s="1" t="s">
        <v>7299</v>
      </c>
      <c r="J879" s="1" t="s">
        <v>7300</v>
      </c>
      <c r="K879" s="1" t="s">
        <v>74</v>
      </c>
      <c r="L879" s="1" t="s">
        <v>74</v>
      </c>
      <c r="M879" s="1" t="s">
        <v>74</v>
      </c>
      <c r="N879" s="1" t="s">
        <v>74</v>
      </c>
      <c r="O879" s="1" t="s">
        <v>74</v>
      </c>
      <c r="P879" s="1" t="s">
        <v>74</v>
      </c>
      <c r="Q879" s="1" t="s">
        <v>74</v>
      </c>
      <c r="R879" s="1" t="s">
        <v>74</v>
      </c>
      <c r="S879" s="1" t="s">
        <v>74</v>
      </c>
      <c r="T879" s="1" t="s">
        <v>74</v>
      </c>
      <c r="U879" s="1" t="s">
        <v>74</v>
      </c>
      <c r="V879" s="1" t="s">
        <v>7301</v>
      </c>
      <c r="W879" s="1" t="s">
        <v>74</v>
      </c>
      <c r="X879" s="1" t="s">
        <v>74</v>
      </c>
      <c r="Y879" s="1" t="s">
        <v>74</v>
      </c>
      <c r="Z879" s="1" t="s">
        <v>74</v>
      </c>
      <c r="AA879" s="1" t="s">
        <v>7302</v>
      </c>
      <c r="AB879" s="1" t="s">
        <v>74</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7303</v>
      </c>
      <c r="AP879" s="1" t="s">
        <v>7304</v>
      </c>
      <c r="AQ879" s="1" t="s">
        <v>74</v>
      </c>
      <c r="AR879" s="1" t="s">
        <v>74</v>
      </c>
      <c r="AS879" s="1" t="s">
        <v>74</v>
      </c>
      <c r="AT879" s="1" t="s">
        <v>203</v>
      </c>
      <c r="AU879" s="1">
        <v>2021.0</v>
      </c>
      <c r="AV879" s="1">
        <v>26.0</v>
      </c>
      <c r="AW879" s="1">
        <v>1.0</v>
      </c>
      <c r="AX879" s="1" t="s">
        <v>74</v>
      </c>
      <c r="AY879" s="1" t="s">
        <v>74</v>
      </c>
      <c r="AZ879" s="1" t="s">
        <v>74</v>
      </c>
      <c r="BA879" s="1" t="s">
        <v>74</v>
      </c>
      <c r="BB879" s="1" t="s">
        <v>74</v>
      </c>
      <c r="BC879" s="1" t="s">
        <v>74</v>
      </c>
      <c r="BD879" s="1" t="s">
        <v>7305</v>
      </c>
      <c r="BE879" s="1" t="s">
        <v>7306</v>
      </c>
      <c r="BF879" s="2" t="str">
        <f>HYPERLINK("http://dx.doi.org/10.21897/rmvz.1959","http://dx.doi.org/10.21897/rmvz.1959")</f>
        <v>http://dx.doi.org/10.21897/rmvz.1959</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7307</v>
      </c>
      <c r="BT879" s="1" t="str">
        <f>HYPERLINK("https%3A%2F%2Fwww.webofscience.com%2Fwos%2Fwoscc%2Ffull-record%2FWOS:000627608300007","View Full Record in Web of Science")</f>
        <v>View Full Record in Web of Science</v>
      </c>
    </row>
    <row r="880" ht="12.75" customHeight="1">
      <c r="A880" s="1" t="s">
        <v>72</v>
      </c>
      <c r="B880" s="1" t="s">
        <v>7308</v>
      </c>
      <c r="C880" s="1" t="s">
        <v>74</v>
      </c>
      <c r="D880" s="1" t="s">
        <v>74</v>
      </c>
      <c r="E880" s="1" t="s">
        <v>74</v>
      </c>
      <c r="F880" s="1" t="s">
        <v>7309</v>
      </c>
      <c r="G880" s="1" t="s">
        <v>74</v>
      </c>
      <c r="H880" s="1" t="s">
        <v>74</v>
      </c>
      <c r="I880" s="1" t="s">
        <v>7310</v>
      </c>
      <c r="J880" s="1" t="s">
        <v>7311</v>
      </c>
      <c r="K880" s="1" t="s">
        <v>74</v>
      </c>
      <c r="L880" s="1" t="s">
        <v>74</v>
      </c>
      <c r="M880" s="1" t="s">
        <v>74</v>
      </c>
      <c r="N880" s="1" t="s">
        <v>74</v>
      </c>
      <c r="O880" s="1" t="s">
        <v>74</v>
      </c>
      <c r="P880" s="1" t="s">
        <v>74</v>
      </c>
      <c r="Q880" s="1" t="s">
        <v>74</v>
      </c>
      <c r="R880" s="1" t="s">
        <v>74</v>
      </c>
      <c r="S880" s="1" t="s">
        <v>74</v>
      </c>
      <c r="T880" s="1" t="s">
        <v>74</v>
      </c>
      <c r="U880" s="1" t="s">
        <v>74</v>
      </c>
      <c r="V880" s="1" t="s">
        <v>7312</v>
      </c>
      <c r="W880" s="1" t="s">
        <v>74</v>
      </c>
      <c r="X880" s="1" t="s">
        <v>74</v>
      </c>
      <c r="Y880" s="1" t="s">
        <v>74</v>
      </c>
      <c r="Z880" s="1" t="s">
        <v>74</v>
      </c>
      <c r="AA880" s="1" t="s">
        <v>7313</v>
      </c>
      <c r="AB880" s="1" t="s">
        <v>7314</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7315</v>
      </c>
      <c r="AP880" s="1" t="s">
        <v>7316</v>
      </c>
      <c r="AQ880" s="1" t="s">
        <v>74</v>
      </c>
      <c r="AR880" s="1" t="s">
        <v>74</v>
      </c>
      <c r="AS880" s="1" t="s">
        <v>74</v>
      </c>
      <c r="AT880" s="1" t="s">
        <v>123</v>
      </c>
      <c r="AU880" s="1">
        <v>2021.0</v>
      </c>
      <c r="AV880" s="1">
        <v>36.0</v>
      </c>
      <c r="AW880" s="1">
        <v>1.0</v>
      </c>
      <c r="AX880" s="1" t="s">
        <v>74</v>
      </c>
      <c r="AY880" s="1" t="s">
        <v>74</v>
      </c>
      <c r="AZ880" s="1" t="s">
        <v>74</v>
      </c>
      <c r="BA880" s="1" t="s">
        <v>74</v>
      </c>
      <c r="BB880" s="1">
        <v>191.0</v>
      </c>
      <c r="BC880" s="1">
        <v>208.0</v>
      </c>
      <c r="BD880" s="1" t="s">
        <v>74</v>
      </c>
      <c r="BE880" s="1" t="s">
        <v>7317</v>
      </c>
      <c r="BF880" s="2" t="str">
        <f>HYPERLINK("http://dx.doi.org/10.1007/s10980-020-01133-2","http://dx.doi.org/10.1007/s10980-020-01133-2")</f>
        <v>http://dx.doi.org/10.1007/s10980-020-01133-2</v>
      </c>
      <c r="BG880" s="1" t="s">
        <v>74</v>
      </c>
      <c r="BH880" s="1" t="s">
        <v>7318</v>
      </c>
      <c r="BI880" s="1" t="s">
        <v>74</v>
      </c>
      <c r="BJ880" s="1" t="s">
        <v>74</v>
      </c>
      <c r="BK880" s="1" t="s">
        <v>74</v>
      </c>
      <c r="BL880" s="1" t="s">
        <v>74</v>
      </c>
      <c r="BM880" s="1" t="s">
        <v>74</v>
      </c>
      <c r="BN880" s="1" t="s">
        <v>74</v>
      </c>
      <c r="BO880" s="1" t="s">
        <v>74</v>
      </c>
      <c r="BP880" s="1" t="s">
        <v>74</v>
      </c>
      <c r="BQ880" s="1" t="s">
        <v>74</v>
      </c>
      <c r="BR880" s="1" t="s">
        <v>74</v>
      </c>
      <c r="BS880" s="1" t="s">
        <v>7319</v>
      </c>
      <c r="BT880" s="1" t="str">
        <f>HYPERLINK("https%3A%2F%2Fwww.webofscience.com%2Fwos%2Fwoscc%2Ffull-record%2FWOS:000575703400001","View Full Record in Web of Science")</f>
        <v>View Full Record in Web of Science</v>
      </c>
    </row>
    <row r="881" ht="12.75" customHeight="1">
      <c r="A881" s="1" t="s">
        <v>105</v>
      </c>
      <c r="B881" s="1" t="s">
        <v>7320</v>
      </c>
      <c r="C881" s="1" t="s">
        <v>74</v>
      </c>
      <c r="D881" s="1" t="s">
        <v>7321</v>
      </c>
      <c r="E881" s="1" t="s">
        <v>74</v>
      </c>
      <c r="F881" s="1" t="s">
        <v>7322</v>
      </c>
      <c r="G881" s="1" t="s">
        <v>74</v>
      </c>
      <c r="H881" s="1" t="s">
        <v>74</v>
      </c>
      <c r="I881" s="1" t="s">
        <v>7323</v>
      </c>
      <c r="J881" s="1" t="s">
        <v>7324</v>
      </c>
      <c r="K881" s="1" t="s">
        <v>74</v>
      </c>
      <c r="L881" s="1" t="s">
        <v>74</v>
      </c>
      <c r="M881" s="1" t="s">
        <v>74</v>
      </c>
      <c r="N881" s="1" t="s">
        <v>74</v>
      </c>
      <c r="O881" s="1" t="s">
        <v>74</v>
      </c>
      <c r="P881" s="1" t="s">
        <v>74</v>
      </c>
      <c r="Q881" s="1" t="s">
        <v>74</v>
      </c>
      <c r="R881" s="1" t="s">
        <v>74</v>
      </c>
      <c r="S881" s="1" t="s">
        <v>74</v>
      </c>
      <c r="T881" s="1" t="s">
        <v>74</v>
      </c>
      <c r="U881" s="1" t="s">
        <v>74</v>
      </c>
      <c r="V881" s="1" t="s">
        <v>74</v>
      </c>
      <c r="W881" s="1" t="s">
        <v>74</v>
      </c>
      <c r="X881" s="1" t="s">
        <v>74</v>
      </c>
      <c r="Y881" s="1" t="s">
        <v>74</v>
      </c>
      <c r="Z881" s="1" t="s">
        <v>74</v>
      </c>
      <c r="AA881" s="1" t="s">
        <v>7325</v>
      </c>
      <c r="AB881" s="1" t="s">
        <v>7326</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74</v>
      </c>
      <c r="AP881" s="1" t="s">
        <v>74</v>
      </c>
      <c r="AQ881" s="1" t="s">
        <v>7327</v>
      </c>
      <c r="AR881" s="1" t="s">
        <v>74</v>
      </c>
      <c r="AS881" s="1" t="s">
        <v>74</v>
      </c>
      <c r="AT881" s="1" t="s">
        <v>74</v>
      </c>
      <c r="AU881" s="1">
        <v>2018.0</v>
      </c>
      <c r="AV881" s="1" t="s">
        <v>74</v>
      </c>
      <c r="AW881" s="1" t="s">
        <v>74</v>
      </c>
      <c r="AX881" s="1" t="s">
        <v>74</v>
      </c>
      <c r="AY881" s="1" t="s">
        <v>74</v>
      </c>
      <c r="AZ881" s="1" t="s">
        <v>74</v>
      </c>
      <c r="BA881" s="1" t="s">
        <v>74</v>
      </c>
      <c r="BB881" s="1">
        <v>293.0</v>
      </c>
      <c r="BC881" s="1">
        <v>312.0</v>
      </c>
      <c r="BD881" s="1" t="s">
        <v>74</v>
      </c>
      <c r="BE881" s="1" t="s">
        <v>74</v>
      </c>
      <c r="BF881" s="1" t="s">
        <v>74</v>
      </c>
      <c r="BG881" s="1" t="s">
        <v>7328</v>
      </c>
      <c r="BH881" s="1" t="s">
        <v>74</v>
      </c>
      <c r="BI881" s="1" t="s">
        <v>74</v>
      </c>
      <c r="BJ881" s="1" t="s">
        <v>74</v>
      </c>
      <c r="BK881" s="1" t="s">
        <v>74</v>
      </c>
      <c r="BL881" s="1" t="s">
        <v>74</v>
      </c>
      <c r="BM881" s="1" t="s">
        <v>74</v>
      </c>
      <c r="BN881" s="1" t="s">
        <v>74</v>
      </c>
      <c r="BO881" s="1" t="s">
        <v>74</v>
      </c>
      <c r="BP881" s="1" t="s">
        <v>74</v>
      </c>
      <c r="BQ881" s="1" t="s">
        <v>74</v>
      </c>
      <c r="BR881" s="1" t="s">
        <v>74</v>
      </c>
      <c r="BS881" s="1" t="s">
        <v>7329</v>
      </c>
      <c r="BT881" s="1" t="str">
        <f>HYPERLINK("https%3A%2F%2Fwww.webofscience.com%2Fwos%2Fwoscc%2Ffull-record%2FWOS:000440942900011","View Full Record in Web of Science")</f>
        <v>View Full Record in Web of Science</v>
      </c>
    </row>
    <row r="882" ht="12.75" customHeight="1">
      <c r="A882" s="1" t="s">
        <v>72</v>
      </c>
      <c r="B882" s="1" t="s">
        <v>7330</v>
      </c>
      <c r="C882" s="1" t="s">
        <v>74</v>
      </c>
      <c r="D882" s="1" t="s">
        <v>74</v>
      </c>
      <c r="E882" s="1" t="s">
        <v>74</v>
      </c>
      <c r="F882" s="1" t="s">
        <v>7331</v>
      </c>
      <c r="G882" s="1" t="s">
        <v>74</v>
      </c>
      <c r="H882" s="1" t="s">
        <v>74</v>
      </c>
      <c r="I882" s="1" t="s">
        <v>7332</v>
      </c>
      <c r="J882" s="1" t="s">
        <v>7333</v>
      </c>
      <c r="K882" s="1" t="s">
        <v>74</v>
      </c>
      <c r="L882" s="1" t="s">
        <v>74</v>
      </c>
      <c r="M882" s="1" t="s">
        <v>74</v>
      </c>
      <c r="N882" s="1" t="s">
        <v>74</v>
      </c>
      <c r="O882" s="1" t="s">
        <v>74</v>
      </c>
      <c r="P882" s="1" t="s">
        <v>74</v>
      </c>
      <c r="Q882" s="1" t="s">
        <v>74</v>
      </c>
      <c r="R882" s="1" t="s">
        <v>74</v>
      </c>
      <c r="S882" s="1" t="s">
        <v>74</v>
      </c>
      <c r="T882" s="1" t="s">
        <v>74</v>
      </c>
      <c r="U882" s="1" t="s">
        <v>74</v>
      </c>
      <c r="V882" s="1" t="s">
        <v>7334</v>
      </c>
      <c r="W882" s="1" t="s">
        <v>74</v>
      </c>
      <c r="X882" s="1" t="s">
        <v>74</v>
      </c>
      <c r="Y882" s="1" t="s">
        <v>74</v>
      </c>
      <c r="Z882" s="1" t="s">
        <v>74</v>
      </c>
      <c r="AA882" s="1" t="s">
        <v>2801</v>
      </c>
      <c r="AB882" s="1" t="s">
        <v>2802</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7335</v>
      </c>
      <c r="AP882" s="1" t="s">
        <v>7336</v>
      </c>
      <c r="AQ882" s="1" t="s">
        <v>74</v>
      </c>
      <c r="AR882" s="1" t="s">
        <v>74</v>
      </c>
      <c r="AS882" s="1" t="s">
        <v>74</v>
      </c>
      <c r="AT882" s="1" t="s">
        <v>276</v>
      </c>
      <c r="AU882" s="1">
        <v>2016.0</v>
      </c>
      <c r="AV882" s="1">
        <v>48.0</v>
      </c>
      <c r="AW882" s="1">
        <v>8.0</v>
      </c>
      <c r="AX882" s="1" t="s">
        <v>74</v>
      </c>
      <c r="AY882" s="1" t="s">
        <v>74</v>
      </c>
      <c r="AZ882" s="1" t="s">
        <v>74</v>
      </c>
      <c r="BA882" s="1" t="s">
        <v>74</v>
      </c>
      <c r="BB882" s="1">
        <v>922.0</v>
      </c>
      <c r="BC882" s="1">
        <v>926.0</v>
      </c>
      <c r="BD882" s="1" t="s">
        <v>74</v>
      </c>
      <c r="BE882" s="1" t="s">
        <v>7337</v>
      </c>
      <c r="BF882" s="2" t="str">
        <f>HYPERLINK("http://dx.doi.org/10.1111/and.12681","http://dx.doi.org/10.1111/and.12681")</f>
        <v>http://dx.doi.org/10.1111/and.12681</v>
      </c>
      <c r="BG882" s="1" t="s">
        <v>74</v>
      </c>
      <c r="BH882" s="1" t="s">
        <v>74</v>
      </c>
      <c r="BI882" s="1" t="s">
        <v>74</v>
      </c>
      <c r="BJ882" s="1" t="s">
        <v>74</v>
      </c>
      <c r="BK882" s="1" t="s">
        <v>74</v>
      </c>
      <c r="BL882" s="1" t="s">
        <v>74</v>
      </c>
      <c r="BM882" s="1" t="s">
        <v>74</v>
      </c>
      <c r="BN882" s="1">
        <v>2.7681649E7</v>
      </c>
      <c r="BO882" s="1" t="s">
        <v>74</v>
      </c>
      <c r="BP882" s="1" t="s">
        <v>74</v>
      </c>
      <c r="BQ882" s="1" t="s">
        <v>74</v>
      </c>
      <c r="BR882" s="1" t="s">
        <v>74</v>
      </c>
      <c r="BS882" s="1" t="s">
        <v>7338</v>
      </c>
      <c r="BT882" s="1" t="str">
        <f>HYPERLINK("https%3A%2F%2Fwww.webofscience.com%2Fwos%2Fwoscc%2Ffull-record%2FWOS:000385816500008","View Full Record in Web of Science")</f>
        <v>View Full Record in Web of Science</v>
      </c>
    </row>
    <row r="883" ht="12.75" customHeight="1">
      <c r="A883" s="1" t="s">
        <v>72</v>
      </c>
      <c r="B883" s="1" t="s">
        <v>7339</v>
      </c>
      <c r="C883" s="1" t="s">
        <v>74</v>
      </c>
      <c r="D883" s="1" t="s">
        <v>74</v>
      </c>
      <c r="E883" s="1" t="s">
        <v>74</v>
      </c>
      <c r="F883" s="1" t="s">
        <v>7340</v>
      </c>
      <c r="G883" s="1" t="s">
        <v>74</v>
      </c>
      <c r="H883" s="1" t="s">
        <v>74</v>
      </c>
      <c r="I883" s="1" t="s">
        <v>7341</v>
      </c>
      <c r="J883" s="1" t="s">
        <v>7342</v>
      </c>
      <c r="K883" s="1" t="s">
        <v>74</v>
      </c>
      <c r="L883" s="1" t="s">
        <v>74</v>
      </c>
      <c r="M883" s="1" t="s">
        <v>74</v>
      </c>
      <c r="N883" s="1" t="s">
        <v>74</v>
      </c>
      <c r="O883" s="1" t="s">
        <v>74</v>
      </c>
      <c r="P883" s="1" t="s">
        <v>74</v>
      </c>
      <c r="Q883" s="1" t="s">
        <v>74</v>
      </c>
      <c r="R883" s="1" t="s">
        <v>74</v>
      </c>
      <c r="S883" s="1" t="s">
        <v>74</v>
      </c>
      <c r="T883" s="1" t="s">
        <v>74</v>
      </c>
      <c r="U883" s="1" t="s">
        <v>74</v>
      </c>
      <c r="V883" s="1" t="s">
        <v>7343</v>
      </c>
      <c r="W883" s="1" t="s">
        <v>74</v>
      </c>
      <c r="X883" s="1" t="s">
        <v>74</v>
      </c>
      <c r="Y883" s="1" t="s">
        <v>74</v>
      </c>
      <c r="Z883" s="1" t="s">
        <v>74</v>
      </c>
      <c r="AA883" s="1" t="s">
        <v>1580</v>
      </c>
      <c r="AB883" s="1" t="s">
        <v>1581</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7344</v>
      </c>
      <c r="AP883" s="1" t="s">
        <v>7345</v>
      </c>
      <c r="AQ883" s="1" t="s">
        <v>74</v>
      </c>
      <c r="AR883" s="1" t="s">
        <v>74</v>
      </c>
      <c r="AS883" s="1" t="s">
        <v>74</v>
      </c>
      <c r="AT883" s="1" t="s">
        <v>158</v>
      </c>
      <c r="AU883" s="1">
        <v>2016.0</v>
      </c>
      <c r="AV883" s="1">
        <v>16.0</v>
      </c>
      <c r="AW883" s="1">
        <v>3.0</v>
      </c>
      <c r="AX883" s="1" t="s">
        <v>74</v>
      </c>
      <c r="AY883" s="1" t="s">
        <v>74</v>
      </c>
      <c r="AZ883" s="1" t="s">
        <v>74</v>
      </c>
      <c r="BA883" s="1" t="s">
        <v>74</v>
      </c>
      <c r="BB883" s="1">
        <v>256.0</v>
      </c>
      <c r="BC883" s="1">
        <v>265.0</v>
      </c>
      <c r="BD883" s="1" t="s">
        <v>74</v>
      </c>
      <c r="BE883" s="1" t="s">
        <v>7346</v>
      </c>
      <c r="BF883" s="2" t="str">
        <f>HYPERLINK("http://dx.doi.org/10.1016/j.ijchp.2016.07.001","http://dx.doi.org/10.1016/j.ijchp.2016.07.001")</f>
        <v>http://dx.doi.org/10.1016/j.ijchp.2016.07.001</v>
      </c>
      <c r="BG883" s="1" t="s">
        <v>74</v>
      </c>
      <c r="BH883" s="1" t="s">
        <v>74</v>
      </c>
      <c r="BI883" s="1" t="s">
        <v>74</v>
      </c>
      <c r="BJ883" s="1" t="s">
        <v>74</v>
      </c>
      <c r="BK883" s="1" t="s">
        <v>74</v>
      </c>
      <c r="BL883" s="1" t="s">
        <v>74</v>
      </c>
      <c r="BM883" s="1" t="s">
        <v>74</v>
      </c>
      <c r="BN883" s="1">
        <v>3.0487869E7</v>
      </c>
      <c r="BO883" s="1" t="s">
        <v>74</v>
      </c>
      <c r="BP883" s="1" t="s">
        <v>74</v>
      </c>
      <c r="BQ883" s="1" t="s">
        <v>74</v>
      </c>
      <c r="BR883" s="1" t="s">
        <v>74</v>
      </c>
      <c r="BS883" s="1" t="s">
        <v>7347</v>
      </c>
      <c r="BT883" s="1" t="str">
        <f>HYPERLINK("https%3A%2F%2Fwww.webofscience.com%2Fwos%2Fwoscc%2Ffull-record%2FWOS:000383933000005","View Full Record in Web of Science")</f>
        <v>View Full Record in Web of Science</v>
      </c>
    </row>
    <row r="884" ht="12.75" customHeight="1">
      <c r="A884" s="1" t="s">
        <v>126</v>
      </c>
      <c r="B884" s="1" t="s">
        <v>7348</v>
      </c>
      <c r="C884" s="1" t="s">
        <v>74</v>
      </c>
      <c r="D884" s="1" t="s">
        <v>74</v>
      </c>
      <c r="E884" s="1" t="s">
        <v>458</v>
      </c>
      <c r="F884" s="1" t="s">
        <v>7349</v>
      </c>
      <c r="G884" s="1" t="s">
        <v>74</v>
      </c>
      <c r="H884" s="1" t="s">
        <v>74</v>
      </c>
      <c r="I884" s="1" t="s">
        <v>7350</v>
      </c>
      <c r="J884" s="1" t="s">
        <v>7351</v>
      </c>
      <c r="K884" s="1" t="s">
        <v>74</v>
      </c>
      <c r="L884" s="1" t="s">
        <v>74</v>
      </c>
      <c r="M884" s="1" t="s">
        <v>74</v>
      </c>
      <c r="N884" s="1" t="s">
        <v>74</v>
      </c>
      <c r="O884" s="1" t="s">
        <v>462</v>
      </c>
      <c r="P884" s="1" t="s">
        <v>7352</v>
      </c>
      <c r="Q884" s="1" t="s">
        <v>7353</v>
      </c>
      <c r="R884" s="1" t="s">
        <v>458</v>
      </c>
      <c r="S884" s="1" t="s">
        <v>74</v>
      </c>
      <c r="T884" s="1" t="s">
        <v>74</v>
      </c>
      <c r="U884" s="1" t="s">
        <v>74</v>
      </c>
      <c r="V884" s="1" t="s">
        <v>7354</v>
      </c>
      <c r="W884" s="1" t="s">
        <v>74</v>
      </c>
      <c r="X884" s="1" t="s">
        <v>74</v>
      </c>
      <c r="Y884" s="1" t="s">
        <v>74</v>
      </c>
      <c r="Z884" s="1" t="s">
        <v>74</v>
      </c>
      <c r="AA884" s="1" t="s">
        <v>74</v>
      </c>
      <c r="AB884" s="1" t="s">
        <v>74</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74</v>
      </c>
      <c r="AP884" s="1" t="s">
        <v>74</v>
      </c>
      <c r="AQ884" s="1" t="s">
        <v>7355</v>
      </c>
      <c r="AR884" s="1" t="s">
        <v>74</v>
      </c>
      <c r="AS884" s="1" t="s">
        <v>74</v>
      </c>
      <c r="AT884" s="1" t="s">
        <v>74</v>
      </c>
      <c r="AU884" s="1">
        <v>2015.0</v>
      </c>
      <c r="AV884" s="1" t="s">
        <v>74</v>
      </c>
      <c r="AW884" s="1" t="s">
        <v>74</v>
      </c>
      <c r="AX884" s="1" t="s">
        <v>74</v>
      </c>
      <c r="AY884" s="1" t="s">
        <v>74</v>
      </c>
      <c r="AZ884" s="1" t="s">
        <v>74</v>
      </c>
      <c r="BA884" s="1" t="s">
        <v>74</v>
      </c>
      <c r="BB884" s="1" t="s">
        <v>74</v>
      </c>
      <c r="BC884" s="1" t="s">
        <v>74</v>
      </c>
      <c r="BD884" s="1" t="s">
        <v>7356</v>
      </c>
      <c r="BE884" s="1" t="s">
        <v>74</v>
      </c>
      <c r="BF884" s="1" t="s">
        <v>74</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7357</v>
      </c>
      <c r="BT884" s="1" t="str">
        <f>HYPERLINK("https%3A%2F%2Fwww.webofscience.com%2Fwos%2Fwoscc%2Ffull-record%2FWOS:000377555200033","View Full Record in Web of Science")</f>
        <v>View Full Record in Web of Science</v>
      </c>
    </row>
    <row r="885" ht="12.75" customHeight="1">
      <c r="A885" s="1" t="s">
        <v>72</v>
      </c>
      <c r="B885" s="1" t="s">
        <v>7358</v>
      </c>
      <c r="C885" s="1" t="s">
        <v>74</v>
      </c>
      <c r="D885" s="1" t="s">
        <v>74</v>
      </c>
      <c r="E885" s="1" t="s">
        <v>74</v>
      </c>
      <c r="F885" s="1" t="s">
        <v>7359</v>
      </c>
      <c r="G885" s="1" t="s">
        <v>74</v>
      </c>
      <c r="H885" s="1" t="s">
        <v>74</v>
      </c>
      <c r="I885" s="1" t="s">
        <v>7360</v>
      </c>
      <c r="J885" s="1" t="s">
        <v>7361</v>
      </c>
      <c r="K885" s="1" t="s">
        <v>74</v>
      </c>
      <c r="L885" s="1" t="s">
        <v>74</v>
      </c>
      <c r="M885" s="1" t="s">
        <v>74</v>
      </c>
      <c r="N885" s="1" t="s">
        <v>74</v>
      </c>
      <c r="O885" s="1" t="s">
        <v>74</v>
      </c>
      <c r="P885" s="1" t="s">
        <v>74</v>
      </c>
      <c r="Q885" s="1" t="s">
        <v>74</v>
      </c>
      <c r="R885" s="1" t="s">
        <v>74</v>
      </c>
      <c r="S885" s="1" t="s">
        <v>74</v>
      </c>
      <c r="T885" s="1" t="s">
        <v>74</v>
      </c>
      <c r="U885" s="1" t="s">
        <v>74</v>
      </c>
      <c r="V885" s="1" t="s">
        <v>7362</v>
      </c>
      <c r="W885" s="1" t="s">
        <v>74</v>
      </c>
      <c r="X885" s="1" t="s">
        <v>74</v>
      </c>
      <c r="Y885" s="1" t="s">
        <v>74</v>
      </c>
      <c r="Z885" s="1" t="s">
        <v>74</v>
      </c>
      <c r="AA885" s="1" t="s">
        <v>7363</v>
      </c>
      <c r="AB885" s="1" t="s">
        <v>7364</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7365</v>
      </c>
      <c r="AP885" s="1" t="s">
        <v>7366</v>
      </c>
      <c r="AQ885" s="1" t="s">
        <v>74</v>
      </c>
      <c r="AR885" s="1" t="s">
        <v>74</v>
      </c>
      <c r="AS885" s="1" t="s">
        <v>74</v>
      </c>
      <c r="AT885" s="1" t="s">
        <v>7367</v>
      </c>
      <c r="AU885" s="1">
        <v>2014.0</v>
      </c>
      <c r="AV885" s="1">
        <v>105.0</v>
      </c>
      <c r="AW885" s="1">
        <v>8.0</v>
      </c>
      <c r="AX885" s="1" t="s">
        <v>74</v>
      </c>
      <c r="AY885" s="1" t="s">
        <v>74</v>
      </c>
      <c r="AZ885" s="1" t="s">
        <v>74</v>
      </c>
      <c r="BA885" s="1" t="s">
        <v>74</v>
      </c>
      <c r="BB885" s="1" t="s">
        <v>74</v>
      </c>
      <c r="BC885" s="1" t="s">
        <v>74</v>
      </c>
      <c r="BD885" s="1">
        <v>82406.0</v>
      </c>
      <c r="BE885" s="1" t="s">
        <v>7368</v>
      </c>
      <c r="BF885" s="2" t="str">
        <f>HYPERLINK("http://dx.doi.org/10.1063/1.4894292","http://dx.doi.org/10.1063/1.4894292")</f>
        <v>http://dx.doi.org/10.1063/1.4894292</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7369</v>
      </c>
      <c r="BT885" s="1" t="str">
        <f>HYPERLINK("https%3A%2F%2Fwww.webofscience.com%2Fwos%2Fwoscc%2Ffull-record%2FWOS:000342753500049","View Full Record in Web of Science")</f>
        <v>View Full Record in Web of Science</v>
      </c>
    </row>
    <row r="886" ht="12.75" customHeight="1">
      <c r="A886" s="1" t="s">
        <v>72</v>
      </c>
      <c r="B886" s="1" t="s">
        <v>7370</v>
      </c>
      <c r="C886" s="1" t="s">
        <v>74</v>
      </c>
      <c r="D886" s="1" t="s">
        <v>74</v>
      </c>
      <c r="E886" s="1" t="s">
        <v>74</v>
      </c>
      <c r="F886" s="1" t="s">
        <v>7371</v>
      </c>
      <c r="G886" s="1" t="s">
        <v>74</v>
      </c>
      <c r="H886" s="1" t="s">
        <v>74</v>
      </c>
      <c r="I886" s="1" t="s">
        <v>7372</v>
      </c>
      <c r="J886" s="1" t="s">
        <v>1119</v>
      </c>
      <c r="K886" s="1" t="s">
        <v>74</v>
      </c>
      <c r="L886" s="1" t="s">
        <v>74</v>
      </c>
      <c r="M886" s="1" t="s">
        <v>74</v>
      </c>
      <c r="N886" s="1" t="s">
        <v>74</v>
      </c>
      <c r="O886" s="1" t="s">
        <v>74</v>
      </c>
      <c r="P886" s="1" t="s">
        <v>74</v>
      </c>
      <c r="Q886" s="1" t="s">
        <v>74</v>
      </c>
      <c r="R886" s="1" t="s">
        <v>74</v>
      </c>
      <c r="S886" s="1" t="s">
        <v>74</v>
      </c>
      <c r="T886" s="1" t="s">
        <v>74</v>
      </c>
      <c r="U886" s="1" t="s">
        <v>74</v>
      </c>
      <c r="V886" s="1" t="s">
        <v>7373</v>
      </c>
      <c r="W886" s="1" t="s">
        <v>74</v>
      </c>
      <c r="X886" s="1" t="s">
        <v>74</v>
      </c>
      <c r="Y886" s="1" t="s">
        <v>74</v>
      </c>
      <c r="Z886" s="1" t="s">
        <v>74</v>
      </c>
      <c r="AA886" s="1" t="s">
        <v>7374</v>
      </c>
      <c r="AB886" s="1" t="s">
        <v>7375</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1123</v>
      </c>
      <c r="AP886" s="1" t="s">
        <v>1124</v>
      </c>
      <c r="AQ886" s="1" t="s">
        <v>74</v>
      </c>
      <c r="AR886" s="1" t="s">
        <v>74</v>
      </c>
      <c r="AS886" s="1" t="s">
        <v>74</v>
      </c>
      <c r="AT886" s="1" t="s">
        <v>818</v>
      </c>
      <c r="AU886" s="1">
        <v>2012.0</v>
      </c>
      <c r="AV886" s="1">
        <v>324.0</v>
      </c>
      <c r="AW886" s="1">
        <v>4.0</v>
      </c>
      <c r="AX886" s="1" t="s">
        <v>74</v>
      </c>
      <c r="AY886" s="1" t="s">
        <v>74</v>
      </c>
      <c r="AZ886" s="1" t="s">
        <v>74</v>
      </c>
      <c r="BA886" s="1" t="s">
        <v>74</v>
      </c>
      <c r="BB886" s="1">
        <v>637.0</v>
      </c>
      <c r="BC886" s="1">
        <v>641.0</v>
      </c>
      <c r="BD886" s="1" t="s">
        <v>74</v>
      </c>
      <c r="BE886" s="1" t="s">
        <v>7376</v>
      </c>
      <c r="BF886" s="2" t="str">
        <f>HYPERLINK("http://dx.doi.org/10.1016/j.jmmm.2011.09.001","http://dx.doi.org/10.1016/j.jmmm.2011.09.001")</f>
        <v>http://dx.doi.org/10.1016/j.jmmm.2011.09.001</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7377</v>
      </c>
      <c r="BT886" s="1" t="str">
        <f>HYPERLINK("https%3A%2F%2Fwww.webofscience.com%2Fwos%2Fwoscc%2Ffull-record%2FWOS:000296536700045","View Full Record in Web of Science")</f>
        <v>View Full Record in Web of Science</v>
      </c>
    </row>
    <row r="887" ht="12.75" customHeight="1">
      <c r="A887" s="1" t="s">
        <v>72</v>
      </c>
      <c r="B887" s="1" t="s">
        <v>7378</v>
      </c>
      <c r="C887" s="1" t="s">
        <v>74</v>
      </c>
      <c r="D887" s="1" t="s">
        <v>74</v>
      </c>
      <c r="E887" s="1" t="s">
        <v>74</v>
      </c>
      <c r="F887" s="1" t="s">
        <v>7379</v>
      </c>
      <c r="G887" s="1" t="s">
        <v>74</v>
      </c>
      <c r="H887" s="1" t="s">
        <v>74</v>
      </c>
      <c r="I887" s="1" t="s">
        <v>7380</v>
      </c>
      <c r="J887" s="1" t="s">
        <v>1119</v>
      </c>
      <c r="K887" s="1" t="s">
        <v>74</v>
      </c>
      <c r="L887" s="1" t="s">
        <v>74</v>
      </c>
      <c r="M887" s="1" t="s">
        <v>74</v>
      </c>
      <c r="N887" s="1" t="s">
        <v>74</v>
      </c>
      <c r="O887" s="1" t="s">
        <v>74</v>
      </c>
      <c r="P887" s="1" t="s">
        <v>74</v>
      </c>
      <c r="Q887" s="1" t="s">
        <v>74</v>
      </c>
      <c r="R887" s="1" t="s">
        <v>74</v>
      </c>
      <c r="S887" s="1" t="s">
        <v>74</v>
      </c>
      <c r="T887" s="1" t="s">
        <v>74</v>
      </c>
      <c r="U887" s="1" t="s">
        <v>74</v>
      </c>
      <c r="V887" s="1" t="s">
        <v>7381</v>
      </c>
      <c r="W887" s="1" t="s">
        <v>74</v>
      </c>
      <c r="X887" s="1" t="s">
        <v>74</v>
      </c>
      <c r="Y887" s="1" t="s">
        <v>74</v>
      </c>
      <c r="Z887" s="1" t="s">
        <v>74</v>
      </c>
      <c r="AA887" s="1" t="s">
        <v>7382</v>
      </c>
      <c r="AB887" s="1" t="s">
        <v>7383</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1123</v>
      </c>
      <c r="AP887" s="1" t="s">
        <v>1124</v>
      </c>
      <c r="AQ887" s="1" t="s">
        <v>74</v>
      </c>
      <c r="AR887" s="1" t="s">
        <v>74</v>
      </c>
      <c r="AS887" s="1" t="s">
        <v>74</v>
      </c>
      <c r="AT887" s="1" t="s">
        <v>171</v>
      </c>
      <c r="AU887" s="1">
        <v>2011.0</v>
      </c>
      <c r="AV887" s="1">
        <v>323.0</v>
      </c>
      <c r="AW887" s="1">
        <v>11.0</v>
      </c>
      <c r="AX887" s="1" t="s">
        <v>74</v>
      </c>
      <c r="AY887" s="1" t="s">
        <v>74</v>
      </c>
      <c r="AZ887" s="1" t="s">
        <v>74</v>
      </c>
      <c r="BA887" s="1" t="s">
        <v>74</v>
      </c>
      <c r="BB887" s="1">
        <v>1563.0</v>
      </c>
      <c r="BC887" s="1">
        <v>1567.0</v>
      </c>
      <c r="BD887" s="1" t="s">
        <v>74</v>
      </c>
      <c r="BE887" s="1" t="s">
        <v>7384</v>
      </c>
      <c r="BF887" s="2" t="str">
        <f>HYPERLINK("http://dx.doi.org/10.1016/j.jmmm.2011.01.019","http://dx.doi.org/10.1016/j.jmmm.2011.01.019")</f>
        <v>http://dx.doi.org/10.1016/j.jmmm.2011.01.019</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7385</v>
      </c>
      <c r="BT887" s="1" t="str">
        <f>HYPERLINK("https%3A%2F%2Fwww.webofscience.com%2Fwos%2Fwoscc%2Ffull-record%2FWOS:000287739200023","View Full Record in Web of Science")</f>
        <v>View Full Record in Web of Science</v>
      </c>
    </row>
    <row r="888" ht="12.75" customHeight="1">
      <c r="A888" s="1" t="s">
        <v>72</v>
      </c>
      <c r="B888" s="1" t="s">
        <v>7386</v>
      </c>
      <c r="C888" s="1" t="s">
        <v>74</v>
      </c>
      <c r="D888" s="1" t="s">
        <v>74</v>
      </c>
      <c r="E888" s="1" t="s">
        <v>74</v>
      </c>
      <c r="F888" s="1" t="s">
        <v>7387</v>
      </c>
      <c r="G888" s="1" t="s">
        <v>74</v>
      </c>
      <c r="H888" s="1" t="s">
        <v>74</v>
      </c>
      <c r="I888" s="1" t="s">
        <v>7388</v>
      </c>
      <c r="J888" s="1" t="s">
        <v>680</v>
      </c>
      <c r="K888" s="1" t="s">
        <v>74</v>
      </c>
      <c r="L888" s="1" t="s">
        <v>74</v>
      </c>
      <c r="M888" s="1" t="s">
        <v>74</v>
      </c>
      <c r="N888" s="1" t="s">
        <v>74</v>
      </c>
      <c r="O888" s="1" t="s">
        <v>74</v>
      </c>
      <c r="P888" s="1" t="s">
        <v>74</v>
      </c>
      <c r="Q888" s="1" t="s">
        <v>74</v>
      </c>
      <c r="R888" s="1" t="s">
        <v>74</v>
      </c>
      <c r="S888" s="1" t="s">
        <v>74</v>
      </c>
      <c r="T888" s="1" t="s">
        <v>74</v>
      </c>
      <c r="U888" s="1" t="s">
        <v>74</v>
      </c>
      <c r="V888" s="1" t="s">
        <v>7389</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684</v>
      </c>
      <c r="AP888" s="1" t="s">
        <v>74</v>
      </c>
      <c r="AQ888" s="1" t="s">
        <v>74</v>
      </c>
      <c r="AR888" s="1" t="s">
        <v>74</v>
      </c>
      <c r="AS888" s="1" t="s">
        <v>74</v>
      </c>
      <c r="AT888" s="1" t="s">
        <v>74</v>
      </c>
      <c r="AU888" s="1">
        <v>2008.0</v>
      </c>
      <c r="AV888" s="1">
        <v>41.0</v>
      </c>
      <c r="AW888" s="1">
        <v>4.0</v>
      </c>
      <c r="AX888" s="1" t="s">
        <v>74</v>
      </c>
      <c r="AY888" s="1" t="s">
        <v>74</v>
      </c>
      <c r="AZ888" s="1" t="s">
        <v>74</v>
      </c>
      <c r="BA888" s="1" t="s">
        <v>74</v>
      </c>
      <c r="BB888" s="1">
        <v>405.0</v>
      </c>
      <c r="BC888" s="1">
        <v>412.0</v>
      </c>
      <c r="BD888" s="1" t="s">
        <v>74</v>
      </c>
      <c r="BE888" s="1" t="s">
        <v>74</v>
      </c>
      <c r="BF888" s="1" t="s">
        <v>74</v>
      </c>
      <c r="BG888" s="1" t="s">
        <v>74</v>
      </c>
      <c r="BH888" s="1" t="s">
        <v>74</v>
      </c>
      <c r="BI888" s="1" t="s">
        <v>74</v>
      </c>
      <c r="BJ888" s="1" t="s">
        <v>74</v>
      </c>
      <c r="BK888" s="1" t="s">
        <v>74</v>
      </c>
      <c r="BL888" s="1" t="s">
        <v>74</v>
      </c>
      <c r="BM888" s="1" t="s">
        <v>74</v>
      </c>
      <c r="BN888" s="1">
        <v>1.9621121E7</v>
      </c>
      <c r="BO888" s="1" t="s">
        <v>74</v>
      </c>
      <c r="BP888" s="1" t="s">
        <v>74</v>
      </c>
      <c r="BQ888" s="1" t="s">
        <v>74</v>
      </c>
      <c r="BR888" s="1" t="s">
        <v>74</v>
      </c>
      <c r="BS888" s="1" t="s">
        <v>7390</v>
      </c>
      <c r="BT888" s="1" t="str">
        <f>HYPERLINK("https%3A%2F%2Fwww.webofscience.com%2Fwos%2Fwoscc%2Ffull-record%2FWOS:000264574400006","View Full Record in Web of Science")</f>
        <v>View Full Record in Web of Science</v>
      </c>
    </row>
    <row r="889" ht="12.75" customHeight="1">
      <c r="A889" s="1" t="s">
        <v>72</v>
      </c>
      <c r="B889" s="1" t="s">
        <v>7391</v>
      </c>
      <c r="C889" s="1" t="s">
        <v>74</v>
      </c>
      <c r="D889" s="1" t="s">
        <v>74</v>
      </c>
      <c r="E889" s="1" t="s">
        <v>74</v>
      </c>
      <c r="F889" s="1" t="s">
        <v>7391</v>
      </c>
      <c r="G889" s="1" t="s">
        <v>74</v>
      </c>
      <c r="H889" s="1" t="s">
        <v>74</v>
      </c>
      <c r="I889" s="1" t="s">
        <v>7392</v>
      </c>
      <c r="J889" s="1" t="s">
        <v>7393</v>
      </c>
      <c r="K889" s="1" t="s">
        <v>74</v>
      </c>
      <c r="L889" s="1" t="s">
        <v>74</v>
      </c>
      <c r="M889" s="1" t="s">
        <v>74</v>
      </c>
      <c r="N889" s="1" t="s">
        <v>74</v>
      </c>
      <c r="O889" s="1" t="s">
        <v>74</v>
      </c>
      <c r="P889" s="1" t="s">
        <v>74</v>
      </c>
      <c r="Q889" s="1" t="s">
        <v>74</v>
      </c>
      <c r="R889" s="1" t="s">
        <v>74</v>
      </c>
      <c r="S889" s="1" t="s">
        <v>74</v>
      </c>
      <c r="T889" s="1" t="s">
        <v>74</v>
      </c>
      <c r="U889" s="1" t="s">
        <v>74</v>
      </c>
      <c r="V889" s="1" t="s">
        <v>7394</v>
      </c>
      <c r="W889" s="1" t="s">
        <v>74</v>
      </c>
      <c r="X889" s="1" t="s">
        <v>74</v>
      </c>
      <c r="Y889" s="1" t="s">
        <v>74</v>
      </c>
      <c r="Z889" s="1" t="s">
        <v>74</v>
      </c>
      <c r="AA889" s="1" t="s">
        <v>6896</v>
      </c>
      <c r="AB889" s="1" t="s">
        <v>7395</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7396</v>
      </c>
      <c r="AP889" s="1" t="s">
        <v>7397</v>
      </c>
      <c r="AQ889" s="1" t="s">
        <v>74</v>
      </c>
      <c r="AR889" s="1" t="s">
        <v>74</v>
      </c>
      <c r="AS889" s="1" t="s">
        <v>74</v>
      </c>
      <c r="AT889" s="1" t="s">
        <v>91</v>
      </c>
      <c r="AU889" s="1">
        <v>2005.0</v>
      </c>
      <c r="AV889" s="1">
        <v>39.0</v>
      </c>
      <c r="AW889" s="1">
        <v>7.0</v>
      </c>
      <c r="AX889" s="1" t="s">
        <v>74</v>
      </c>
      <c r="AY889" s="1" t="s">
        <v>74</v>
      </c>
      <c r="AZ889" s="1" t="s">
        <v>74</v>
      </c>
      <c r="BA889" s="1" t="s">
        <v>74</v>
      </c>
      <c r="BB889" s="1">
        <v>729.0</v>
      </c>
      <c r="BC889" s="1">
        <v>736.0</v>
      </c>
      <c r="BD889" s="1" t="s">
        <v>74</v>
      </c>
      <c r="BE889" s="1" t="s">
        <v>7398</v>
      </c>
      <c r="BF889" s="2" t="str">
        <f>HYPERLINK("http://dx.doi.org/10.1080/10715760500143452","http://dx.doi.org/10.1080/10715760500143452")</f>
        <v>http://dx.doi.org/10.1080/10715760500143452</v>
      </c>
      <c r="BG889" s="1" t="s">
        <v>74</v>
      </c>
      <c r="BH889" s="1" t="s">
        <v>74</v>
      </c>
      <c r="BI889" s="1" t="s">
        <v>74</v>
      </c>
      <c r="BJ889" s="1" t="s">
        <v>74</v>
      </c>
      <c r="BK889" s="1" t="s">
        <v>74</v>
      </c>
      <c r="BL889" s="1" t="s">
        <v>74</v>
      </c>
      <c r="BM889" s="1" t="s">
        <v>74</v>
      </c>
      <c r="BN889" s="1">
        <v>1.6036352E7</v>
      </c>
      <c r="BO889" s="1" t="s">
        <v>74</v>
      </c>
      <c r="BP889" s="1" t="s">
        <v>74</v>
      </c>
      <c r="BQ889" s="1" t="s">
        <v>74</v>
      </c>
      <c r="BR889" s="1" t="s">
        <v>74</v>
      </c>
      <c r="BS889" s="1" t="s">
        <v>7399</v>
      </c>
      <c r="BT889" s="1" t="str">
        <f>HYPERLINK("https%3A%2F%2Fwww.webofscience.com%2Fwos%2Fwoscc%2Ffull-record%2FWOS:000230614400007","View Full Record in Web of Science")</f>
        <v>View Full Record in Web of Science</v>
      </c>
    </row>
    <row r="890" ht="12.75" customHeight="1">
      <c r="A890" s="1" t="s">
        <v>72</v>
      </c>
      <c r="B890" s="1" t="s">
        <v>7400</v>
      </c>
      <c r="C890" s="1" t="s">
        <v>74</v>
      </c>
      <c r="D890" s="1" t="s">
        <v>74</v>
      </c>
      <c r="E890" s="1" t="s">
        <v>74</v>
      </c>
      <c r="F890" s="1" t="s">
        <v>7400</v>
      </c>
      <c r="G890" s="1" t="s">
        <v>74</v>
      </c>
      <c r="H890" s="1" t="s">
        <v>74</v>
      </c>
      <c r="I890" s="1" t="s">
        <v>7401</v>
      </c>
      <c r="J890" s="1" t="s">
        <v>698</v>
      </c>
      <c r="K890" s="1" t="s">
        <v>74</v>
      </c>
      <c r="L890" s="1" t="s">
        <v>74</v>
      </c>
      <c r="M890" s="1" t="s">
        <v>74</v>
      </c>
      <c r="N890" s="1" t="s">
        <v>74</v>
      </c>
      <c r="O890" s="1" t="s">
        <v>74</v>
      </c>
      <c r="P890" s="1" t="s">
        <v>74</v>
      </c>
      <c r="Q890" s="1" t="s">
        <v>74</v>
      </c>
      <c r="R890" s="1" t="s">
        <v>74</v>
      </c>
      <c r="S890" s="1" t="s">
        <v>74</v>
      </c>
      <c r="T890" s="1" t="s">
        <v>74</v>
      </c>
      <c r="U890" s="1" t="s">
        <v>74</v>
      </c>
      <c r="V890" s="1" t="s">
        <v>7402</v>
      </c>
      <c r="W890" s="1" t="s">
        <v>74</v>
      </c>
      <c r="X890" s="1" t="s">
        <v>74</v>
      </c>
      <c r="Y890" s="1" t="s">
        <v>74</v>
      </c>
      <c r="Z890" s="1" t="s">
        <v>74</v>
      </c>
      <c r="AA890" s="1" t="s">
        <v>74</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2256</v>
      </c>
      <c r="AP890" s="1" t="s">
        <v>74</v>
      </c>
      <c r="AQ890" s="1" t="s">
        <v>74</v>
      </c>
      <c r="AR890" s="1" t="s">
        <v>74</v>
      </c>
      <c r="AS890" s="1" t="s">
        <v>74</v>
      </c>
      <c r="AT890" s="1" t="s">
        <v>158</v>
      </c>
      <c r="AU890" s="1">
        <v>2003.0</v>
      </c>
      <c r="AV890" s="1">
        <v>48.0</v>
      </c>
      <c r="AW890" s="1">
        <v>3.0</v>
      </c>
      <c r="AX890" s="1" t="s">
        <v>74</v>
      </c>
      <c r="AY890" s="1" t="s">
        <v>74</v>
      </c>
      <c r="AZ890" s="1" t="s">
        <v>74</v>
      </c>
      <c r="BA890" s="1" t="s">
        <v>74</v>
      </c>
      <c r="BB890" s="1">
        <v>57.0</v>
      </c>
      <c r="BC890" s="1">
        <v>59.0</v>
      </c>
      <c r="BD890" s="1" t="s">
        <v>74</v>
      </c>
      <c r="BE890" s="1" t="s">
        <v>74</v>
      </c>
      <c r="BF890" s="1" t="s">
        <v>74</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7403</v>
      </c>
      <c r="BT890" s="1" t="str">
        <f>HYPERLINK("https%3A%2F%2Fwww.webofscience.com%2Fwos%2Fwoscc%2Ffull-record%2FWOS:000185071000011","View Full Record in Web of Science")</f>
        <v>View Full Record in Web of Science</v>
      </c>
    </row>
    <row r="891" ht="12.75" customHeight="1">
      <c r="A891" s="1" t="s">
        <v>72</v>
      </c>
      <c r="B891" s="1" t="s">
        <v>7404</v>
      </c>
      <c r="C891" s="1" t="s">
        <v>74</v>
      </c>
      <c r="D891" s="1" t="s">
        <v>74</v>
      </c>
      <c r="E891" s="1" t="s">
        <v>74</v>
      </c>
      <c r="F891" s="1" t="s">
        <v>7404</v>
      </c>
      <c r="G891" s="1" t="s">
        <v>74</v>
      </c>
      <c r="H891" s="1" t="s">
        <v>74</v>
      </c>
      <c r="I891" s="1" t="s">
        <v>7405</v>
      </c>
      <c r="J891" s="1" t="s">
        <v>6236</v>
      </c>
      <c r="K891" s="1" t="s">
        <v>74</v>
      </c>
      <c r="L891" s="1" t="s">
        <v>74</v>
      </c>
      <c r="M891" s="1" t="s">
        <v>74</v>
      </c>
      <c r="N891" s="1" t="s">
        <v>74</v>
      </c>
      <c r="O891" s="1" t="s">
        <v>74</v>
      </c>
      <c r="P891" s="1" t="s">
        <v>74</v>
      </c>
      <c r="Q891" s="1" t="s">
        <v>74</v>
      </c>
      <c r="R891" s="1" t="s">
        <v>74</v>
      </c>
      <c r="S891" s="1" t="s">
        <v>74</v>
      </c>
      <c r="T891" s="1" t="s">
        <v>74</v>
      </c>
      <c r="U891" s="1" t="s">
        <v>74</v>
      </c>
      <c r="V891" s="1" t="s">
        <v>7406</v>
      </c>
      <c r="W891" s="1" t="s">
        <v>74</v>
      </c>
      <c r="X891" s="1" t="s">
        <v>74</v>
      </c>
      <c r="Y891" s="1" t="s">
        <v>74</v>
      </c>
      <c r="Z891" s="1" t="s">
        <v>74</v>
      </c>
      <c r="AA891" s="1" t="s">
        <v>450</v>
      </c>
      <c r="AB891" s="1" t="s">
        <v>74</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6238</v>
      </c>
      <c r="AP891" s="1" t="s">
        <v>74</v>
      </c>
      <c r="AQ891" s="1" t="s">
        <v>74</v>
      </c>
      <c r="AR891" s="1" t="s">
        <v>74</v>
      </c>
      <c r="AS891" s="1" t="s">
        <v>74</v>
      </c>
      <c r="AT891" s="1" t="s">
        <v>74</v>
      </c>
      <c r="AU891" s="1">
        <v>2003.0</v>
      </c>
      <c r="AV891" s="1">
        <v>86.0</v>
      </c>
      <c r="AW891" s="1">
        <v>10.0</v>
      </c>
      <c r="AX891" s="1" t="s">
        <v>74</v>
      </c>
      <c r="AY891" s="1" t="s">
        <v>74</v>
      </c>
      <c r="AZ891" s="1" t="s">
        <v>74</v>
      </c>
      <c r="BA891" s="1" t="s">
        <v>74</v>
      </c>
      <c r="BB891" s="1">
        <v>3363.0</v>
      </c>
      <c r="BC891" s="1">
        <v>3375.0</v>
      </c>
      <c r="BD891" s="1" t="s">
        <v>74</v>
      </c>
      <c r="BE891" s="1" t="s">
        <v>7407</v>
      </c>
      <c r="BF891" s="2" t="str">
        <f>HYPERLINK("http://dx.doi.org/10.1002/hlca.200390279","http://dx.doi.org/10.1002/hlca.200390279")</f>
        <v>http://dx.doi.org/10.1002/hlca.200390279</v>
      </c>
      <c r="BG891" s="1" t="s">
        <v>74</v>
      </c>
      <c r="BH891" s="1" t="s">
        <v>74</v>
      </c>
      <c r="BI891" s="1" t="s">
        <v>74</v>
      </c>
      <c r="BJ891" s="1" t="s">
        <v>74</v>
      </c>
      <c r="BK891" s="1" t="s">
        <v>74</v>
      </c>
      <c r="BL891" s="1" t="s">
        <v>74</v>
      </c>
      <c r="BM891" s="1" t="s">
        <v>74</v>
      </c>
      <c r="BN891" s="1" t="s">
        <v>74</v>
      </c>
      <c r="BO891" s="1" t="s">
        <v>74</v>
      </c>
      <c r="BP891" s="1" t="s">
        <v>74</v>
      </c>
      <c r="BQ891" s="1" t="s">
        <v>74</v>
      </c>
      <c r="BR891" s="1" t="s">
        <v>74</v>
      </c>
      <c r="BS891" s="1" t="s">
        <v>7408</v>
      </c>
      <c r="BT891" s="1" t="str">
        <f>HYPERLINK("https%3A%2F%2Fwww.webofscience.com%2Fwos%2Fwoscc%2Ffull-record%2FWOS:000186446800014","View Full Record in Web of Science")</f>
        <v>View Full Record in Web of Science</v>
      </c>
    </row>
    <row r="892" ht="12.75" customHeight="1">
      <c r="A892" s="1" t="s">
        <v>72</v>
      </c>
      <c r="B892" s="1" t="s">
        <v>7409</v>
      </c>
      <c r="C892" s="1" t="s">
        <v>74</v>
      </c>
      <c r="D892" s="1" t="s">
        <v>74</v>
      </c>
      <c r="E892" s="1" t="s">
        <v>74</v>
      </c>
      <c r="F892" s="1" t="s">
        <v>7410</v>
      </c>
      <c r="G892" s="1" t="s">
        <v>74</v>
      </c>
      <c r="H892" s="1" t="s">
        <v>74</v>
      </c>
      <c r="I892" s="1" t="s">
        <v>7411</v>
      </c>
      <c r="J892" s="1" t="s">
        <v>7412</v>
      </c>
      <c r="K892" s="1" t="s">
        <v>74</v>
      </c>
      <c r="L892" s="1" t="s">
        <v>74</v>
      </c>
      <c r="M892" s="1" t="s">
        <v>74</v>
      </c>
      <c r="N892" s="1" t="s">
        <v>74</v>
      </c>
      <c r="O892" s="1" t="s">
        <v>74</v>
      </c>
      <c r="P892" s="1" t="s">
        <v>74</v>
      </c>
      <c r="Q892" s="1" t="s">
        <v>74</v>
      </c>
      <c r="R892" s="1" t="s">
        <v>74</v>
      </c>
      <c r="S892" s="1" t="s">
        <v>74</v>
      </c>
      <c r="T892" s="1" t="s">
        <v>74</v>
      </c>
      <c r="U892" s="1" t="s">
        <v>74</v>
      </c>
      <c r="V892" s="1" t="s">
        <v>7413</v>
      </c>
      <c r="W892" s="1" t="s">
        <v>74</v>
      </c>
      <c r="X892" s="1" t="s">
        <v>74</v>
      </c>
      <c r="Y892" s="1" t="s">
        <v>74</v>
      </c>
      <c r="Z892" s="1" t="s">
        <v>74</v>
      </c>
      <c r="AA892" s="1" t="s">
        <v>7414</v>
      </c>
      <c r="AB892" s="1" t="s">
        <v>7415</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7416</v>
      </c>
      <c r="AP892" s="1" t="s">
        <v>7417</v>
      </c>
      <c r="AQ892" s="1" t="s">
        <v>74</v>
      </c>
      <c r="AR892" s="1" t="s">
        <v>74</v>
      </c>
      <c r="AS892" s="1" t="s">
        <v>74</v>
      </c>
      <c r="AT892" s="1" t="s">
        <v>847</v>
      </c>
      <c r="AU892" s="1">
        <v>2023.0</v>
      </c>
      <c r="AV892" s="1">
        <v>87.0</v>
      </c>
      <c r="AW892" s="1">
        <v>10.0</v>
      </c>
      <c r="AX892" s="1" t="s">
        <v>74</v>
      </c>
      <c r="AY892" s="1" t="s">
        <v>74</v>
      </c>
      <c r="AZ892" s="1" t="s">
        <v>74</v>
      </c>
      <c r="BA892" s="1" t="s">
        <v>74</v>
      </c>
      <c r="BB892" s="1">
        <v>2416.0</v>
      </c>
      <c r="BC892" s="1">
        <v>2431.0</v>
      </c>
      <c r="BD892" s="1" t="s">
        <v>74</v>
      </c>
      <c r="BE892" s="1" t="s">
        <v>7418</v>
      </c>
      <c r="BF892" s="2" t="str">
        <f>HYPERLINK("http://dx.doi.org/10.2166/wst.2023.132","http://dx.doi.org/10.2166/wst.2023.132")</f>
        <v>http://dx.doi.org/10.2166/wst.2023.132</v>
      </c>
      <c r="BG892" s="1" t="s">
        <v>74</v>
      </c>
      <c r="BH892" s="1" t="s">
        <v>3454</v>
      </c>
      <c r="BI892" s="1" t="s">
        <v>74</v>
      </c>
      <c r="BJ892" s="1" t="s">
        <v>74</v>
      </c>
      <c r="BK892" s="1" t="s">
        <v>74</v>
      </c>
      <c r="BL892" s="1" t="s">
        <v>74</v>
      </c>
      <c r="BM892" s="1" t="s">
        <v>74</v>
      </c>
      <c r="BN892" s="1">
        <v>3.72571E7</v>
      </c>
      <c r="BO892" s="1" t="s">
        <v>74</v>
      </c>
      <c r="BP892" s="1" t="s">
        <v>74</v>
      </c>
      <c r="BQ892" s="1" t="s">
        <v>74</v>
      </c>
      <c r="BR892" s="1" t="s">
        <v>74</v>
      </c>
      <c r="BS892" s="1" t="s">
        <v>7419</v>
      </c>
      <c r="BT892" s="1" t="str">
        <f>HYPERLINK("https%3A%2F%2Fwww.webofscience.com%2Fwos%2Fwoscc%2Ffull-record%2FWOS:000980657000001","View Full Record in Web of Science")</f>
        <v>View Full Record in Web of Science</v>
      </c>
    </row>
    <row r="893" ht="12.75" customHeight="1">
      <c r="A893" s="1" t="s">
        <v>72</v>
      </c>
      <c r="B893" s="1" t="s">
        <v>7420</v>
      </c>
      <c r="C893" s="1" t="s">
        <v>74</v>
      </c>
      <c r="D893" s="1" t="s">
        <v>74</v>
      </c>
      <c r="E893" s="1" t="s">
        <v>74</v>
      </c>
      <c r="F893" s="1" t="s">
        <v>7421</v>
      </c>
      <c r="G893" s="1" t="s">
        <v>74</v>
      </c>
      <c r="H893" s="1" t="s">
        <v>74</v>
      </c>
      <c r="I893" s="1" t="s">
        <v>7422</v>
      </c>
      <c r="J893" s="1" t="s">
        <v>7423</v>
      </c>
      <c r="K893" s="1" t="s">
        <v>74</v>
      </c>
      <c r="L893" s="1" t="s">
        <v>74</v>
      </c>
      <c r="M893" s="1" t="s">
        <v>74</v>
      </c>
      <c r="N893" s="1" t="s">
        <v>74</v>
      </c>
      <c r="O893" s="1" t="s">
        <v>74</v>
      </c>
      <c r="P893" s="1" t="s">
        <v>74</v>
      </c>
      <c r="Q893" s="1" t="s">
        <v>74</v>
      </c>
      <c r="R893" s="1" t="s">
        <v>74</v>
      </c>
      <c r="S893" s="1" t="s">
        <v>74</v>
      </c>
      <c r="T893" s="1" t="s">
        <v>74</v>
      </c>
      <c r="U893" s="1" t="s">
        <v>74</v>
      </c>
      <c r="V893" s="1" t="s">
        <v>7424</v>
      </c>
      <c r="W893" s="1" t="s">
        <v>74</v>
      </c>
      <c r="X893" s="1" t="s">
        <v>74</v>
      </c>
      <c r="Y893" s="1" t="s">
        <v>74</v>
      </c>
      <c r="Z893" s="1" t="s">
        <v>74</v>
      </c>
      <c r="AA893" s="1" t="s">
        <v>7425</v>
      </c>
      <c r="AB893" s="1" t="s">
        <v>7426</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74</v>
      </c>
      <c r="AP893" s="1" t="s">
        <v>7427</v>
      </c>
      <c r="AQ893" s="1" t="s">
        <v>74</v>
      </c>
      <c r="AR893" s="1" t="s">
        <v>74</v>
      </c>
      <c r="AS893" s="1" t="s">
        <v>74</v>
      </c>
      <c r="AT893" s="1" t="s">
        <v>82</v>
      </c>
      <c r="AU893" s="1">
        <v>2021.0</v>
      </c>
      <c r="AV893" s="1">
        <v>10.0</v>
      </c>
      <c r="AW893" s="1">
        <v>12.0</v>
      </c>
      <c r="AX893" s="1" t="s">
        <v>74</v>
      </c>
      <c r="AY893" s="1" t="s">
        <v>74</v>
      </c>
      <c r="AZ893" s="1" t="s">
        <v>74</v>
      </c>
      <c r="BA893" s="1" t="s">
        <v>74</v>
      </c>
      <c r="BB893" s="1" t="s">
        <v>74</v>
      </c>
      <c r="BC893" s="1" t="s">
        <v>74</v>
      </c>
      <c r="BD893" s="1">
        <v>1976.0</v>
      </c>
      <c r="BE893" s="1" t="s">
        <v>7428</v>
      </c>
      <c r="BF893" s="2" t="str">
        <f>HYPERLINK("http://dx.doi.org/10.3390/antiox10121976","http://dx.doi.org/10.3390/antiox10121976")</f>
        <v>http://dx.doi.org/10.3390/antiox10121976</v>
      </c>
      <c r="BG893" s="1" t="s">
        <v>74</v>
      </c>
      <c r="BH893" s="1" t="s">
        <v>74</v>
      </c>
      <c r="BI893" s="1" t="s">
        <v>74</v>
      </c>
      <c r="BJ893" s="1" t="s">
        <v>74</v>
      </c>
      <c r="BK893" s="1" t="s">
        <v>74</v>
      </c>
      <c r="BL893" s="1" t="s">
        <v>74</v>
      </c>
      <c r="BM893" s="1" t="s">
        <v>74</v>
      </c>
      <c r="BN893" s="1">
        <v>3.4943079E7</v>
      </c>
      <c r="BO893" s="1" t="s">
        <v>74</v>
      </c>
      <c r="BP893" s="1" t="s">
        <v>74</v>
      </c>
      <c r="BQ893" s="1" t="s">
        <v>74</v>
      </c>
      <c r="BR893" s="1" t="s">
        <v>74</v>
      </c>
      <c r="BS893" s="1" t="s">
        <v>7429</v>
      </c>
      <c r="BT893" s="1" t="str">
        <f>HYPERLINK("https%3A%2F%2Fwww.webofscience.com%2Fwos%2Fwoscc%2Ffull-record%2FWOS:000735842000001","View Full Record in Web of Science")</f>
        <v>View Full Record in Web of Science</v>
      </c>
    </row>
    <row r="894" ht="12.75" customHeight="1">
      <c r="A894" s="1" t="s">
        <v>105</v>
      </c>
      <c r="B894" s="1" t="s">
        <v>7430</v>
      </c>
      <c r="C894" s="1" t="s">
        <v>74</v>
      </c>
      <c r="D894" s="1" t="s">
        <v>1969</v>
      </c>
      <c r="E894" s="1" t="s">
        <v>74</v>
      </c>
      <c r="F894" s="1" t="s">
        <v>7431</v>
      </c>
      <c r="G894" s="1" t="s">
        <v>74</v>
      </c>
      <c r="H894" s="1" t="s">
        <v>74</v>
      </c>
      <c r="I894" s="1" t="s">
        <v>7432</v>
      </c>
      <c r="J894" s="1" t="s">
        <v>1972</v>
      </c>
      <c r="K894" s="1" t="s">
        <v>74</v>
      </c>
      <c r="L894" s="1" t="s">
        <v>74</v>
      </c>
      <c r="M894" s="1" t="s">
        <v>74</v>
      </c>
      <c r="N894" s="1" t="s">
        <v>74</v>
      </c>
      <c r="O894" s="1" t="s">
        <v>74</v>
      </c>
      <c r="P894" s="1" t="s">
        <v>74</v>
      </c>
      <c r="Q894" s="1" t="s">
        <v>74</v>
      </c>
      <c r="R894" s="1" t="s">
        <v>74</v>
      </c>
      <c r="S894" s="1" t="s">
        <v>74</v>
      </c>
      <c r="T894" s="1" t="s">
        <v>74</v>
      </c>
      <c r="U894" s="1" t="s">
        <v>74</v>
      </c>
      <c r="V894" s="1" t="s">
        <v>74</v>
      </c>
      <c r="W894" s="1" t="s">
        <v>74</v>
      </c>
      <c r="X894" s="1" t="s">
        <v>74</v>
      </c>
      <c r="Y894" s="1" t="s">
        <v>74</v>
      </c>
      <c r="Z894" s="1" t="s">
        <v>74</v>
      </c>
      <c r="AA894" s="1" t="s">
        <v>74</v>
      </c>
      <c r="AB894" s="1" t="s">
        <v>74</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74</v>
      </c>
      <c r="AP894" s="1" t="s">
        <v>74</v>
      </c>
      <c r="AQ894" s="1" t="s">
        <v>1974</v>
      </c>
      <c r="AR894" s="1" t="s">
        <v>74</v>
      </c>
      <c r="AS894" s="1" t="s">
        <v>74</v>
      </c>
      <c r="AT894" s="1" t="s">
        <v>74</v>
      </c>
      <c r="AU894" s="1">
        <v>2021.0</v>
      </c>
      <c r="AV894" s="1" t="s">
        <v>74</v>
      </c>
      <c r="AW894" s="1" t="s">
        <v>74</v>
      </c>
      <c r="AX894" s="1" t="s">
        <v>74</v>
      </c>
      <c r="AY894" s="1" t="s">
        <v>74</v>
      </c>
      <c r="AZ894" s="1" t="s">
        <v>74</v>
      </c>
      <c r="BA894" s="1" t="s">
        <v>74</v>
      </c>
      <c r="BB894" s="1">
        <v>53.0</v>
      </c>
      <c r="BC894" s="1">
        <v>76.0</v>
      </c>
      <c r="BD894" s="1" t="s">
        <v>74</v>
      </c>
      <c r="BE894" s="1" t="s">
        <v>74</v>
      </c>
      <c r="BF894" s="1" t="s">
        <v>74</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7433</v>
      </c>
      <c r="BT894" s="1" t="str">
        <f>HYPERLINK("https%3A%2F%2Fwww.webofscience.com%2Fwos%2Fwoscc%2Ffull-record%2FWOS:000651158400004","View Full Record in Web of Science")</f>
        <v>View Full Record in Web of Science</v>
      </c>
    </row>
    <row r="895" ht="12.75" customHeight="1">
      <c r="A895" s="1" t="s">
        <v>72</v>
      </c>
      <c r="B895" s="1" t="s">
        <v>3503</v>
      </c>
      <c r="C895" s="1" t="s">
        <v>74</v>
      </c>
      <c r="D895" s="1" t="s">
        <v>74</v>
      </c>
      <c r="E895" s="1" t="s">
        <v>74</v>
      </c>
      <c r="F895" s="1" t="s">
        <v>7434</v>
      </c>
      <c r="G895" s="1" t="s">
        <v>74</v>
      </c>
      <c r="H895" s="1" t="s">
        <v>74</v>
      </c>
      <c r="I895" s="1" t="s">
        <v>7435</v>
      </c>
      <c r="J895" s="1" t="s">
        <v>1889</v>
      </c>
      <c r="K895" s="1" t="s">
        <v>74</v>
      </c>
      <c r="L895" s="1" t="s">
        <v>74</v>
      </c>
      <c r="M895" s="1" t="s">
        <v>74</v>
      </c>
      <c r="N895" s="1" t="s">
        <v>74</v>
      </c>
      <c r="O895" s="1" t="s">
        <v>74</v>
      </c>
      <c r="P895" s="1" t="s">
        <v>74</v>
      </c>
      <c r="Q895" s="1" t="s">
        <v>74</v>
      </c>
      <c r="R895" s="1" t="s">
        <v>74</v>
      </c>
      <c r="S895" s="1" t="s">
        <v>74</v>
      </c>
      <c r="T895" s="1" t="s">
        <v>74</v>
      </c>
      <c r="U895" s="1" t="s">
        <v>74</v>
      </c>
      <c r="V895" s="1" t="s">
        <v>7436</v>
      </c>
      <c r="W895" s="1" t="s">
        <v>74</v>
      </c>
      <c r="X895" s="1" t="s">
        <v>74</v>
      </c>
      <c r="Y895" s="1" t="s">
        <v>74</v>
      </c>
      <c r="Z895" s="1" t="s">
        <v>74</v>
      </c>
      <c r="AA895" s="1" t="s">
        <v>74</v>
      </c>
      <c r="AB895" s="1" t="s">
        <v>74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1891</v>
      </c>
      <c r="AP895" s="1" t="s">
        <v>1892</v>
      </c>
      <c r="AQ895" s="1" t="s">
        <v>74</v>
      </c>
      <c r="AR895" s="1" t="s">
        <v>74</v>
      </c>
      <c r="AS895" s="1" t="s">
        <v>74</v>
      </c>
      <c r="AT895" s="1" t="s">
        <v>74</v>
      </c>
      <c r="AU895" s="1">
        <v>2020.0</v>
      </c>
      <c r="AV895" s="1">
        <v>30.0</v>
      </c>
      <c r="AW895" s="1">
        <v>2.0</v>
      </c>
      <c r="AX895" s="1" t="s">
        <v>74</v>
      </c>
      <c r="AY895" s="1" t="s">
        <v>74</v>
      </c>
      <c r="AZ895" s="1" t="s">
        <v>74</v>
      </c>
      <c r="BA895" s="1" t="s">
        <v>74</v>
      </c>
      <c r="BB895" s="1">
        <v>331.0</v>
      </c>
      <c r="BC895" s="1">
        <v>348.0</v>
      </c>
      <c r="BD895" s="1" t="s">
        <v>74</v>
      </c>
      <c r="BE895" s="1" t="s">
        <v>7437</v>
      </c>
      <c r="BF895" s="2" t="str">
        <f>HYPERLINK("http://dx.doi.org/10.15443/RL3025","http://dx.doi.org/10.15443/RL3025")</f>
        <v>http://dx.doi.org/10.15443/RL3025</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7438</v>
      </c>
      <c r="BT895" s="1" t="str">
        <f>HYPERLINK("https%3A%2F%2Fwww.webofscience.com%2Fwos%2Fwoscc%2Ffull-record%2FWOS:000599863100010","View Full Record in Web of Science")</f>
        <v>View Full Record in Web of Science</v>
      </c>
    </row>
    <row r="896" ht="12.75" customHeight="1">
      <c r="A896" s="1" t="s">
        <v>72</v>
      </c>
      <c r="B896" s="1" t="s">
        <v>7439</v>
      </c>
      <c r="C896" s="1" t="s">
        <v>74</v>
      </c>
      <c r="D896" s="1" t="s">
        <v>74</v>
      </c>
      <c r="E896" s="1" t="s">
        <v>74</v>
      </c>
      <c r="F896" s="1" t="s">
        <v>7440</v>
      </c>
      <c r="G896" s="1" t="s">
        <v>74</v>
      </c>
      <c r="H896" s="1" t="s">
        <v>74</v>
      </c>
      <c r="I896" s="1" t="s">
        <v>7441</v>
      </c>
      <c r="J896" s="1" t="s">
        <v>3596</v>
      </c>
      <c r="K896" s="1" t="s">
        <v>74</v>
      </c>
      <c r="L896" s="1" t="s">
        <v>74</v>
      </c>
      <c r="M896" s="1" t="s">
        <v>74</v>
      </c>
      <c r="N896" s="1" t="s">
        <v>74</v>
      </c>
      <c r="O896" s="1" t="s">
        <v>74</v>
      </c>
      <c r="P896" s="1" t="s">
        <v>74</v>
      </c>
      <c r="Q896" s="1" t="s">
        <v>74</v>
      </c>
      <c r="R896" s="1" t="s">
        <v>74</v>
      </c>
      <c r="S896" s="1" t="s">
        <v>74</v>
      </c>
      <c r="T896" s="1" t="s">
        <v>74</v>
      </c>
      <c r="U896" s="1" t="s">
        <v>74</v>
      </c>
      <c r="V896" s="1" t="s">
        <v>7442</v>
      </c>
      <c r="W896" s="1" t="s">
        <v>74</v>
      </c>
      <c r="X896" s="1" t="s">
        <v>74</v>
      </c>
      <c r="Y896" s="1" t="s">
        <v>74</v>
      </c>
      <c r="Z896" s="1" t="s">
        <v>74</v>
      </c>
      <c r="AA896" s="1" t="s">
        <v>74</v>
      </c>
      <c r="AB896" s="1" t="s">
        <v>74</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3598</v>
      </c>
      <c r="AP896" s="1" t="s">
        <v>74</v>
      </c>
      <c r="AQ896" s="1" t="s">
        <v>74</v>
      </c>
      <c r="AR896" s="1" t="s">
        <v>74</v>
      </c>
      <c r="AS896" s="1" t="s">
        <v>74</v>
      </c>
      <c r="AT896" s="1" t="s">
        <v>74</v>
      </c>
      <c r="AU896" s="1">
        <v>2020.0</v>
      </c>
      <c r="AV896" s="1" t="s">
        <v>74</v>
      </c>
      <c r="AW896" s="1">
        <v>15.0</v>
      </c>
      <c r="AX896" s="1" t="s">
        <v>74</v>
      </c>
      <c r="AY896" s="1" t="s">
        <v>74</v>
      </c>
      <c r="AZ896" s="1" t="s">
        <v>74</v>
      </c>
      <c r="BA896" s="1" t="s">
        <v>74</v>
      </c>
      <c r="BB896" s="1">
        <v>315.0</v>
      </c>
      <c r="BC896" s="1">
        <v>331.0</v>
      </c>
      <c r="BD896" s="1" t="s">
        <v>74</v>
      </c>
      <c r="BE896" s="1" t="s">
        <v>7443</v>
      </c>
      <c r="BF896" s="2" t="str">
        <f>HYPERLINK("http://dx.doi.org/10.7203/KAM.15.17439","http://dx.doi.org/10.7203/KAM.15.17439")</f>
        <v>http://dx.doi.org/10.7203/KAM.15.17439</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7444</v>
      </c>
      <c r="BT896" s="1" t="str">
        <f>HYPERLINK("https%3A%2F%2Fwww.webofscience.com%2Fwos%2Fwoscc%2Ffull-record%2FWOS:000556952000013","View Full Record in Web of Science")</f>
        <v>View Full Record in Web of Science</v>
      </c>
    </row>
    <row r="897" ht="12.75" customHeight="1">
      <c r="A897" s="1" t="s">
        <v>72</v>
      </c>
      <c r="B897" s="1" t="s">
        <v>7445</v>
      </c>
      <c r="C897" s="1" t="s">
        <v>74</v>
      </c>
      <c r="D897" s="1" t="s">
        <v>74</v>
      </c>
      <c r="E897" s="1" t="s">
        <v>74</v>
      </c>
      <c r="F897" s="1" t="s">
        <v>7446</v>
      </c>
      <c r="G897" s="1" t="s">
        <v>74</v>
      </c>
      <c r="H897" s="1" t="s">
        <v>74</v>
      </c>
      <c r="I897" s="1" t="s">
        <v>7447</v>
      </c>
      <c r="J897" s="1" t="s">
        <v>7448</v>
      </c>
      <c r="K897" s="1" t="s">
        <v>74</v>
      </c>
      <c r="L897" s="1" t="s">
        <v>74</v>
      </c>
      <c r="M897" s="1" t="s">
        <v>74</v>
      </c>
      <c r="N897" s="1" t="s">
        <v>74</v>
      </c>
      <c r="O897" s="1" t="s">
        <v>74</v>
      </c>
      <c r="P897" s="1" t="s">
        <v>74</v>
      </c>
      <c r="Q897" s="1" t="s">
        <v>74</v>
      </c>
      <c r="R897" s="1" t="s">
        <v>74</v>
      </c>
      <c r="S897" s="1" t="s">
        <v>74</v>
      </c>
      <c r="T897" s="1" t="s">
        <v>74</v>
      </c>
      <c r="U897" s="1" t="s">
        <v>74</v>
      </c>
      <c r="V897" s="1" t="s">
        <v>7449</v>
      </c>
      <c r="W897" s="1" t="s">
        <v>74</v>
      </c>
      <c r="X897" s="1" t="s">
        <v>74</v>
      </c>
      <c r="Y897" s="1" t="s">
        <v>74</v>
      </c>
      <c r="Z897" s="1" t="s">
        <v>74</v>
      </c>
      <c r="AA897" s="1" t="s">
        <v>7450</v>
      </c>
      <c r="AB897" s="1" t="s">
        <v>7451</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7452</v>
      </c>
      <c r="AP897" s="1" t="s">
        <v>7453</v>
      </c>
      <c r="AQ897" s="1" t="s">
        <v>74</v>
      </c>
      <c r="AR897" s="1" t="s">
        <v>74</v>
      </c>
      <c r="AS897" s="1" t="s">
        <v>74</v>
      </c>
      <c r="AT897" s="1" t="s">
        <v>256</v>
      </c>
      <c r="AU897" s="1">
        <v>2019.0</v>
      </c>
      <c r="AV897" s="1">
        <v>159.0</v>
      </c>
      <c r="AW897" s="1" t="s">
        <v>74</v>
      </c>
      <c r="AX897" s="1" t="s">
        <v>74</v>
      </c>
      <c r="AY897" s="1" t="s">
        <v>74</v>
      </c>
      <c r="AZ897" s="1" t="s">
        <v>74</v>
      </c>
      <c r="BA897" s="1" t="s">
        <v>74</v>
      </c>
      <c r="BB897" s="1">
        <v>179.0</v>
      </c>
      <c r="BC897" s="1">
        <v>190.0</v>
      </c>
      <c r="BD897" s="1" t="s">
        <v>74</v>
      </c>
      <c r="BE897" s="1" t="s">
        <v>7454</v>
      </c>
      <c r="BF897" s="2" t="str">
        <f>HYPERLINK("http://dx.doi.org/10.1016/j.envexpbot.2018.12.022","http://dx.doi.org/10.1016/j.envexpbot.2018.12.022")</f>
        <v>http://dx.doi.org/10.1016/j.envexpbot.2018.12.022</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7455</v>
      </c>
      <c r="BT897" s="1" t="str">
        <f>HYPERLINK("https%3A%2F%2Fwww.webofscience.com%2Fwos%2Fwoscc%2Ffull-record%2FWOS:000458595000018","View Full Record in Web of Science")</f>
        <v>View Full Record in Web of Science</v>
      </c>
    </row>
    <row r="898" ht="12.75" customHeight="1">
      <c r="A898" s="1" t="s">
        <v>72</v>
      </c>
      <c r="B898" s="1" t="s">
        <v>7456</v>
      </c>
      <c r="C898" s="1" t="s">
        <v>74</v>
      </c>
      <c r="D898" s="1" t="s">
        <v>74</v>
      </c>
      <c r="E898" s="1" t="s">
        <v>74</v>
      </c>
      <c r="F898" s="1" t="s">
        <v>7457</v>
      </c>
      <c r="G898" s="1" t="s">
        <v>74</v>
      </c>
      <c r="H898" s="1" t="s">
        <v>74</v>
      </c>
      <c r="I898" s="1" t="s">
        <v>7458</v>
      </c>
      <c r="J898" s="1" t="s">
        <v>7459</v>
      </c>
      <c r="K898" s="1" t="s">
        <v>74</v>
      </c>
      <c r="L898" s="1" t="s">
        <v>74</v>
      </c>
      <c r="M898" s="1" t="s">
        <v>74</v>
      </c>
      <c r="N898" s="1" t="s">
        <v>74</v>
      </c>
      <c r="O898" s="1" t="s">
        <v>74</v>
      </c>
      <c r="P898" s="1" t="s">
        <v>74</v>
      </c>
      <c r="Q898" s="1" t="s">
        <v>74</v>
      </c>
      <c r="R898" s="1" t="s">
        <v>74</v>
      </c>
      <c r="S898" s="1" t="s">
        <v>74</v>
      </c>
      <c r="T898" s="1" t="s">
        <v>74</v>
      </c>
      <c r="U898" s="1" t="s">
        <v>74</v>
      </c>
      <c r="V898" s="1" t="s">
        <v>7460</v>
      </c>
      <c r="W898" s="1" t="s">
        <v>74</v>
      </c>
      <c r="X898" s="1" t="s">
        <v>74</v>
      </c>
      <c r="Y898" s="1" t="s">
        <v>74</v>
      </c>
      <c r="Z898" s="1" t="s">
        <v>74</v>
      </c>
      <c r="AA898" s="1" t="s">
        <v>7461</v>
      </c>
      <c r="AB898" s="1" t="s">
        <v>7462</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7463</v>
      </c>
      <c r="AP898" s="1" t="s">
        <v>7464</v>
      </c>
      <c r="AQ898" s="1" t="s">
        <v>74</v>
      </c>
      <c r="AR898" s="1" t="s">
        <v>74</v>
      </c>
      <c r="AS898" s="1" t="s">
        <v>74</v>
      </c>
      <c r="AT898" s="1" t="s">
        <v>158</v>
      </c>
      <c r="AU898" s="1">
        <v>2018.0</v>
      </c>
      <c r="AV898" s="1">
        <v>134.0</v>
      </c>
      <c r="AW898" s="1" t="s">
        <v>74</v>
      </c>
      <c r="AX898" s="1" t="s">
        <v>74</v>
      </c>
      <c r="AY898" s="1" t="s">
        <v>74</v>
      </c>
      <c r="AZ898" s="1" t="s">
        <v>74</v>
      </c>
      <c r="BA898" s="1" t="s">
        <v>74</v>
      </c>
      <c r="BB898" s="1">
        <v>162.0</v>
      </c>
      <c r="BC898" s="1">
        <v>166.0</v>
      </c>
      <c r="BD898" s="1" t="s">
        <v>74</v>
      </c>
      <c r="BE898" s="1" t="s">
        <v>7465</v>
      </c>
      <c r="BF898" s="2" t="str">
        <f>HYPERLINK("http://dx.doi.org/10.1016/j.jaap.2018.06.004","http://dx.doi.org/10.1016/j.jaap.2018.06.004")</f>
        <v>http://dx.doi.org/10.1016/j.jaap.2018.06.004</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7466</v>
      </c>
      <c r="BT898" s="1" t="str">
        <f>HYPERLINK("https%3A%2F%2Fwww.webofscience.com%2Fwos%2Fwoscc%2Ffull-record%2FWOS:000445306600018","View Full Record in Web of Science")</f>
        <v>View Full Record in Web of Science</v>
      </c>
    </row>
    <row r="899" ht="12.75" customHeight="1">
      <c r="A899" s="1" t="s">
        <v>72</v>
      </c>
      <c r="B899" s="1" t="s">
        <v>7467</v>
      </c>
      <c r="C899" s="1" t="s">
        <v>74</v>
      </c>
      <c r="D899" s="1" t="s">
        <v>74</v>
      </c>
      <c r="E899" s="1" t="s">
        <v>74</v>
      </c>
      <c r="F899" s="1" t="s">
        <v>7468</v>
      </c>
      <c r="G899" s="1" t="s">
        <v>74</v>
      </c>
      <c r="H899" s="1" t="s">
        <v>74</v>
      </c>
      <c r="I899" s="1" t="s">
        <v>7469</v>
      </c>
      <c r="J899" s="1" t="s">
        <v>7470</v>
      </c>
      <c r="K899" s="1" t="s">
        <v>74</v>
      </c>
      <c r="L899" s="1" t="s">
        <v>74</v>
      </c>
      <c r="M899" s="1" t="s">
        <v>74</v>
      </c>
      <c r="N899" s="1" t="s">
        <v>74</v>
      </c>
      <c r="O899" s="1" t="s">
        <v>74</v>
      </c>
      <c r="P899" s="1" t="s">
        <v>74</v>
      </c>
      <c r="Q899" s="1" t="s">
        <v>74</v>
      </c>
      <c r="R899" s="1" t="s">
        <v>74</v>
      </c>
      <c r="S899" s="1" t="s">
        <v>74</v>
      </c>
      <c r="T899" s="1" t="s">
        <v>74</v>
      </c>
      <c r="U899" s="1" t="s">
        <v>74</v>
      </c>
      <c r="V899" s="1" t="s">
        <v>7471</v>
      </c>
      <c r="W899" s="1" t="s">
        <v>74</v>
      </c>
      <c r="X899" s="1" t="s">
        <v>74</v>
      </c>
      <c r="Y899" s="1" t="s">
        <v>74</v>
      </c>
      <c r="Z899" s="1" t="s">
        <v>74</v>
      </c>
      <c r="AA899" s="1" t="s">
        <v>7472</v>
      </c>
      <c r="AB899" s="1" t="s">
        <v>7473</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7474</v>
      </c>
      <c r="AP899" s="1" t="s">
        <v>74</v>
      </c>
      <c r="AQ899" s="1" t="s">
        <v>74</v>
      </c>
      <c r="AR899" s="1" t="s">
        <v>74</v>
      </c>
      <c r="AS899" s="1" t="s">
        <v>74</v>
      </c>
      <c r="AT899" s="1" t="s">
        <v>123</v>
      </c>
      <c r="AU899" s="1">
        <v>2018.0</v>
      </c>
      <c r="AV899" s="1">
        <v>8.0</v>
      </c>
      <c r="AW899" s="1">
        <v>1.0</v>
      </c>
      <c r="AX899" s="1" t="s">
        <v>74</v>
      </c>
      <c r="AY899" s="1" t="s">
        <v>74</v>
      </c>
      <c r="AZ899" s="1" t="s">
        <v>74</v>
      </c>
      <c r="BA899" s="1" t="s">
        <v>74</v>
      </c>
      <c r="BB899" s="1" t="s">
        <v>74</v>
      </c>
      <c r="BC899" s="1" t="s">
        <v>74</v>
      </c>
      <c r="BD899" s="1" t="s">
        <v>7475</v>
      </c>
      <c r="BE899" s="1" t="s">
        <v>7476</v>
      </c>
      <c r="BF899" s="2" t="str">
        <f>HYPERLINK("http://dx.doi.org/10.1136/bmjopen-2017-018643","http://dx.doi.org/10.1136/bmjopen-2017-018643")</f>
        <v>http://dx.doi.org/10.1136/bmjopen-2017-018643</v>
      </c>
      <c r="BG899" s="1" t="s">
        <v>74</v>
      </c>
      <c r="BH899" s="1" t="s">
        <v>74</v>
      </c>
      <c r="BI899" s="1" t="s">
        <v>74</v>
      </c>
      <c r="BJ899" s="1" t="s">
        <v>74</v>
      </c>
      <c r="BK899" s="1" t="s">
        <v>74</v>
      </c>
      <c r="BL899" s="1" t="s">
        <v>74</v>
      </c>
      <c r="BM899" s="1" t="s">
        <v>74</v>
      </c>
      <c r="BN899" s="1">
        <v>2.9362257E7</v>
      </c>
      <c r="BO899" s="1" t="s">
        <v>74</v>
      </c>
      <c r="BP899" s="1" t="s">
        <v>74</v>
      </c>
      <c r="BQ899" s="1" t="s">
        <v>74</v>
      </c>
      <c r="BR899" s="1" t="s">
        <v>74</v>
      </c>
      <c r="BS899" s="1" t="s">
        <v>7477</v>
      </c>
      <c r="BT899" s="1" t="str">
        <f>HYPERLINK("https%3A%2F%2Fwww.webofscience.com%2Fwos%2Fwoscc%2Ffull-record%2FWOS:000431743500088","View Full Record in Web of Science")</f>
        <v>View Full Record in Web of Science</v>
      </c>
    </row>
    <row r="900" ht="12.75" customHeight="1">
      <c r="A900" s="1" t="s">
        <v>72</v>
      </c>
      <c r="B900" s="1" t="s">
        <v>7478</v>
      </c>
      <c r="C900" s="1" t="s">
        <v>74</v>
      </c>
      <c r="D900" s="1" t="s">
        <v>74</v>
      </c>
      <c r="E900" s="1" t="s">
        <v>74</v>
      </c>
      <c r="F900" s="1" t="s">
        <v>7479</v>
      </c>
      <c r="G900" s="1" t="s">
        <v>74</v>
      </c>
      <c r="H900" s="1" t="s">
        <v>74</v>
      </c>
      <c r="I900" s="1" t="s">
        <v>7480</v>
      </c>
      <c r="J900" s="1" t="s">
        <v>4266</v>
      </c>
      <c r="K900" s="1" t="s">
        <v>74</v>
      </c>
      <c r="L900" s="1" t="s">
        <v>74</v>
      </c>
      <c r="M900" s="1" t="s">
        <v>74</v>
      </c>
      <c r="N900" s="1" t="s">
        <v>74</v>
      </c>
      <c r="O900" s="1" t="s">
        <v>74</v>
      </c>
      <c r="P900" s="1" t="s">
        <v>74</v>
      </c>
      <c r="Q900" s="1" t="s">
        <v>74</v>
      </c>
      <c r="R900" s="1" t="s">
        <v>74</v>
      </c>
      <c r="S900" s="1" t="s">
        <v>74</v>
      </c>
      <c r="T900" s="1" t="s">
        <v>74</v>
      </c>
      <c r="U900" s="1" t="s">
        <v>74</v>
      </c>
      <c r="V900" s="1" t="s">
        <v>7481</v>
      </c>
      <c r="W900" s="1" t="s">
        <v>74</v>
      </c>
      <c r="X900" s="1" t="s">
        <v>74</v>
      </c>
      <c r="Y900" s="1" t="s">
        <v>74</v>
      </c>
      <c r="Z900" s="1" t="s">
        <v>74</v>
      </c>
      <c r="AA900" s="1" t="s">
        <v>7482</v>
      </c>
      <c r="AB900" s="1" t="s">
        <v>7483</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4270</v>
      </c>
      <c r="AP900" s="1" t="s">
        <v>74</v>
      </c>
      <c r="AQ900" s="1" t="s">
        <v>74</v>
      </c>
      <c r="AR900" s="1" t="s">
        <v>74</v>
      </c>
      <c r="AS900" s="1" t="s">
        <v>74</v>
      </c>
      <c r="AT900" s="1" t="s">
        <v>7484</v>
      </c>
      <c r="AU900" s="1">
        <v>2017.0</v>
      </c>
      <c r="AV900" s="1">
        <v>7.0</v>
      </c>
      <c r="AW900" s="1" t="s">
        <v>74</v>
      </c>
      <c r="AX900" s="1" t="s">
        <v>74</v>
      </c>
      <c r="AY900" s="1" t="s">
        <v>74</v>
      </c>
      <c r="AZ900" s="1" t="s">
        <v>74</v>
      </c>
      <c r="BA900" s="1" t="s">
        <v>74</v>
      </c>
      <c r="BB900" s="1" t="s">
        <v>74</v>
      </c>
      <c r="BC900" s="1" t="s">
        <v>74</v>
      </c>
      <c r="BD900" s="1">
        <v>4736.0</v>
      </c>
      <c r="BE900" s="1" t="s">
        <v>7485</v>
      </c>
      <c r="BF900" s="2" t="str">
        <f>HYPERLINK("http://dx.doi.org/10.1038/s41598-017-05026-4","http://dx.doi.org/10.1038/s41598-017-05026-4")</f>
        <v>http://dx.doi.org/10.1038/s41598-017-05026-4</v>
      </c>
      <c r="BG900" s="1" t="s">
        <v>74</v>
      </c>
      <c r="BH900" s="1" t="s">
        <v>74</v>
      </c>
      <c r="BI900" s="1" t="s">
        <v>74</v>
      </c>
      <c r="BJ900" s="1" t="s">
        <v>74</v>
      </c>
      <c r="BK900" s="1" t="s">
        <v>74</v>
      </c>
      <c r="BL900" s="1" t="s">
        <v>74</v>
      </c>
      <c r="BM900" s="1" t="s">
        <v>74</v>
      </c>
      <c r="BN900" s="1">
        <v>2.8680166E7</v>
      </c>
      <c r="BO900" s="1" t="s">
        <v>74</v>
      </c>
      <c r="BP900" s="1" t="s">
        <v>74</v>
      </c>
      <c r="BQ900" s="1" t="s">
        <v>74</v>
      </c>
      <c r="BR900" s="1" t="s">
        <v>74</v>
      </c>
      <c r="BS900" s="1" t="s">
        <v>7486</v>
      </c>
      <c r="BT900" s="1" t="str">
        <f>HYPERLINK("https%3A%2F%2Fwww.webofscience.com%2Fwos%2Fwoscc%2Ffull-record%2FWOS:000404846300074","View Full Record in Web of Science")</f>
        <v>View Full Record in Web of Science</v>
      </c>
    </row>
    <row r="901" ht="12.75" customHeight="1">
      <c r="A901" s="1" t="s">
        <v>72</v>
      </c>
      <c r="B901" s="1" t="s">
        <v>7487</v>
      </c>
      <c r="C901" s="1" t="s">
        <v>74</v>
      </c>
      <c r="D901" s="1" t="s">
        <v>74</v>
      </c>
      <c r="E901" s="1" t="s">
        <v>74</v>
      </c>
      <c r="F901" s="1" t="s">
        <v>7488</v>
      </c>
      <c r="G901" s="1" t="s">
        <v>74</v>
      </c>
      <c r="H901" s="1" t="s">
        <v>74</v>
      </c>
      <c r="I901" s="1" t="s">
        <v>7489</v>
      </c>
      <c r="J901" s="1" t="s">
        <v>7490</v>
      </c>
      <c r="K901" s="1" t="s">
        <v>74</v>
      </c>
      <c r="L901" s="1" t="s">
        <v>74</v>
      </c>
      <c r="M901" s="1" t="s">
        <v>74</v>
      </c>
      <c r="N901" s="1" t="s">
        <v>74</v>
      </c>
      <c r="O901" s="1" t="s">
        <v>74</v>
      </c>
      <c r="P901" s="1" t="s">
        <v>74</v>
      </c>
      <c r="Q901" s="1" t="s">
        <v>74</v>
      </c>
      <c r="R901" s="1" t="s">
        <v>74</v>
      </c>
      <c r="S901" s="1" t="s">
        <v>74</v>
      </c>
      <c r="T901" s="1" t="s">
        <v>74</v>
      </c>
      <c r="U901" s="1" t="s">
        <v>74</v>
      </c>
      <c r="V901" s="1" t="s">
        <v>7491</v>
      </c>
      <c r="W901" s="1" t="s">
        <v>74</v>
      </c>
      <c r="X901" s="1" t="s">
        <v>74</v>
      </c>
      <c r="Y901" s="1" t="s">
        <v>74</v>
      </c>
      <c r="Z901" s="1" t="s">
        <v>74</v>
      </c>
      <c r="AA901" s="1" t="s">
        <v>7492</v>
      </c>
      <c r="AB901" s="1" t="s">
        <v>3077</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7493</v>
      </c>
      <c r="AP901" s="1" t="s">
        <v>7494</v>
      </c>
      <c r="AQ901" s="1" t="s">
        <v>74</v>
      </c>
      <c r="AR901" s="1" t="s">
        <v>74</v>
      </c>
      <c r="AS901" s="1" t="s">
        <v>74</v>
      </c>
      <c r="AT901" s="1" t="s">
        <v>158</v>
      </c>
      <c r="AU901" s="1">
        <v>2016.0</v>
      </c>
      <c r="AV901" s="1">
        <v>39.0</v>
      </c>
      <c r="AW901" s="1">
        <v>3.0</v>
      </c>
      <c r="AX901" s="1" t="s">
        <v>74</v>
      </c>
      <c r="AY901" s="1" t="s">
        <v>74</v>
      </c>
      <c r="AZ901" s="1" t="s">
        <v>74</v>
      </c>
      <c r="BA901" s="1" t="s">
        <v>74</v>
      </c>
      <c r="BB901" s="1">
        <v>949.0</v>
      </c>
      <c r="BC901" s="1">
        <v>952.0</v>
      </c>
      <c r="BD901" s="1" t="s">
        <v>74</v>
      </c>
      <c r="BE901" s="1" t="s">
        <v>7495</v>
      </c>
      <c r="BF901" s="2" t="str">
        <f>HYPERLINK("http://dx.doi.org/10.1007/s40415-016-0286-7","http://dx.doi.org/10.1007/s40415-016-0286-7")</f>
        <v>http://dx.doi.org/10.1007/s40415-016-0286-7</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7496</v>
      </c>
      <c r="BT901" s="1" t="str">
        <f>HYPERLINK("https%3A%2F%2Fwww.webofscience.com%2Fwos%2Fwoscc%2Ffull-record%2FWOS:000383389900014","View Full Record in Web of Science")</f>
        <v>View Full Record in Web of Science</v>
      </c>
    </row>
    <row r="902" ht="12.75" customHeight="1">
      <c r="A902" s="1" t="s">
        <v>72</v>
      </c>
      <c r="B902" s="1" t="s">
        <v>7497</v>
      </c>
      <c r="C902" s="1" t="s">
        <v>74</v>
      </c>
      <c r="D902" s="1" t="s">
        <v>74</v>
      </c>
      <c r="E902" s="1" t="s">
        <v>74</v>
      </c>
      <c r="F902" s="1" t="s">
        <v>7498</v>
      </c>
      <c r="G902" s="1" t="s">
        <v>74</v>
      </c>
      <c r="H902" s="1" t="s">
        <v>74</v>
      </c>
      <c r="I902" s="1" t="s">
        <v>7499</v>
      </c>
      <c r="J902" s="1" t="s">
        <v>7500</v>
      </c>
      <c r="K902" s="1" t="s">
        <v>74</v>
      </c>
      <c r="L902" s="1" t="s">
        <v>74</v>
      </c>
      <c r="M902" s="1" t="s">
        <v>74</v>
      </c>
      <c r="N902" s="1" t="s">
        <v>74</v>
      </c>
      <c r="O902" s="1" t="s">
        <v>74</v>
      </c>
      <c r="P902" s="1" t="s">
        <v>74</v>
      </c>
      <c r="Q902" s="1" t="s">
        <v>74</v>
      </c>
      <c r="R902" s="1" t="s">
        <v>74</v>
      </c>
      <c r="S902" s="1" t="s">
        <v>74</v>
      </c>
      <c r="T902" s="1" t="s">
        <v>74</v>
      </c>
      <c r="U902" s="1" t="s">
        <v>74</v>
      </c>
      <c r="V902" s="1" t="s">
        <v>7501</v>
      </c>
      <c r="W902" s="1" t="s">
        <v>74</v>
      </c>
      <c r="X902" s="1" t="s">
        <v>74</v>
      </c>
      <c r="Y902" s="1" t="s">
        <v>74</v>
      </c>
      <c r="Z902" s="1" t="s">
        <v>74</v>
      </c>
      <c r="AA902" s="1" t="s">
        <v>7502</v>
      </c>
      <c r="AB902" s="1" t="s">
        <v>7503</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7504</v>
      </c>
      <c r="AP902" s="1" t="s">
        <v>7505</v>
      </c>
      <c r="AQ902" s="1" t="s">
        <v>74</v>
      </c>
      <c r="AR902" s="1" t="s">
        <v>74</v>
      </c>
      <c r="AS902" s="1" t="s">
        <v>74</v>
      </c>
      <c r="AT902" s="1" t="s">
        <v>158</v>
      </c>
      <c r="AU902" s="1">
        <v>2015.0</v>
      </c>
      <c r="AV902" s="1">
        <v>26.0</v>
      </c>
      <c r="AW902" s="1">
        <v>3.0</v>
      </c>
      <c r="AX902" s="1" t="s">
        <v>74</v>
      </c>
      <c r="AY902" s="1" t="s">
        <v>74</v>
      </c>
      <c r="AZ902" s="1" t="s">
        <v>74</v>
      </c>
      <c r="BA902" s="1" t="s">
        <v>74</v>
      </c>
      <c r="BB902" s="1">
        <v>635.0</v>
      </c>
      <c r="BC902" s="1">
        <v>640.0</v>
      </c>
      <c r="BD902" s="1" t="s">
        <v>74</v>
      </c>
      <c r="BE902" s="1" t="s">
        <v>7506</v>
      </c>
      <c r="BF902" s="2" t="str">
        <f>HYPERLINK("http://dx.doi.org/10.1007/s11676-015-0061-9","http://dx.doi.org/10.1007/s11676-015-0061-9")</f>
        <v>http://dx.doi.org/10.1007/s11676-015-0061-9</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7507</v>
      </c>
      <c r="BT902" s="1" t="str">
        <f>HYPERLINK("https%3A%2F%2Fwww.webofscience.com%2Fwos%2Fwoscc%2Ffull-record%2FWOS:000358612800010","View Full Record in Web of Science")</f>
        <v>View Full Record in Web of Science</v>
      </c>
    </row>
    <row r="903" ht="12.75" customHeight="1">
      <c r="A903" s="1" t="s">
        <v>126</v>
      </c>
      <c r="B903" s="1" t="s">
        <v>7508</v>
      </c>
      <c r="C903" s="1" t="s">
        <v>74</v>
      </c>
      <c r="D903" s="1" t="s">
        <v>7509</v>
      </c>
      <c r="E903" s="1" t="s">
        <v>74</v>
      </c>
      <c r="F903" s="1" t="s">
        <v>7510</v>
      </c>
      <c r="G903" s="1" t="s">
        <v>74</v>
      </c>
      <c r="H903" s="1" t="s">
        <v>74</v>
      </c>
      <c r="I903" s="1" t="s">
        <v>7511</v>
      </c>
      <c r="J903" s="1" t="s">
        <v>7512</v>
      </c>
      <c r="K903" s="1" t="s">
        <v>2916</v>
      </c>
      <c r="L903" s="1" t="s">
        <v>74</v>
      </c>
      <c r="M903" s="1" t="s">
        <v>74</v>
      </c>
      <c r="N903" s="1" t="s">
        <v>74</v>
      </c>
      <c r="O903" s="1" t="s">
        <v>7513</v>
      </c>
      <c r="P903" s="1" t="s">
        <v>7514</v>
      </c>
      <c r="Q903" s="1" t="s">
        <v>7515</v>
      </c>
      <c r="R903" s="1" t="s">
        <v>7516</v>
      </c>
      <c r="S903" s="1" t="s">
        <v>74</v>
      </c>
      <c r="T903" s="1" t="s">
        <v>74</v>
      </c>
      <c r="U903" s="1" t="s">
        <v>74</v>
      </c>
      <c r="V903" s="1" t="s">
        <v>7517</v>
      </c>
      <c r="W903" s="1" t="s">
        <v>74</v>
      </c>
      <c r="X903" s="1" t="s">
        <v>74</v>
      </c>
      <c r="Y903" s="1" t="s">
        <v>74</v>
      </c>
      <c r="Z903" s="1" t="s">
        <v>74</v>
      </c>
      <c r="AA903" s="1" t="s">
        <v>7518</v>
      </c>
      <c r="AB903" s="1" t="s">
        <v>7519</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2924</v>
      </c>
      <c r="AP903" s="1" t="s">
        <v>74</v>
      </c>
      <c r="AQ903" s="1" t="s">
        <v>7520</v>
      </c>
      <c r="AR903" s="1" t="s">
        <v>74</v>
      </c>
      <c r="AS903" s="1" t="s">
        <v>74</v>
      </c>
      <c r="AT903" s="1" t="s">
        <v>74</v>
      </c>
      <c r="AU903" s="1">
        <v>2015.0</v>
      </c>
      <c r="AV903" s="1" t="s">
        <v>74</v>
      </c>
      <c r="AW903" s="1" t="s">
        <v>74</v>
      </c>
      <c r="AX903" s="1" t="s">
        <v>74</v>
      </c>
      <c r="AY903" s="1" t="s">
        <v>74</v>
      </c>
      <c r="AZ903" s="1" t="s">
        <v>74</v>
      </c>
      <c r="BA903" s="1" t="s">
        <v>74</v>
      </c>
      <c r="BB903" s="1">
        <v>193.0</v>
      </c>
      <c r="BC903" s="1">
        <v>199.0</v>
      </c>
      <c r="BD903" s="1" t="s">
        <v>74</v>
      </c>
      <c r="BE903" s="1" t="s">
        <v>74</v>
      </c>
      <c r="BF903" s="1" t="s">
        <v>74</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7521</v>
      </c>
      <c r="BT903" s="1" t="str">
        <f>HYPERLINK("https%3A%2F%2Fwww.webofscience.com%2Fwos%2Fwoscc%2Ffull-record%2FWOS:000380587200025","View Full Record in Web of Science")</f>
        <v>View Full Record in Web of Science</v>
      </c>
    </row>
    <row r="904" ht="12.75" customHeight="1">
      <c r="A904" s="1" t="s">
        <v>72</v>
      </c>
      <c r="B904" s="1" t="s">
        <v>7192</v>
      </c>
      <c r="C904" s="1" t="s">
        <v>74</v>
      </c>
      <c r="D904" s="1" t="s">
        <v>74</v>
      </c>
      <c r="E904" s="1" t="s">
        <v>74</v>
      </c>
      <c r="F904" s="1" t="s">
        <v>7193</v>
      </c>
      <c r="G904" s="1" t="s">
        <v>74</v>
      </c>
      <c r="H904" s="1" t="s">
        <v>74</v>
      </c>
      <c r="I904" s="1" t="s">
        <v>7522</v>
      </c>
      <c r="J904" s="1" t="s">
        <v>7523</v>
      </c>
      <c r="K904" s="1" t="s">
        <v>74</v>
      </c>
      <c r="L904" s="1" t="s">
        <v>74</v>
      </c>
      <c r="M904" s="1" t="s">
        <v>74</v>
      </c>
      <c r="N904" s="1" t="s">
        <v>74</v>
      </c>
      <c r="O904" s="1" t="s">
        <v>74</v>
      </c>
      <c r="P904" s="1" t="s">
        <v>74</v>
      </c>
      <c r="Q904" s="1" t="s">
        <v>74</v>
      </c>
      <c r="R904" s="1" t="s">
        <v>74</v>
      </c>
      <c r="S904" s="1" t="s">
        <v>74</v>
      </c>
      <c r="T904" s="1" t="s">
        <v>74</v>
      </c>
      <c r="U904" s="1" t="s">
        <v>74</v>
      </c>
      <c r="V904" s="1" t="s">
        <v>7524</v>
      </c>
      <c r="W904" s="1" t="s">
        <v>74</v>
      </c>
      <c r="X904" s="1" t="s">
        <v>74</v>
      </c>
      <c r="Y904" s="1" t="s">
        <v>74</v>
      </c>
      <c r="Z904" s="1" t="s">
        <v>74</v>
      </c>
      <c r="AA904" s="1" t="s">
        <v>7196</v>
      </c>
      <c r="AB904" s="1" t="s">
        <v>7525</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7526</v>
      </c>
      <c r="AP904" s="1" t="s">
        <v>74</v>
      </c>
      <c r="AQ904" s="1" t="s">
        <v>74</v>
      </c>
      <c r="AR904" s="1" t="s">
        <v>74</v>
      </c>
      <c r="AS904" s="1" t="s">
        <v>74</v>
      </c>
      <c r="AT904" s="1" t="s">
        <v>82</v>
      </c>
      <c r="AU904" s="1">
        <v>2012.0</v>
      </c>
      <c r="AV904" s="1">
        <v>98.0</v>
      </c>
      <c r="AW904" s="1" t="s">
        <v>74</v>
      </c>
      <c r="AX904" s="1" t="s">
        <v>74</v>
      </c>
      <c r="AY904" s="1" t="s">
        <v>74</v>
      </c>
      <c r="AZ904" s="1" t="s">
        <v>74</v>
      </c>
      <c r="BA904" s="1" t="s">
        <v>74</v>
      </c>
      <c r="BB904" s="1">
        <v>18.0</v>
      </c>
      <c r="BC904" s="1">
        <v>22.0</v>
      </c>
      <c r="BD904" s="1" t="s">
        <v>74</v>
      </c>
      <c r="BE904" s="1" t="s">
        <v>7527</v>
      </c>
      <c r="BF904" s="2" t="str">
        <f>HYPERLINK("http://dx.doi.org/10.1016/j.saa.2012.08.032","http://dx.doi.org/10.1016/j.saa.2012.08.032")</f>
        <v>http://dx.doi.org/10.1016/j.saa.2012.08.032</v>
      </c>
      <c r="BG904" s="1" t="s">
        <v>74</v>
      </c>
      <c r="BH904" s="1" t="s">
        <v>74</v>
      </c>
      <c r="BI904" s="1" t="s">
        <v>74</v>
      </c>
      <c r="BJ904" s="1" t="s">
        <v>74</v>
      </c>
      <c r="BK904" s="1" t="s">
        <v>74</v>
      </c>
      <c r="BL904" s="1" t="s">
        <v>74</v>
      </c>
      <c r="BM904" s="1" t="s">
        <v>74</v>
      </c>
      <c r="BN904" s="1">
        <v>2.2982383E7</v>
      </c>
      <c r="BO904" s="1" t="s">
        <v>74</v>
      </c>
      <c r="BP904" s="1" t="s">
        <v>74</v>
      </c>
      <c r="BQ904" s="1" t="s">
        <v>74</v>
      </c>
      <c r="BR904" s="1" t="s">
        <v>74</v>
      </c>
      <c r="BS904" s="1" t="s">
        <v>7528</v>
      </c>
      <c r="BT904" s="1" t="str">
        <f>HYPERLINK("https%3A%2F%2Fwww.webofscience.com%2Fwos%2Fwoscc%2Ffull-record%2FWOS:000310665200004","View Full Record in Web of Science")</f>
        <v>View Full Record in Web of Science</v>
      </c>
    </row>
    <row r="905" ht="12.75" customHeight="1">
      <c r="A905" s="1" t="s">
        <v>72</v>
      </c>
      <c r="B905" s="1" t="s">
        <v>7529</v>
      </c>
      <c r="C905" s="1" t="s">
        <v>74</v>
      </c>
      <c r="D905" s="1" t="s">
        <v>74</v>
      </c>
      <c r="E905" s="1" t="s">
        <v>74</v>
      </c>
      <c r="F905" s="1" t="s">
        <v>7530</v>
      </c>
      <c r="G905" s="1" t="s">
        <v>74</v>
      </c>
      <c r="H905" s="1" t="s">
        <v>74</v>
      </c>
      <c r="I905" s="1" t="s">
        <v>7531</v>
      </c>
      <c r="J905" s="1" t="s">
        <v>6807</v>
      </c>
      <c r="K905" s="1" t="s">
        <v>74</v>
      </c>
      <c r="L905" s="1" t="s">
        <v>74</v>
      </c>
      <c r="M905" s="1" t="s">
        <v>74</v>
      </c>
      <c r="N905" s="1" t="s">
        <v>74</v>
      </c>
      <c r="O905" s="1" t="s">
        <v>74</v>
      </c>
      <c r="P905" s="1" t="s">
        <v>74</v>
      </c>
      <c r="Q905" s="1" t="s">
        <v>74</v>
      </c>
      <c r="R905" s="1" t="s">
        <v>74</v>
      </c>
      <c r="S905" s="1" t="s">
        <v>74</v>
      </c>
      <c r="T905" s="1" t="s">
        <v>74</v>
      </c>
      <c r="U905" s="1" t="s">
        <v>74</v>
      </c>
      <c r="V905" s="1" t="s">
        <v>74</v>
      </c>
      <c r="W905" s="1" t="s">
        <v>74</v>
      </c>
      <c r="X905" s="1" t="s">
        <v>74</v>
      </c>
      <c r="Y905" s="1" t="s">
        <v>74</v>
      </c>
      <c r="Z905" s="1" t="s">
        <v>74</v>
      </c>
      <c r="AA905" s="1" t="s">
        <v>74</v>
      </c>
      <c r="AB905" s="1" t="s">
        <v>74</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6809</v>
      </c>
      <c r="AP905" s="1" t="s">
        <v>74</v>
      </c>
      <c r="AQ905" s="1" t="s">
        <v>74</v>
      </c>
      <c r="AR905" s="1" t="s">
        <v>74</v>
      </c>
      <c r="AS905" s="1" t="s">
        <v>74</v>
      </c>
      <c r="AT905" s="1" t="s">
        <v>193</v>
      </c>
      <c r="AU905" s="1">
        <v>2012.0</v>
      </c>
      <c r="AV905" s="1">
        <v>55.0</v>
      </c>
      <c r="AW905" s="1" t="s">
        <v>4669</v>
      </c>
      <c r="AX905" s="1" t="s">
        <v>74</v>
      </c>
      <c r="AY905" s="1" t="s">
        <v>74</v>
      </c>
      <c r="AZ905" s="1" t="s">
        <v>74</v>
      </c>
      <c r="BA905" s="1" t="s">
        <v>74</v>
      </c>
      <c r="BB905" s="1">
        <v>2730.0</v>
      </c>
      <c r="BC905" s="1">
        <v>2730.0</v>
      </c>
      <c r="BD905" s="1" t="s">
        <v>74</v>
      </c>
      <c r="BE905" s="1" t="s">
        <v>7532</v>
      </c>
      <c r="BF905" s="2" t="str">
        <f>HYPERLINK("http://dx.doi.org/10.1016/j.ijheatmasstransfer.2011.07.034","http://dx.doi.org/10.1016/j.ijheatmasstransfer.2011.07.034")</f>
        <v>http://dx.doi.org/10.1016/j.ijheatmasstransfer.2011.07.034</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7533</v>
      </c>
      <c r="BT905" s="1" t="str">
        <f>HYPERLINK("https%3A%2F%2Fwww.webofscience.com%2Fwos%2Fwoscc%2Ffull-record%2FWOS:000302191100054","View Full Record in Web of Science")</f>
        <v>View Full Record in Web of Science</v>
      </c>
    </row>
    <row r="906" ht="12.75" customHeight="1">
      <c r="A906" s="1" t="s">
        <v>72</v>
      </c>
      <c r="B906" s="1" t="s">
        <v>7534</v>
      </c>
      <c r="C906" s="1" t="s">
        <v>74</v>
      </c>
      <c r="D906" s="1" t="s">
        <v>74</v>
      </c>
      <c r="E906" s="1" t="s">
        <v>74</v>
      </c>
      <c r="F906" s="1" t="s">
        <v>7535</v>
      </c>
      <c r="G906" s="1" t="s">
        <v>74</v>
      </c>
      <c r="H906" s="1" t="s">
        <v>74</v>
      </c>
      <c r="I906" s="1" t="s">
        <v>7536</v>
      </c>
      <c r="J906" s="1" t="s">
        <v>7537</v>
      </c>
      <c r="K906" s="1" t="s">
        <v>74</v>
      </c>
      <c r="L906" s="1" t="s">
        <v>74</v>
      </c>
      <c r="M906" s="1" t="s">
        <v>74</v>
      </c>
      <c r="N906" s="1" t="s">
        <v>74</v>
      </c>
      <c r="O906" s="1" t="s">
        <v>74</v>
      </c>
      <c r="P906" s="1" t="s">
        <v>74</v>
      </c>
      <c r="Q906" s="1" t="s">
        <v>74</v>
      </c>
      <c r="R906" s="1" t="s">
        <v>74</v>
      </c>
      <c r="S906" s="1" t="s">
        <v>74</v>
      </c>
      <c r="T906" s="1" t="s">
        <v>74</v>
      </c>
      <c r="U906" s="1" t="s">
        <v>74</v>
      </c>
      <c r="V906" s="1" t="s">
        <v>7538</v>
      </c>
      <c r="W906" s="1" t="s">
        <v>74</v>
      </c>
      <c r="X906" s="1" t="s">
        <v>74</v>
      </c>
      <c r="Y906" s="1" t="s">
        <v>74</v>
      </c>
      <c r="Z906" s="1" t="s">
        <v>74</v>
      </c>
      <c r="AA906" s="1" t="s">
        <v>74</v>
      </c>
      <c r="AB906" s="1" t="s">
        <v>74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7539</v>
      </c>
      <c r="AP906" s="1" t="s">
        <v>7540</v>
      </c>
      <c r="AQ906" s="1" t="s">
        <v>74</v>
      </c>
      <c r="AR906" s="1" t="s">
        <v>74</v>
      </c>
      <c r="AS906" s="1" t="s">
        <v>74</v>
      </c>
      <c r="AT906" s="1" t="s">
        <v>158</v>
      </c>
      <c r="AU906" s="1">
        <v>2011.0</v>
      </c>
      <c r="AV906" s="1">
        <v>21.0</v>
      </c>
      <c r="AW906" s="1">
        <v>5.0</v>
      </c>
      <c r="AX906" s="1" t="s">
        <v>74</v>
      </c>
      <c r="AY906" s="1" t="s">
        <v>74</v>
      </c>
      <c r="AZ906" s="1" t="s">
        <v>74</v>
      </c>
      <c r="BA906" s="1" t="s">
        <v>74</v>
      </c>
      <c r="BB906" s="1">
        <v>1831.0</v>
      </c>
      <c r="BC906" s="1">
        <v>1833.0</v>
      </c>
      <c r="BD906" s="1" t="s">
        <v>74</v>
      </c>
      <c r="BE906" s="1" t="s">
        <v>7541</v>
      </c>
      <c r="BF906" s="2" t="str">
        <f>HYPERLINK("http://dx.doi.org/10.1007/s10895-011-0887-2","http://dx.doi.org/10.1007/s10895-011-0887-2")</f>
        <v>http://dx.doi.org/10.1007/s10895-011-0887-2</v>
      </c>
      <c r="BG906" s="1" t="s">
        <v>74</v>
      </c>
      <c r="BH906" s="1" t="s">
        <v>74</v>
      </c>
      <c r="BI906" s="1" t="s">
        <v>74</v>
      </c>
      <c r="BJ906" s="1" t="s">
        <v>74</v>
      </c>
      <c r="BK906" s="1" t="s">
        <v>74</v>
      </c>
      <c r="BL906" s="1" t="s">
        <v>74</v>
      </c>
      <c r="BM906" s="1" t="s">
        <v>74</v>
      </c>
      <c r="BN906" s="1">
        <v>2.148431E7</v>
      </c>
      <c r="BO906" s="1" t="s">
        <v>74</v>
      </c>
      <c r="BP906" s="1" t="s">
        <v>74</v>
      </c>
      <c r="BQ906" s="1" t="s">
        <v>74</v>
      </c>
      <c r="BR906" s="1" t="s">
        <v>74</v>
      </c>
      <c r="BS906" s="1" t="s">
        <v>7542</v>
      </c>
      <c r="BT906" s="1" t="str">
        <f>HYPERLINK("https%3A%2F%2Fwww.webofscience.com%2Fwos%2Fwoscc%2Ffull-record%2FWOS:000296475900001","View Full Record in Web of Science")</f>
        <v>View Full Record in Web of Science</v>
      </c>
    </row>
    <row r="907" ht="12.75" customHeight="1">
      <c r="A907" s="1" t="s">
        <v>72</v>
      </c>
      <c r="B907" s="1" t="s">
        <v>7543</v>
      </c>
      <c r="C907" s="1" t="s">
        <v>74</v>
      </c>
      <c r="D907" s="1" t="s">
        <v>74</v>
      </c>
      <c r="E907" s="1" t="s">
        <v>74</v>
      </c>
      <c r="F907" s="1" t="s">
        <v>7543</v>
      </c>
      <c r="G907" s="1" t="s">
        <v>74</v>
      </c>
      <c r="H907" s="1" t="s">
        <v>74</v>
      </c>
      <c r="I907" s="1" t="s">
        <v>7544</v>
      </c>
      <c r="J907" s="1" t="s">
        <v>7545</v>
      </c>
      <c r="K907" s="1" t="s">
        <v>74</v>
      </c>
      <c r="L907" s="1" t="s">
        <v>74</v>
      </c>
      <c r="M907" s="1" t="s">
        <v>74</v>
      </c>
      <c r="N907" s="1" t="s">
        <v>74</v>
      </c>
      <c r="O907" s="1" t="s">
        <v>74</v>
      </c>
      <c r="P907" s="1" t="s">
        <v>74</v>
      </c>
      <c r="Q907" s="1" t="s">
        <v>74</v>
      </c>
      <c r="R907" s="1" t="s">
        <v>74</v>
      </c>
      <c r="S907" s="1" t="s">
        <v>74</v>
      </c>
      <c r="T907" s="1" t="s">
        <v>74</v>
      </c>
      <c r="U907" s="1" t="s">
        <v>74</v>
      </c>
      <c r="V907" s="1" t="s">
        <v>7546</v>
      </c>
      <c r="W907" s="1" t="s">
        <v>74</v>
      </c>
      <c r="X907" s="1" t="s">
        <v>74</v>
      </c>
      <c r="Y907" s="1" t="s">
        <v>74</v>
      </c>
      <c r="Z907" s="1" t="s">
        <v>74</v>
      </c>
      <c r="AA907" s="1" t="s">
        <v>74</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7547</v>
      </c>
      <c r="AP907" s="1" t="s">
        <v>7548</v>
      </c>
      <c r="AQ907" s="1" t="s">
        <v>74</v>
      </c>
      <c r="AR907" s="1" t="s">
        <v>74</v>
      </c>
      <c r="AS907" s="1" t="s">
        <v>74</v>
      </c>
      <c r="AT907" s="1" t="s">
        <v>4764</v>
      </c>
      <c r="AU907" s="1">
        <v>2004.0</v>
      </c>
      <c r="AV907" s="1">
        <v>31.0</v>
      </c>
      <c r="AW907" s="1" t="s">
        <v>6887</v>
      </c>
      <c r="AX907" s="1" t="s">
        <v>74</v>
      </c>
      <c r="AY907" s="1" t="s">
        <v>74</v>
      </c>
      <c r="AZ907" s="1" t="s">
        <v>74</v>
      </c>
      <c r="BA907" s="1" t="s">
        <v>74</v>
      </c>
      <c r="BB907" s="1">
        <v>83.0</v>
      </c>
      <c r="BC907" s="1">
        <v>85.0</v>
      </c>
      <c r="BD907" s="1" t="s">
        <v>74</v>
      </c>
      <c r="BE907" s="1" t="s">
        <v>7549</v>
      </c>
      <c r="BF907" s="2" t="str">
        <f>HYPERLINK("http://dx.doi.org/10.1016/j.molcatb.2004.07.009","http://dx.doi.org/10.1016/j.molcatb.2004.07.009")</f>
        <v>http://dx.doi.org/10.1016/j.molcatb.2004.07.009</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7550</v>
      </c>
      <c r="BT907" s="1" t="str">
        <f>HYPERLINK("https%3A%2F%2Fwww.webofscience.com%2Fwos%2Fwoscc%2Ffull-record%2FWOS:000225517400002","View Full Record in Web of Science")</f>
        <v>View Full Record in Web of Science</v>
      </c>
    </row>
    <row r="908" ht="12.75" customHeight="1">
      <c r="A908" s="1" t="s">
        <v>72</v>
      </c>
      <c r="B908" s="1" t="s">
        <v>7551</v>
      </c>
      <c r="C908" s="1" t="s">
        <v>74</v>
      </c>
      <c r="D908" s="1" t="s">
        <v>74</v>
      </c>
      <c r="E908" s="1" t="s">
        <v>74</v>
      </c>
      <c r="F908" s="1" t="s">
        <v>7551</v>
      </c>
      <c r="G908" s="1" t="s">
        <v>74</v>
      </c>
      <c r="H908" s="1" t="s">
        <v>74</v>
      </c>
      <c r="I908" s="1" t="s">
        <v>7552</v>
      </c>
      <c r="J908" s="1" t="s">
        <v>153</v>
      </c>
      <c r="K908" s="1" t="s">
        <v>74</v>
      </c>
      <c r="L908" s="1" t="s">
        <v>74</v>
      </c>
      <c r="M908" s="1" t="s">
        <v>74</v>
      </c>
      <c r="N908" s="1" t="s">
        <v>74</v>
      </c>
      <c r="O908" s="1" t="s">
        <v>74</v>
      </c>
      <c r="P908" s="1" t="s">
        <v>74</v>
      </c>
      <c r="Q908" s="1" t="s">
        <v>74</v>
      </c>
      <c r="R908" s="1" t="s">
        <v>74</v>
      </c>
      <c r="S908" s="1" t="s">
        <v>74</v>
      </c>
      <c r="T908" s="1" t="s">
        <v>74</v>
      </c>
      <c r="U908" s="1" t="s">
        <v>74</v>
      </c>
      <c r="V908" s="1" t="s">
        <v>7553</v>
      </c>
      <c r="W908" s="1" t="s">
        <v>74</v>
      </c>
      <c r="X908" s="1" t="s">
        <v>74</v>
      </c>
      <c r="Y908" s="1" t="s">
        <v>74</v>
      </c>
      <c r="Z908" s="1" t="s">
        <v>74</v>
      </c>
      <c r="AA908" s="1" t="s">
        <v>7554</v>
      </c>
      <c r="AB908" s="1" t="s">
        <v>7555</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156</v>
      </c>
      <c r="AP908" s="1" t="s">
        <v>74</v>
      </c>
      <c r="AQ908" s="1" t="s">
        <v>74</v>
      </c>
      <c r="AR908" s="1" t="s">
        <v>74</v>
      </c>
      <c r="AS908" s="1" t="s">
        <v>74</v>
      </c>
      <c r="AT908" s="1" t="s">
        <v>158</v>
      </c>
      <c r="AU908" s="1">
        <v>2003.0</v>
      </c>
      <c r="AV908" s="1">
        <v>7.0</v>
      </c>
      <c r="AW908" s="1">
        <v>9.0</v>
      </c>
      <c r="AX908" s="1" t="s">
        <v>74</v>
      </c>
      <c r="AY908" s="1" t="s">
        <v>74</v>
      </c>
      <c r="AZ908" s="1" t="s">
        <v>74</v>
      </c>
      <c r="BA908" s="1" t="s">
        <v>74</v>
      </c>
      <c r="BB908" s="1">
        <v>626.0</v>
      </c>
      <c r="BC908" s="1">
        <v>631.0</v>
      </c>
      <c r="BD908" s="1" t="s">
        <v>74</v>
      </c>
      <c r="BE908" s="1" t="s">
        <v>7556</v>
      </c>
      <c r="BF908" s="2" t="str">
        <f>HYPERLINK("http://dx.doi.org/10.1007/s10008-003-0437-1","http://dx.doi.org/10.1007/s10008-003-0437-1")</f>
        <v>http://dx.doi.org/10.1007/s10008-003-0437-1</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7557</v>
      </c>
      <c r="BT908" s="1" t="str">
        <f>HYPERLINK("https%3A%2F%2Fwww.webofscience.com%2Fwos%2Fwoscc%2Ffull-record%2FWOS:000185671900019","View Full Record in Web of Science")</f>
        <v>View Full Record in Web of Science</v>
      </c>
    </row>
    <row r="909" ht="12.75" customHeight="1">
      <c r="A909" s="1" t="s">
        <v>72</v>
      </c>
      <c r="B909" s="1" t="s">
        <v>7558</v>
      </c>
      <c r="C909" s="1" t="s">
        <v>74</v>
      </c>
      <c r="D909" s="1" t="s">
        <v>74</v>
      </c>
      <c r="E909" s="1" t="s">
        <v>74</v>
      </c>
      <c r="F909" s="1" t="s">
        <v>7558</v>
      </c>
      <c r="G909" s="1" t="s">
        <v>74</v>
      </c>
      <c r="H909" s="1" t="s">
        <v>74</v>
      </c>
      <c r="I909" s="1" t="s">
        <v>7559</v>
      </c>
      <c r="J909" s="1" t="s">
        <v>7560</v>
      </c>
      <c r="K909" s="1" t="s">
        <v>74</v>
      </c>
      <c r="L909" s="1" t="s">
        <v>74</v>
      </c>
      <c r="M909" s="1" t="s">
        <v>74</v>
      </c>
      <c r="N909" s="1" t="s">
        <v>74</v>
      </c>
      <c r="O909" s="1" t="s">
        <v>74</v>
      </c>
      <c r="P909" s="1" t="s">
        <v>74</v>
      </c>
      <c r="Q909" s="1" t="s">
        <v>74</v>
      </c>
      <c r="R909" s="1" t="s">
        <v>74</v>
      </c>
      <c r="S909" s="1" t="s">
        <v>74</v>
      </c>
      <c r="T909" s="1" t="s">
        <v>74</v>
      </c>
      <c r="U909" s="1" t="s">
        <v>74</v>
      </c>
      <c r="V909" s="1" t="s">
        <v>7561</v>
      </c>
      <c r="W909" s="1" t="s">
        <v>74</v>
      </c>
      <c r="X909" s="1" t="s">
        <v>74</v>
      </c>
      <c r="Y909" s="1" t="s">
        <v>74</v>
      </c>
      <c r="Z909" s="1" t="s">
        <v>74</v>
      </c>
      <c r="AA909" s="1" t="s">
        <v>7562</v>
      </c>
      <c r="AB909" s="1" t="s">
        <v>74</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7563</v>
      </c>
      <c r="AP909" s="1" t="s">
        <v>74</v>
      </c>
      <c r="AQ909" s="1" t="s">
        <v>74</v>
      </c>
      <c r="AR909" s="1" t="s">
        <v>74</v>
      </c>
      <c r="AS909" s="1" t="s">
        <v>74</v>
      </c>
      <c r="AT909" s="1" t="s">
        <v>91</v>
      </c>
      <c r="AU909" s="1">
        <v>2003.0</v>
      </c>
      <c r="AV909" s="1">
        <v>254.0</v>
      </c>
      <c r="AW909" s="1" t="s">
        <v>945</v>
      </c>
      <c r="AX909" s="1" t="s">
        <v>74</v>
      </c>
      <c r="AY909" s="1" t="s">
        <v>74</v>
      </c>
      <c r="AZ909" s="1" t="s">
        <v>74</v>
      </c>
      <c r="BA909" s="1" t="s">
        <v>74</v>
      </c>
      <c r="BB909" s="1">
        <v>378.0</v>
      </c>
      <c r="BC909" s="1">
        <v>383.0</v>
      </c>
      <c r="BD909" s="1" t="s">
        <v>74</v>
      </c>
      <c r="BE909" s="1" t="s">
        <v>7564</v>
      </c>
      <c r="BF909" s="2" t="str">
        <f>HYPERLINK("http://dx.doi.org/10.1016/S0022-0248(03)01157-6","http://dx.doi.org/10.1016/S0022-0248(03)01157-6")</f>
        <v>http://dx.doi.org/10.1016/S0022-0248(03)01157-6</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7565</v>
      </c>
      <c r="BT909" s="1" t="str">
        <f>HYPERLINK("https%3A%2F%2Fwww.webofscience.com%2Fwos%2Fwoscc%2Ffull-record%2FWOS:000183468100013","View Full Record in Web of Science")</f>
        <v>View Full Record in Web of Science</v>
      </c>
    </row>
    <row r="910" ht="12.75" customHeight="1">
      <c r="A910" s="1" t="s">
        <v>638</v>
      </c>
      <c r="B910" s="1" t="s">
        <v>7566</v>
      </c>
      <c r="C910" s="1" t="s">
        <v>74</v>
      </c>
      <c r="D910" s="1" t="s">
        <v>7567</v>
      </c>
      <c r="E910" s="1" t="s">
        <v>74</v>
      </c>
      <c r="F910" s="1" t="s">
        <v>7566</v>
      </c>
      <c r="G910" s="1" t="s">
        <v>74</v>
      </c>
      <c r="H910" s="1" t="s">
        <v>74</v>
      </c>
      <c r="I910" s="1" t="s">
        <v>7568</v>
      </c>
      <c r="J910" s="1" t="s">
        <v>7569</v>
      </c>
      <c r="K910" s="1" t="s">
        <v>2384</v>
      </c>
      <c r="L910" s="1" t="s">
        <v>74</v>
      </c>
      <c r="M910" s="1" t="s">
        <v>74</v>
      </c>
      <c r="N910" s="1" t="s">
        <v>74</v>
      </c>
      <c r="O910" s="1" t="s">
        <v>7570</v>
      </c>
      <c r="P910" s="1" t="s">
        <v>7571</v>
      </c>
      <c r="Q910" s="1" t="s">
        <v>7572</v>
      </c>
      <c r="R910" s="1" t="s">
        <v>7573</v>
      </c>
      <c r="S910" s="1" t="s">
        <v>74</v>
      </c>
      <c r="T910" s="1" t="s">
        <v>74</v>
      </c>
      <c r="U910" s="1" t="s">
        <v>74</v>
      </c>
      <c r="V910" s="1" t="s">
        <v>7574</v>
      </c>
      <c r="W910" s="1" t="s">
        <v>74</v>
      </c>
      <c r="X910" s="1" t="s">
        <v>74</v>
      </c>
      <c r="Y910" s="1" t="s">
        <v>74</v>
      </c>
      <c r="Z910" s="1" t="s">
        <v>74</v>
      </c>
      <c r="AA910" s="1" t="s">
        <v>74</v>
      </c>
      <c r="AB910" s="1" t="s">
        <v>74</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2391</v>
      </c>
      <c r="AP910" s="1" t="s">
        <v>74</v>
      </c>
      <c r="AQ910" s="1" t="s">
        <v>7575</v>
      </c>
      <c r="AR910" s="1" t="s">
        <v>74</v>
      </c>
      <c r="AS910" s="1" t="s">
        <v>74</v>
      </c>
      <c r="AT910" s="1" t="s">
        <v>74</v>
      </c>
      <c r="AU910" s="1">
        <v>2003.0</v>
      </c>
      <c r="AV910" s="1" t="s">
        <v>7576</v>
      </c>
      <c r="AW910" s="1" t="s">
        <v>74</v>
      </c>
      <c r="AX910" s="1" t="s">
        <v>74</v>
      </c>
      <c r="AY910" s="1" t="s">
        <v>74</v>
      </c>
      <c r="AZ910" s="1" t="s">
        <v>74</v>
      </c>
      <c r="BA910" s="1" t="s">
        <v>74</v>
      </c>
      <c r="BB910" s="1">
        <v>487.0</v>
      </c>
      <c r="BC910" s="1">
        <v>492.0</v>
      </c>
      <c r="BD910" s="1" t="s">
        <v>74</v>
      </c>
      <c r="BE910" s="1" t="s">
        <v>7577</v>
      </c>
      <c r="BF910" s="2" t="str">
        <f>HYPERLINK("http://dx.doi.org/10.4028/www.scientific.net/MSF.416-418.487","http://dx.doi.org/10.4028/www.scientific.net/MSF.416-418.487")</f>
        <v>http://dx.doi.org/10.4028/www.scientific.net/MSF.416-418.487</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7578</v>
      </c>
      <c r="BT910" s="1" t="str">
        <f>HYPERLINK("https%3A%2F%2Fwww.webofscience.com%2Fwos%2Fwoscc%2Ffull-record%2FWOS:000182605200080","View Full Record in Web of Science")</f>
        <v>View Full Record in Web of Science</v>
      </c>
    </row>
    <row r="911" ht="12.75" customHeight="1">
      <c r="A911" s="1" t="s">
        <v>72</v>
      </c>
      <c r="B911" s="1" t="s">
        <v>7579</v>
      </c>
      <c r="C911" s="1" t="s">
        <v>74</v>
      </c>
      <c r="D911" s="1" t="s">
        <v>74</v>
      </c>
      <c r="E911" s="1" t="s">
        <v>74</v>
      </c>
      <c r="F911" s="1" t="s">
        <v>7579</v>
      </c>
      <c r="G911" s="1" t="s">
        <v>74</v>
      </c>
      <c r="H911" s="1" t="s">
        <v>74</v>
      </c>
      <c r="I911" s="1" t="s">
        <v>7580</v>
      </c>
      <c r="J911" s="1" t="s">
        <v>7581</v>
      </c>
      <c r="K911" s="1" t="s">
        <v>74</v>
      </c>
      <c r="L911" s="1" t="s">
        <v>74</v>
      </c>
      <c r="M911" s="1" t="s">
        <v>74</v>
      </c>
      <c r="N911" s="1" t="s">
        <v>74</v>
      </c>
      <c r="O911" s="1" t="s">
        <v>74</v>
      </c>
      <c r="P911" s="1" t="s">
        <v>74</v>
      </c>
      <c r="Q911" s="1" t="s">
        <v>74</v>
      </c>
      <c r="R911" s="1" t="s">
        <v>74</v>
      </c>
      <c r="S911" s="1" t="s">
        <v>74</v>
      </c>
      <c r="T911" s="1" t="s">
        <v>74</v>
      </c>
      <c r="U911" s="1" t="s">
        <v>74</v>
      </c>
      <c r="V911" s="1" t="s">
        <v>74</v>
      </c>
      <c r="W911" s="1" t="s">
        <v>74</v>
      </c>
      <c r="X911" s="1" t="s">
        <v>74</v>
      </c>
      <c r="Y911" s="1" t="s">
        <v>74</v>
      </c>
      <c r="Z911" s="1" t="s">
        <v>74</v>
      </c>
      <c r="AA911" s="1" t="s">
        <v>450</v>
      </c>
      <c r="AB911" s="1" t="s">
        <v>74</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7582</v>
      </c>
      <c r="AP911" s="1" t="s">
        <v>74</v>
      </c>
      <c r="AQ911" s="1" t="s">
        <v>74</v>
      </c>
      <c r="AR911" s="1" t="s">
        <v>74</v>
      </c>
      <c r="AS911" s="1" t="s">
        <v>74</v>
      </c>
      <c r="AT911" s="1" t="s">
        <v>7583</v>
      </c>
      <c r="AU911" s="1">
        <v>2001.0</v>
      </c>
      <c r="AV911" s="1">
        <v>202.0</v>
      </c>
      <c r="AW911" s="1">
        <v>12.0</v>
      </c>
      <c r="AX911" s="1" t="s">
        <v>74</v>
      </c>
      <c r="AY911" s="1" t="s">
        <v>74</v>
      </c>
      <c r="AZ911" s="1" t="s">
        <v>74</v>
      </c>
      <c r="BA911" s="1" t="s">
        <v>74</v>
      </c>
      <c r="BB911" s="1">
        <v>2581.0</v>
      </c>
      <c r="BC911" s="1">
        <v>2585.0</v>
      </c>
      <c r="BD911" s="1" t="s">
        <v>74</v>
      </c>
      <c r="BE911" s="1" t="s">
        <v>7584</v>
      </c>
      <c r="BF911" s="2" t="str">
        <f>HYPERLINK("http://dx.doi.org/10.1002/1521-3935(20010801)202:12&lt;2581::AID-MACP2581&gt;3.0.CO;2-O","http://dx.doi.org/10.1002/1521-3935(20010801)202:12&lt;2581::AID-MACP2581&gt;3.0.CO;2-O")</f>
        <v>http://dx.doi.org/10.1002/1521-3935(20010801)202:12&lt;2581::AID-MACP2581&gt;3.0.CO;2-O</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7585</v>
      </c>
      <c r="BT911" s="1" t="str">
        <f>HYPERLINK("https%3A%2F%2Fwww.webofscience.com%2Fwos%2Fwoscc%2Ffull-record%2FWOS:000170985400013","View Full Record in Web of Science")</f>
        <v>View Full Record in Web of Science</v>
      </c>
    </row>
    <row r="912" ht="12.75" customHeight="1">
      <c r="A912" s="1" t="s">
        <v>72</v>
      </c>
      <c r="B912" s="1" t="s">
        <v>7586</v>
      </c>
      <c r="C912" s="1" t="s">
        <v>74</v>
      </c>
      <c r="D912" s="1" t="s">
        <v>74</v>
      </c>
      <c r="E912" s="1" t="s">
        <v>74</v>
      </c>
      <c r="F912" s="1" t="s">
        <v>7586</v>
      </c>
      <c r="G912" s="1" t="s">
        <v>74</v>
      </c>
      <c r="H912" s="1" t="s">
        <v>74</v>
      </c>
      <c r="I912" s="1" t="s">
        <v>7587</v>
      </c>
      <c r="J912" s="1" t="s">
        <v>7037</v>
      </c>
      <c r="K912" s="1" t="s">
        <v>74</v>
      </c>
      <c r="L912" s="1" t="s">
        <v>74</v>
      </c>
      <c r="M912" s="1" t="s">
        <v>74</v>
      </c>
      <c r="N912" s="1" t="s">
        <v>74</v>
      </c>
      <c r="O912" s="1" t="s">
        <v>74</v>
      </c>
      <c r="P912" s="1" t="s">
        <v>74</v>
      </c>
      <c r="Q912" s="1" t="s">
        <v>74</v>
      </c>
      <c r="R912" s="1" t="s">
        <v>74</v>
      </c>
      <c r="S912" s="1" t="s">
        <v>74</v>
      </c>
      <c r="T912" s="1" t="s">
        <v>74</v>
      </c>
      <c r="U912" s="1" t="s">
        <v>74</v>
      </c>
      <c r="V912" s="1" t="s">
        <v>7588</v>
      </c>
      <c r="W912" s="1" t="s">
        <v>74</v>
      </c>
      <c r="X912" s="1" t="s">
        <v>74</v>
      </c>
      <c r="Y912" s="1" t="s">
        <v>74</v>
      </c>
      <c r="Z912" s="1" t="s">
        <v>74</v>
      </c>
      <c r="AA912" s="1" t="s">
        <v>74</v>
      </c>
      <c r="AB912" s="1" t="s">
        <v>74</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7039</v>
      </c>
      <c r="AP912" s="1" t="s">
        <v>74</v>
      </c>
      <c r="AQ912" s="1" t="s">
        <v>74</v>
      </c>
      <c r="AR912" s="1" t="s">
        <v>74</v>
      </c>
      <c r="AS912" s="1" t="s">
        <v>74</v>
      </c>
      <c r="AT912" s="1" t="s">
        <v>1640</v>
      </c>
      <c r="AU912" s="1">
        <v>2000.0</v>
      </c>
      <c r="AV912" s="1">
        <v>28.0</v>
      </c>
      <c r="AW912" s="1">
        <v>7.0</v>
      </c>
      <c r="AX912" s="1" t="s">
        <v>74</v>
      </c>
      <c r="AY912" s="1" t="s">
        <v>74</v>
      </c>
      <c r="AZ912" s="1" t="s">
        <v>74</v>
      </c>
      <c r="BA912" s="1" t="s">
        <v>74</v>
      </c>
      <c r="BB912" s="1">
        <v>1051.0</v>
      </c>
      <c r="BC912" s="1">
        <v>1055.0</v>
      </c>
      <c r="BD912" s="1" t="s">
        <v>74</v>
      </c>
      <c r="BE912" s="1" t="s">
        <v>7589</v>
      </c>
      <c r="BF912" s="2" t="str">
        <f>HYPERLINK("http://dx.doi.org/10.1016/S0891-5849(00)00193-3","http://dx.doi.org/10.1016/S0891-5849(00)00193-3")</f>
        <v>http://dx.doi.org/10.1016/S0891-5849(00)00193-3</v>
      </c>
      <c r="BG912" s="1" t="s">
        <v>74</v>
      </c>
      <c r="BH912" s="1" t="s">
        <v>74</v>
      </c>
      <c r="BI912" s="1" t="s">
        <v>74</v>
      </c>
      <c r="BJ912" s="1" t="s">
        <v>74</v>
      </c>
      <c r="BK912" s="1" t="s">
        <v>74</v>
      </c>
      <c r="BL912" s="1" t="s">
        <v>74</v>
      </c>
      <c r="BM912" s="1" t="s">
        <v>74</v>
      </c>
      <c r="BN912" s="1">
        <v>1.0832066E7</v>
      </c>
      <c r="BO912" s="1" t="s">
        <v>74</v>
      </c>
      <c r="BP912" s="1" t="s">
        <v>74</v>
      </c>
      <c r="BQ912" s="1" t="s">
        <v>74</v>
      </c>
      <c r="BR912" s="1" t="s">
        <v>74</v>
      </c>
      <c r="BS912" s="1" t="s">
        <v>7590</v>
      </c>
      <c r="BT912" s="1" t="str">
        <f>HYPERLINK("https%3A%2F%2Fwww.webofscience.com%2Fwos%2Fwoscc%2Ffull-record%2FWOS:000087551200005","View Full Record in Web of Science")</f>
        <v>View Full Record in Web of Science</v>
      </c>
    </row>
    <row r="913" ht="12.75" customHeight="1">
      <c r="A913" s="1" t="s">
        <v>72</v>
      </c>
      <c r="B913" s="1" t="s">
        <v>7591</v>
      </c>
      <c r="C913" s="1" t="s">
        <v>74</v>
      </c>
      <c r="D913" s="1" t="s">
        <v>74</v>
      </c>
      <c r="E913" s="1" t="s">
        <v>74</v>
      </c>
      <c r="F913" s="1" t="s">
        <v>7591</v>
      </c>
      <c r="G913" s="1" t="s">
        <v>74</v>
      </c>
      <c r="H913" s="1" t="s">
        <v>74</v>
      </c>
      <c r="I913" s="1" t="s">
        <v>7592</v>
      </c>
      <c r="J913" s="1" t="s">
        <v>1691</v>
      </c>
      <c r="K913" s="1" t="s">
        <v>74</v>
      </c>
      <c r="L913" s="1" t="s">
        <v>74</v>
      </c>
      <c r="M913" s="1" t="s">
        <v>74</v>
      </c>
      <c r="N913" s="1" t="s">
        <v>74</v>
      </c>
      <c r="O913" s="1" t="s">
        <v>74</v>
      </c>
      <c r="P913" s="1" t="s">
        <v>74</v>
      </c>
      <c r="Q913" s="1" t="s">
        <v>74</v>
      </c>
      <c r="R913" s="1" t="s">
        <v>74</v>
      </c>
      <c r="S913" s="1" t="s">
        <v>74</v>
      </c>
      <c r="T913" s="1" t="s">
        <v>74</v>
      </c>
      <c r="U913" s="1" t="s">
        <v>74</v>
      </c>
      <c r="V913" s="1" t="s">
        <v>7593</v>
      </c>
      <c r="W913" s="1" t="s">
        <v>74</v>
      </c>
      <c r="X913" s="1" t="s">
        <v>74</v>
      </c>
      <c r="Y913" s="1" t="s">
        <v>74</v>
      </c>
      <c r="Z913" s="1" t="s">
        <v>74</v>
      </c>
      <c r="AA913" s="1" t="s">
        <v>3231</v>
      </c>
      <c r="AB913" s="1" t="s">
        <v>74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1693</v>
      </c>
      <c r="AP913" s="1" t="s">
        <v>74</v>
      </c>
      <c r="AQ913" s="1" t="s">
        <v>74</v>
      </c>
      <c r="AR913" s="1" t="s">
        <v>74</v>
      </c>
      <c r="AS913" s="1" t="s">
        <v>74</v>
      </c>
      <c r="AT913" s="1" t="s">
        <v>7594</v>
      </c>
      <c r="AU913" s="1">
        <v>2000.0</v>
      </c>
      <c r="AV913" s="1">
        <v>16.0</v>
      </c>
      <c r="AW913" s="1">
        <v>1.0</v>
      </c>
      <c r="AX913" s="1" t="s">
        <v>74</v>
      </c>
      <c r="AY913" s="1" t="s">
        <v>74</v>
      </c>
      <c r="AZ913" s="1" t="s">
        <v>74</v>
      </c>
      <c r="BA913" s="1" t="s">
        <v>74</v>
      </c>
      <c r="BB913" s="1">
        <v>178.0</v>
      </c>
      <c r="BC913" s="1">
        <v>181.0</v>
      </c>
      <c r="BD913" s="1" t="s">
        <v>74</v>
      </c>
      <c r="BE913" s="1" t="s">
        <v>7595</v>
      </c>
      <c r="BF913" s="2" t="str">
        <f>HYPERLINK("http://dx.doi.org/10.1021/la990720n","http://dx.doi.org/10.1021/la990720n")</f>
        <v>http://dx.doi.org/10.1021/la990720n</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7596</v>
      </c>
      <c r="BT913" s="1" t="str">
        <f>HYPERLINK("https%3A%2F%2Fwww.webofscience.com%2Fwos%2Fwoscc%2Ffull-record%2FWOS:000084698900028","View Full Record in Web of Science")</f>
        <v>View Full Record in Web of Science</v>
      </c>
    </row>
    <row r="914" ht="12.75" customHeight="1">
      <c r="A914" s="1" t="s">
        <v>72</v>
      </c>
      <c r="B914" s="1" t="s">
        <v>7597</v>
      </c>
      <c r="C914" s="1" t="s">
        <v>74</v>
      </c>
      <c r="D914" s="1" t="s">
        <v>74</v>
      </c>
      <c r="E914" s="1" t="s">
        <v>74</v>
      </c>
      <c r="F914" s="1" t="s">
        <v>7597</v>
      </c>
      <c r="G914" s="1" t="s">
        <v>74</v>
      </c>
      <c r="H914" s="1" t="s">
        <v>74</v>
      </c>
      <c r="I914" s="1" t="s">
        <v>7598</v>
      </c>
      <c r="J914" s="1" t="s">
        <v>7599</v>
      </c>
      <c r="K914" s="1" t="s">
        <v>74</v>
      </c>
      <c r="L914" s="1" t="s">
        <v>74</v>
      </c>
      <c r="M914" s="1" t="s">
        <v>74</v>
      </c>
      <c r="N914" s="1" t="s">
        <v>74</v>
      </c>
      <c r="O914" s="1" t="s">
        <v>74</v>
      </c>
      <c r="P914" s="1" t="s">
        <v>74</v>
      </c>
      <c r="Q914" s="1" t="s">
        <v>74</v>
      </c>
      <c r="R914" s="1" t="s">
        <v>74</v>
      </c>
      <c r="S914" s="1" t="s">
        <v>74</v>
      </c>
      <c r="T914" s="1" t="s">
        <v>74</v>
      </c>
      <c r="U914" s="1" t="s">
        <v>74</v>
      </c>
      <c r="V914" s="1" t="s">
        <v>7600</v>
      </c>
      <c r="W914" s="1" t="s">
        <v>74</v>
      </c>
      <c r="X914" s="1" t="s">
        <v>74</v>
      </c>
      <c r="Y914" s="1" t="s">
        <v>74</v>
      </c>
      <c r="Z914" s="1" t="s">
        <v>74</v>
      </c>
      <c r="AA914" s="1" t="s">
        <v>74</v>
      </c>
      <c r="AB914" s="1" t="s">
        <v>7601</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7602</v>
      </c>
      <c r="AP914" s="1" t="s">
        <v>74</v>
      </c>
      <c r="AQ914" s="1" t="s">
        <v>74</v>
      </c>
      <c r="AR914" s="1" t="s">
        <v>74</v>
      </c>
      <c r="AS914" s="1" t="s">
        <v>74</v>
      </c>
      <c r="AT914" s="1" t="s">
        <v>7199</v>
      </c>
      <c r="AU914" s="1">
        <v>1996.0</v>
      </c>
      <c r="AV914" s="1">
        <v>15.0</v>
      </c>
      <c r="AW914" s="1">
        <v>15.0</v>
      </c>
      <c r="AX914" s="1" t="s">
        <v>74</v>
      </c>
      <c r="AY914" s="1" t="s">
        <v>74</v>
      </c>
      <c r="AZ914" s="1" t="s">
        <v>74</v>
      </c>
      <c r="BA914" s="1" t="s">
        <v>74</v>
      </c>
      <c r="BB914" s="1">
        <v>3463.0</v>
      </c>
      <c r="BC914" s="1">
        <v>3465.0</v>
      </c>
      <c r="BD914" s="1" t="s">
        <v>74</v>
      </c>
      <c r="BE914" s="1" t="s">
        <v>7603</v>
      </c>
      <c r="BF914" s="2" t="str">
        <f>HYPERLINK("http://dx.doi.org/10.1021/om960107o","http://dx.doi.org/10.1021/om960107o")</f>
        <v>http://dx.doi.org/10.1021/om960107o</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7604</v>
      </c>
      <c r="BT914" s="1" t="str">
        <f>HYPERLINK("https%3A%2F%2Fwww.webofscience.com%2Fwos%2Fwoscc%2Ffull-record%2FWOS:A1996UZ01600031","View Full Record in Web of Science")</f>
        <v>View Full Record in Web of Science</v>
      </c>
    </row>
    <row r="915" ht="12.75" customHeight="1">
      <c r="A915" s="1" t="s">
        <v>72</v>
      </c>
      <c r="B915" s="1" t="s">
        <v>7605</v>
      </c>
      <c r="C915" s="1" t="s">
        <v>74</v>
      </c>
      <c r="D915" s="1" t="s">
        <v>74</v>
      </c>
      <c r="E915" s="1" t="s">
        <v>74</v>
      </c>
      <c r="F915" s="1" t="s">
        <v>7605</v>
      </c>
      <c r="G915" s="1" t="s">
        <v>74</v>
      </c>
      <c r="H915" s="1" t="s">
        <v>74</v>
      </c>
      <c r="I915" s="1" t="s">
        <v>7606</v>
      </c>
      <c r="J915" s="1" t="s">
        <v>7607</v>
      </c>
      <c r="K915" s="1" t="s">
        <v>74</v>
      </c>
      <c r="L915" s="1" t="s">
        <v>74</v>
      </c>
      <c r="M915" s="1" t="s">
        <v>74</v>
      </c>
      <c r="N915" s="1" t="s">
        <v>74</v>
      </c>
      <c r="O915" s="1" t="s">
        <v>74</v>
      </c>
      <c r="P915" s="1" t="s">
        <v>74</v>
      </c>
      <c r="Q915" s="1" t="s">
        <v>74</v>
      </c>
      <c r="R915" s="1" t="s">
        <v>74</v>
      </c>
      <c r="S915" s="1" t="s">
        <v>74</v>
      </c>
      <c r="T915" s="1" t="s">
        <v>74</v>
      </c>
      <c r="U915" s="1" t="s">
        <v>74</v>
      </c>
      <c r="V915" s="1" t="s">
        <v>7608</v>
      </c>
      <c r="W915" s="1" t="s">
        <v>74</v>
      </c>
      <c r="X915" s="1" t="s">
        <v>74</v>
      </c>
      <c r="Y915" s="1" t="s">
        <v>74</v>
      </c>
      <c r="Z915" s="1" t="s">
        <v>74</v>
      </c>
      <c r="AA915" s="1" t="s">
        <v>7609</v>
      </c>
      <c r="AB915" s="1" t="s">
        <v>7610</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7611</v>
      </c>
      <c r="AP915" s="1" t="s">
        <v>74</v>
      </c>
      <c r="AQ915" s="1" t="s">
        <v>74</v>
      </c>
      <c r="AR915" s="1" t="s">
        <v>74</v>
      </c>
      <c r="AS915" s="1" t="s">
        <v>74</v>
      </c>
      <c r="AT915" s="1" t="s">
        <v>193</v>
      </c>
      <c r="AU915" s="1">
        <v>1996.0</v>
      </c>
      <c r="AV915" s="1">
        <v>116.0</v>
      </c>
      <c r="AW915" s="1">
        <v>2.0</v>
      </c>
      <c r="AX915" s="1" t="s">
        <v>74</v>
      </c>
      <c r="AY915" s="1" t="s">
        <v>74</v>
      </c>
      <c r="AZ915" s="1" t="s">
        <v>74</v>
      </c>
      <c r="BA915" s="1" t="s">
        <v>74</v>
      </c>
      <c r="BB915" s="1">
        <v>395.0</v>
      </c>
      <c r="BC915" s="1">
        <v>402.0</v>
      </c>
      <c r="BD915" s="1" t="s">
        <v>74</v>
      </c>
      <c r="BE915" s="1" t="s">
        <v>7612</v>
      </c>
      <c r="BF915" s="2" t="str">
        <f>HYPERLINK("http://dx.doi.org/10.1051/aas:1996122","http://dx.doi.org/10.1051/aas:1996122")</f>
        <v>http://dx.doi.org/10.1051/aas:1996122</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7613</v>
      </c>
      <c r="BT915" s="1" t="str">
        <f>HYPERLINK("https%3A%2F%2Fwww.webofscience.com%2Fwos%2Fwoscc%2Ffull-record%2FWOS:A1996UE74000015","View Full Record in Web of Science")</f>
        <v>View Full Record in Web of Science</v>
      </c>
    </row>
    <row r="916" ht="12.75" customHeight="1">
      <c r="A916" s="1" t="s">
        <v>72</v>
      </c>
      <c r="B916" s="1" t="s">
        <v>7614</v>
      </c>
      <c r="C916" s="1" t="s">
        <v>74</v>
      </c>
      <c r="D916" s="1" t="s">
        <v>74</v>
      </c>
      <c r="E916" s="1" t="s">
        <v>74</v>
      </c>
      <c r="F916" s="1" t="s">
        <v>7615</v>
      </c>
      <c r="G916" s="1" t="s">
        <v>74</v>
      </c>
      <c r="H916" s="1" t="s">
        <v>74</v>
      </c>
      <c r="I916" s="1" t="s">
        <v>7616</v>
      </c>
      <c r="J916" s="1" t="s">
        <v>7617</v>
      </c>
      <c r="K916" s="1" t="s">
        <v>74</v>
      </c>
      <c r="L916" s="1" t="s">
        <v>74</v>
      </c>
      <c r="M916" s="1" t="s">
        <v>74</v>
      </c>
      <c r="N916" s="1" t="s">
        <v>74</v>
      </c>
      <c r="O916" s="1" t="s">
        <v>74</v>
      </c>
      <c r="P916" s="1" t="s">
        <v>74</v>
      </c>
      <c r="Q916" s="1" t="s">
        <v>74</v>
      </c>
      <c r="R916" s="1" t="s">
        <v>74</v>
      </c>
      <c r="S916" s="1" t="s">
        <v>74</v>
      </c>
      <c r="T916" s="1" t="s">
        <v>74</v>
      </c>
      <c r="U916" s="1" t="s">
        <v>74</v>
      </c>
      <c r="V916" s="1" t="s">
        <v>7618</v>
      </c>
      <c r="W916" s="1" t="s">
        <v>74</v>
      </c>
      <c r="X916" s="1" t="s">
        <v>74</v>
      </c>
      <c r="Y916" s="1" t="s">
        <v>74</v>
      </c>
      <c r="Z916" s="1" t="s">
        <v>74</v>
      </c>
      <c r="AA916" s="1" t="s">
        <v>74</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7619</v>
      </c>
      <c r="AP916" s="1" t="s">
        <v>7620</v>
      </c>
      <c r="AQ916" s="1" t="s">
        <v>74</v>
      </c>
      <c r="AR916" s="1" t="s">
        <v>74</v>
      </c>
      <c r="AS916" s="1" t="s">
        <v>74</v>
      </c>
      <c r="AT916" s="1" t="s">
        <v>82</v>
      </c>
      <c r="AU916" s="1">
        <v>2024.0</v>
      </c>
      <c r="AV916" s="1">
        <v>8.0</v>
      </c>
      <c r="AW916" s="1">
        <v>2.0</v>
      </c>
      <c r="AX916" s="1" t="s">
        <v>74</v>
      </c>
      <c r="AY916" s="1" t="s">
        <v>74</v>
      </c>
      <c r="AZ916" s="1" t="s">
        <v>74</v>
      </c>
      <c r="BA916" s="1" t="s">
        <v>74</v>
      </c>
      <c r="BB916" s="1">
        <v>632.0</v>
      </c>
      <c r="BC916" s="1">
        <v>654.0</v>
      </c>
      <c r="BD916" s="1" t="s">
        <v>74</v>
      </c>
      <c r="BE916" s="1" t="s">
        <v>7621</v>
      </c>
      <c r="BF916" s="2" t="str">
        <f>HYPERLINK("http://dx.doi.org/10.1007/s41603-024-00266-5","http://dx.doi.org/10.1007/s41603-024-00266-5")</f>
        <v>http://dx.doi.org/10.1007/s41603-024-00266-5</v>
      </c>
      <c r="BG916" s="1" t="s">
        <v>74</v>
      </c>
      <c r="BH916" s="1" t="s">
        <v>1800</v>
      </c>
      <c r="BI916" s="1" t="s">
        <v>74</v>
      </c>
      <c r="BJ916" s="1" t="s">
        <v>74</v>
      </c>
      <c r="BK916" s="1" t="s">
        <v>74</v>
      </c>
      <c r="BL916" s="1" t="s">
        <v>74</v>
      </c>
      <c r="BM916" s="1" t="s">
        <v>74</v>
      </c>
      <c r="BN916" s="1" t="s">
        <v>74</v>
      </c>
      <c r="BO916" s="1" t="s">
        <v>74</v>
      </c>
      <c r="BP916" s="1" t="s">
        <v>74</v>
      </c>
      <c r="BQ916" s="1" t="s">
        <v>74</v>
      </c>
      <c r="BR916" s="1" t="s">
        <v>74</v>
      </c>
      <c r="BS916" s="1" t="s">
        <v>7622</v>
      </c>
      <c r="BT916" s="1" t="str">
        <f>HYPERLINK("https%3A%2F%2Fwww.webofscience.com%2Fwos%2Fwoscc%2Ffull-record%2FWOS:001359337700001","View Full Record in Web of Science")</f>
        <v>View Full Record in Web of Science</v>
      </c>
    </row>
    <row r="917" ht="12.75" customHeight="1">
      <c r="A917" s="1" t="s">
        <v>72</v>
      </c>
      <c r="B917" s="1" t="s">
        <v>7623</v>
      </c>
      <c r="C917" s="1" t="s">
        <v>74</v>
      </c>
      <c r="D917" s="1" t="s">
        <v>74</v>
      </c>
      <c r="E917" s="1" t="s">
        <v>74</v>
      </c>
      <c r="F917" s="1" t="s">
        <v>7624</v>
      </c>
      <c r="G917" s="1" t="s">
        <v>74</v>
      </c>
      <c r="H917" s="1" t="s">
        <v>74</v>
      </c>
      <c r="I917" s="1" t="s">
        <v>7625</v>
      </c>
      <c r="J917" s="1" t="s">
        <v>5007</v>
      </c>
      <c r="K917" s="1" t="s">
        <v>74</v>
      </c>
      <c r="L917" s="1" t="s">
        <v>74</v>
      </c>
      <c r="M917" s="1" t="s">
        <v>74</v>
      </c>
      <c r="N917" s="1" t="s">
        <v>74</v>
      </c>
      <c r="O917" s="1" t="s">
        <v>74</v>
      </c>
      <c r="P917" s="1" t="s">
        <v>74</v>
      </c>
      <c r="Q917" s="1" t="s">
        <v>74</v>
      </c>
      <c r="R917" s="1" t="s">
        <v>74</v>
      </c>
      <c r="S917" s="1" t="s">
        <v>74</v>
      </c>
      <c r="T917" s="1" t="s">
        <v>74</v>
      </c>
      <c r="U917" s="1" t="s">
        <v>74</v>
      </c>
      <c r="V917" s="1" t="s">
        <v>7626</v>
      </c>
      <c r="W917" s="1" t="s">
        <v>74</v>
      </c>
      <c r="X917" s="1" t="s">
        <v>74</v>
      </c>
      <c r="Y917" s="1" t="s">
        <v>74</v>
      </c>
      <c r="Z917" s="1" t="s">
        <v>74</v>
      </c>
      <c r="AA917" s="1" t="s">
        <v>74</v>
      </c>
      <c r="AB917" s="1" t="s">
        <v>74</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5010</v>
      </c>
      <c r="AP917" s="1" t="s">
        <v>74</v>
      </c>
      <c r="AQ917" s="1" t="s">
        <v>74</v>
      </c>
      <c r="AR917" s="1" t="s">
        <v>74</v>
      </c>
      <c r="AS917" s="1" t="s">
        <v>74</v>
      </c>
      <c r="AT917" s="1" t="s">
        <v>74</v>
      </c>
      <c r="AU917" s="1">
        <v>2024.0</v>
      </c>
      <c r="AV917" s="1" t="s">
        <v>74</v>
      </c>
      <c r="AW917" s="1">
        <v>32.0</v>
      </c>
      <c r="AX917" s="1" t="s">
        <v>74</v>
      </c>
      <c r="AY917" s="1" t="s">
        <v>74</v>
      </c>
      <c r="AZ917" s="1" t="s">
        <v>74</v>
      </c>
      <c r="BA917" s="1" t="s">
        <v>74</v>
      </c>
      <c r="BB917" s="1" t="s">
        <v>74</v>
      </c>
      <c r="BC917" s="1" t="s">
        <v>74</v>
      </c>
      <c r="BD917" s="1" t="s">
        <v>74</v>
      </c>
      <c r="BE917" s="1" t="s">
        <v>74</v>
      </c>
      <c r="BF917" s="1" t="s">
        <v>74</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7627</v>
      </c>
      <c r="BT917" s="1" t="str">
        <f>HYPERLINK("https%3A%2F%2Fwww.webofscience.com%2Fwos%2Fwoscc%2Ffull-record%2FWOS:001416120600026","View Full Record in Web of Science")</f>
        <v>View Full Record in Web of Science</v>
      </c>
    </row>
    <row r="918" ht="12.75" customHeight="1">
      <c r="A918" s="1" t="s">
        <v>72</v>
      </c>
      <c r="B918" s="1" t="s">
        <v>7628</v>
      </c>
      <c r="C918" s="1" t="s">
        <v>74</v>
      </c>
      <c r="D918" s="1" t="s">
        <v>74</v>
      </c>
      <c r="E918" s="1" t="s">
        <v>74</v>
      </c>
      <c r="F918" s="1" t="s">
        <v>7629</v>
      </c>
      <c r="G918" s="1" t="s">
        <v>74</v>
      </c>
      <c r="H918" s="1" t="s">
        <v>74</v>
      </c>
      <c r="I918" s="1" t="s">
        <v>7630</v>
      </c>
      <c r="J918" s="1" t="s">
        <v>6450</v>
      </c>
      <c r="K918" s="1" t="s">
        <v>74</v>
      </c>
      <c r="L918" s="1" t="s">
        <v>74</v>
      </c>
      <c r="M918" s="1" t="s">
        <v>74</v>
      </c>
      <c r="N918" s="1" t="s">
        <v>74</v>
      </c>
      <c r="O918" s="1" t="s">
        <v>74</v>
      </c>
      <c r="P918" s="1" t="s">
        <v>74</v>
      </c>
      <c r="Q918" s="1" t="s">
        <v>74</v>
      </c>
      <c r="R918" s="1" t="s">
        <v>74</v>
      </c>
      <c r="S918" s="1" t="s">
        <v>74</v>
      </c>
      <c r="T918" s="1" t="s">
        <v>74</v>
      </c>
      <c r="U918" s="1" t="s">
        <v>74</v>
      </c>
      <c r="V918" s="1" t="s">
        <v>7631</v>
      </c>
      <c r="W918" s="1" t="s">
        <v>74</v>
      </c>
      <c r="X918" s="1" t="s">
        <v>74</v>
      </c>
      <c r="Y918" s="1" t="s">
        <v>74</v>
      </c>
      <c r="Z918" s="1" t="s">
        <v>74</v>
      </c>
      <c r="AA918" s="1" t="s">
        <v>2892</v>
      </c>
      <c r="AB918" s="1" t="s">
        <v>7632</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74</v>
      </c>
      <c r="AP918" s="1" t="s">
        <v>6454</v>
      </c>
      <c r="AQ918" s="1" t="s">
        <v>74</v>
      </c>
      <c r="AR918" s="1" t="s">
        <v>74</v>
      </c>
      <c r="AS918" s="1" t="s">
        <v>74</v>
      </c>
      <c r="AT918" s="1" t="s">
        <v>158</v>
      </c>
      <c r="AU918" s="1">
        <v>2022.0</v>
      </c>
      <c r="AV918" s="1">
        <v>14.0</v>
      </c>
      <c r="AW918" s="1">
        <v>9.0</v>
      </c>
      <c r="AX918" s="1" t="s">
        <v>74</v>
      </c>
      <c r="AY918" s="1" t="s">
        <v>74</v>
      </c>
      <c r="AZ918" s="1" t="s">
        <v>74</v>
      </c>
      <c r="BA918" s="1" t="s">
        <v>74</v>
      </c>
      <c r="BB918" s="1" t="s">
        <v>74</v>
      </c>
      <c r="BC918" s="1" t="s">
        <v>74</v>
      </c>
      <c r="BD918" s="1">
        <v>1866.0</v>
      </c>
      <c r="BE918" s="1" t="s">
        <v>7633</v>
      </c>
      <c r="BF918" s="2" t="str">
        <f>HYPERLINK("http://dx.doi.org/10.3390/sym14091866","http://dx.doi.org/10.3390/sym14091866")</f>
        <v>http://dx.doi.org/10.3390/sym14091866</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7634</v>
      </c>
      <c r="BT918" s="1" t="str">
        <f>HYPERLINK("https%3A%2F%2Fwww.webofscience.com%2Fwos%2Fwoscc%2Ffull-record%2FWOS:000859547600001","View Full Record in Web of Science")</f>
        <v>View Full Record in Web of Science</v>
      </c>
    </row>
    <row r="919" ht="12.75" customHeight="1">
      <c r="A919" s="1" t="s">
        <v>72</v>
      </c>
      <c r="B919" s="1" t="s">
        <v>7635</v>
      </c>
      <c r="C919" s="1" t="s">
        <v>74</v>
      </c>
      <c r="D919" s="1" t="s">
        <v>74</v>
      </c>
      <c r="E919" s="1" t="s">
        <v>74</v>
      </c>
      <c r="F919" s="1" t="s">
        <v>7636</v>
      </c>
      <c r="G919" s="1" t="s">
        <v>74</v>
      </c>
      <c r="H919" s="1" t="s">
        <v>74</v>
      </c>
      <c r="I919" s="1" t="s">
        <v>7637</v>
      </c>
      <c r="J919" s="1" t="s">
        <v>2575</v>
      </c>
      <c r="K919" s="1" t="s">
        <v>74</v>
      </c>
      <c r="L919" s="1" t="s">
        <v>74</v>
      </c>
      <c r="M919" s="1" t="s">
        <v>74</v>
      </c>
      <c r="N919" s="1" t="s">
        <v>74</v>
      </c>
      <c r="O919" s="1" t="s">
        <v>74</v>
      </c>
      <c r="P919" s="1" t="s">
        <v>74</v>
      </c>
      <c r="Q919" s="1" t="s">
        <v>74</v>
      </c>
      <c r="R919" s="1" t="s">
        <v>74</v>
      </c>
      <c r="S919" s="1" t="s">
        <v>74</v>
      </c>
      <c r="T919" s="1" t="s">
        <v>74</v>
      </c>
      <c r="U919" s="1" t="s">
        <v>74</v>
      </c>
      <c r="V919" s="1" t="s">
        <v>7638</v>
      </c>
      <c r="W919" s="1" t="s">
        <v>74</v>
      </c>
      <c r="X919" s="1" t="s">
        <v>74</v>
      </c>
      <c r="Y919" s="1" t="s">
        <v>74</v>
      </c>
      <c r="Z919" s="1" t="s">
        <v>74</v>
      </c>
      <c r="AA919" s="1" t="s">
        <v>7639</v>
      </c>
      <c r="AB919" s="1" t="s">
        <v>7640</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2578</v>
      </c>
      <c r="AP919" s="1" t="s">
        <v>74</v>
      </c>
      <c r="AQ919" s="1" t="s">
        <v>74</v>
      </c>
      <c r="AR919" s="1" t="s">
        <v>74</v>
      </c>
      <c r="AS919" s="1" t="s">
        <v>74</v>
      </c>
      <c r="AT919" s="1" t="s">
        <v>7641</v>
      </c>
      <c r="AU919" s="1">
        <v>2022.0</v>
      </c>
      <c r="AV919" s="1">
        <v>7.0</v>
      </c>
      <c r="AW919" s="1">
        <v>28.0</v>
      </c>
      <c r="AX919" s="1" t="s">
        <v>74</v>
      </c>
      <c r="AY919" s="1" t="s">
        <v>74</v>
      </c>
      <c r="AZ919" s="1" t="s">
        <v>74</v>
      </c>
      <c r="BA919" s="1" t="s">
        <v>74</v>
      </c>
      <c r="BB919" s="1">
        <v>24432.0</v>
      </c>
      <c r="BC919" s="1">
        <v>24437.0</v>
      </c>
      <c r="BD919" s="1" t="s">
        <v>74</v>
      </c>
      <c r="BE919" s="1" t="s">
        <v>7642</v>
      </c>
      <c r="BF919" s="2" t="str">
        <f>HYPERLINK("http://dx.doi.org/10.1021/acsomega.2c01856","http://dx.doi.org/10.1021/acsomega.2c01856")</f>
        <v>http://dx.doi.org/10.1021/acsomega.2c01856</v>
      </c>
      <c r="BG919" s="1" t="s">
        <v>74</v>
      </c>
      <c r="BH919" s="1" t="s">
        <v>7643</v>
      </c>
      <c r="BI919" s="1" t="s">
        <v>74</v>
      </c>
      <c r="BJ919" s="1" t="s">
        <v>74</v>
      </c>
      <c r="BK919" s="1" t="s">
        <v>74</v>
      </c>
      <c r="BL919" s="1" t="s">
        <v>74</v>
      </c>
      <c r="BM919" s="1" t="s">
        <v>74</v>
      </c>
      <c r="BN919" s="1">
        <v>3.5874204E7</v>
      </c>
      <c r="BO919" s="1" t="s">
        <v>74</v>
      </c>
      <c r="BP919" s="1" t="s">
        <v>74</v>
      </c>
      <c r="BQ919" s="1" t="s">
        <v>74</v>
      </c>
      <c r="BR919" s="1" t="s">
        <v>74</v>
      </c>
      <c r="BS919" s="1" t="s">
        <v>7644</v>
      </c>
      <c r="BT919" s="1" t="str">
        <f>HYPERLINK("https%3A%2F%2Fwww.webofscience.com%2Fwos%2Fwoscc%2Ffull-record%2FWOS:000827448600001","View Full Record in Web of Science")</f>
        <v>View Full Record in Web of Science</v>
      </c>
    </row>
    <row r="920" ht="12.75" customHeight="1">
      <c r="A920" s="1" t="s">
        <v>72</v>
      </c>
      <c r="B920" s="1" t="s">
        <v>7645</v>
      </c>
      <c r="C920" s="1" t="s">
        <v>74</v>
      </c>
      <c r="D920" s="1" t="s">
        <v>74</v>
      </c>
      <c r="E920" s="1" t="s">
        <v>74</v>
      </c>
      <c r="F920" s="1" t="s">
        <v>7646</v>
      </c>
      <c r="G920" s="1" t="s">
        <v>74</v>
      </c>
      <c r="H920" s="1" t="s">
        <v>74</v>
      </c>
      <c r="I920" s="1" t="s">
        <v>7647</v>
      </c>
      <c r="J920" s="1" t="s">
        <v>5319</v>
      </c>
      <c r="K920" s="1" t="s">
        <v>74</v>
      </c>
      <c r="L920" s="1" t="s">
        <v>74</v>
      </c>
      <c r="M920" s="1" t="s">
        <v>74</v>
      </c>
      <c r="N920" s="1" t="s">
        <v>74</v>
      </c>
      <c r="O920" s="1" t="s">
        <v>74</v>
      </c>
      <c r="P920" s="1" t="s">
        <v>74</v>
      </c>
      <c r="Q920" s="1" t="s">
        <v>74</v>
      </c>
      <c r="R920" s="1" t="s">
        <v>74</v>
      </c>
      <c r="S920" s="1" t="s">
        <v>74</v>
      </c>
      <c r="T920" s="1" t="s">
        <v>74</v>
      </c>
      <c r="U920" s="1" t="s">
        <v>74</v>
      </c>
      <c r="V920" s="1" t="s">
        <v>7648</v>
      </c>
      <c r="W920" s="1" t="s">
        <v>74</v>
      </c>
      <c r="X920" s="1" t="s">
        <v>74</v>
      </c>
      <c r="Y920" s="1" t="s">
        <v>74</v>
      </c>
      <c r="Z920" s="1" t="s">
        <v>74</v>
      </c>
      <c r="AA920" s="1" t="s">
        <v>74</v>
      </c>
      <c r="AB920" s="1" t="s">
        <v>7649</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5323</v>
      </c>
      <c r="AP920" s="1" t="s">
        <v>5324</v>
      </c>
      <c r="AQ920" s="1" t="s">
        <v>74</v>
      </c>
      <c r="AR920" s="1" t="s">
        <v>74</v>
      </c>
      <c r="AS920" s="1" t="s">
        <v>74</v>
      </c>
      <c r="AT920" s="1" t="s">
        <v>91</v>
      </c>
      <c r="AU920" s="1">
        <v>2021.0</v>
      </c>
      <c r="AV920" s="1">
        <v>146.0</v>
      </c>
      <c r="AW920" s="1" t="s">
        <v>74</v>
      </c>
      <c r="AX920" s="1" t="s">
        <v>74</v>
      </c>
      <c r="AY920" s="1" t="s">
        <v>74</v>
      </c>
      <c r="AZ920" s="1" t="s">
        <v>74</v>
      </c>
      <c r="BA920" s="1" t="s">
        <v>74</v>
      </c>
      <c r="BB920" s="1" t="s">
        <v>74</v>
      </c>
      <c r="BC920" s="1" t="s">
        <v>74</v>
      </c>
      <c r="BD920" s="1">
        <v>111471.0</v>
      </c>
      <c r="BE920" s="1" t="s">
        <v>7650</v>
      </c>
      <c r="BF920" s="2" t="str">
        <f>HYPERLINK("http://dx.doi.org/10.1016/j.lwt.2021.111471","http://dx.doi.org/10.1016/j.lwt.2021.111471")</f>
        <v>http://dx.doi.org/10.1016/j.lwt.2021.111471</v>
      </c>
      <c r="BG920" s="1" t="s">
        <v>74</v>
      </c>
      <c r="BH920" s="1" t="s">
        <v>3583</v>
      </c>
      <c r="BI920" s="1" t="s">
        <v>74</v>
      </c>
      <c r="BJ920" s="1" t="s">
        <v>74</v>
      </c>
      <c r="BK920" s="1" t="s">
        <v>74</v>
      </c>
      <c r="BL920" s="1" t="s">
        <v>74</v>
      </c>
      <c r="BM920" s="1" t="s">
        <v>74</v>
      </c>
      <c r="BN920" s="1" t="s">
        <v>74</v>
      </c>
      <c r="BO920" s="1" t="s">
        <v>74</v>
      </c>
      <c r="BP920" s="1" t="s">
        <v>74</v>
      </c>
      <c r="BQ920" s="1" t="s">
        <v>74</v>
      </c>
      <c r="BR920" s="1" t="s">
        <v>74</v>
      </c>
      <c r="BS920" s="1" t="s">
        <v>7651</v>
      </c>
      <c r="BT920" s="1" t="str">
        <f>HYPERLINK("https%3A%2F%2Fwww.webofscience.com%2Fwos%2Fwoscc%2Ffull-record%2FWOS:000663383500007","View Full Record in Web of Science")</f>
        <v>View Full Record in Web of Science</v>
      </c>
    </row>
    <row r="921" ht="12.75" customHeight="1">
      <c r="A921" s="1" t="s">
        <v>126</v>
      </c>
      <c r="B921" s="1" t="s">
        <v>7652</v>
      </c>
      <c r="C921" s="1" t="s">
        <v>74</v>
      </c>
      <c r="D921" s="1" t="s">
        <v>74</v>
      </c>
      <c r="E921" s="1" t="s">
        <v>128</v>
      </c>
      <c r="F921" s="1" t="s">
        <v>7653</v>
      </c>
      <c r="G921" s="1" t="s">
        <v>74</v>
      </c>
      <c r="H921" s="1" t="s">
        <v>74</v>
      </c>
      <c r="I921" s="1" t="s">
        <v>7654</v>
      </c>
      <c r="J921" s="1" t="s">
        <v>7655</v>
      </c>
      <c r="K921" s="1" t="s">
        <v>74</v>
      </c>
      <c r="L921" s="1" t="s">
        <v>74</v>
      </c>
      <c r="M921" s="1" t="s">
        <v>74</v>
      </c>
      <c r="N921" s="1" t="s">
        <v>74</v>
      </c>
      <c r="O921" s="1" t="s">
        <v>7656</v>
      </c>
      <c r="P921" s="1" t="s">
        <v>7657</v>
      </c>
      <c r="Q921" s="1" t="s">
        <v>7658</v>
      </c>
      <c r="R921" s="1" t="s">
        <v>1158</v>
      </c>
      <c r="S921" s="1" t="s">
        <v>7659</v>
      </c>
      <c r="T921" s="1" t="s">
        <v>74</v>
      </c>
      <c r="U921" s="1" t="s">
        <v>74</v>
      </c>
      <c r="V921" s="1" t="s">
        <v>7660</v>
      </c>
      <c r="W921" s="1" t="s">
        <v>74</v>
      </c>
      <c r="X921" s="1" t="s">
        <v>74</v>
      </c>
      <c r="Y921" s="1" t="s">
        <v>74</v>
      </c>
      <c r="Z921" s="1" t="s">
        <v>74</v>
      </c>
      <c r="AA921" s="1" t="s">
        <v>7661</v>
      </c>
      <c r="AB921" s="1" t="s">
        <v>7662</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74</v>
      </c>
      <c r="AP921" s="1" t="s">
        <v>74</v>
      </c>
      <c r="AQ921" s="1" t="s">
        <v>7663</v>
      </c>
      <c r="AR921" s="1" t="s">
        <v>74</v>
      </c>
      <c r="AS921" s="1" t="s">
        <v>74</v>
      </c>
      <c r="AT921" s="1" t="s">
        <v>74</v>
      </c>
      <c r="AU921" s="1">
        <v>2021.0</v>
      </c>
      <c r="AV921" s="1" t="s">
        <v>74</v>
      </c>
      <c r="AW921" s="1" t="s">
        <v>74</v>
      </c>
      <c r="AX921" s="1" t="s">
        <v>74</v>
      </c>
      <c r="AY921" s="1" t="s">
        <v>74</v>
      </c>
      <c r="AZ921" s="1" t="s">
        <v>74</v>
      </c>
      <c r="BA921" s="1" t="s">
        <v>74</v>
      </c>
      <c r="BB921" s="1" t="s">
        <v>74</v>
      </c>
      <c r="BC921" s="1" t="s">
        <v>74</v>
      </c>
      <c r="BD921" s="1" t="s">
        <v>74</v>
      </c>
      <c r="BE921" s="1" t="s">
        <v>7664</v>
      </c>
      <c r="BF921" s="2" t="str">
        <f>HYPERLINK("http://dx.doi.org/10.1109/SCCC54552.2021.9650434","http://dx.doi.org/10.1109/SCCC54552.2021.9650434")</f>
        <v>http://dx.doi.org/10.1109/SCCC54552.2021.9650434</v>
      </c>
      <c r="BG921" s="1" t="s">
        <v>74</v>
      </c>
      <c r="BH921" s="1" t="s">
        <v>74</v>
      </c>
      <c r="BI921" s="1" t="s">
        <v>74</v>
      </c>
      <c r="BJ921" s="1" t="s">
        <v>74</v>
      </c>
      <c r="BK921" s="1" t="s">
        <v>74</v>
      </c>
      <c r="BL921" s="1" t="s">
        <v>74</v>
      </c>
      <c r="BM921" s="1" t="s">
        <v>74</v>
      </c>
      <c r="BN921" s="1" t="s">
        <v>74</v>
      </c>
      <c r="BO921" s="1" t="s">
        <v>74</v>
      </c>
      <c r="BP921" s="1" t="s">
        <v>74</v>
      </c>
      <c r="BQ921" s="1" t="s">
        <v>74</v>
      </c>
      <c r="BR921" s="1" t="s">
        <v>74</v>
      </c>
      <c r="BS921" s="1" t="s">
        <v>7665</v>
      </c>
      <c r="BT921" s="1" t="str">
        <f>HYPERLINK("https%3A%2F%2Fwww.webofscience.com%2Fwos%2Fwoscc%2Ffull-record%2FWOS:000765927700043","View Full Record in Web of Science")</f>
        <v>View Full Record in Web of Science</v>
      </c>
    </row>
    <row r="922" ht="12.75" customHeight="1">
      <c r="A922" s="1" t="s">
        <v>72</v>
      </c>
      <c r="B922" s="1" t="s">
        <v>7666</v>
      </c>
      <c r="C922" s="1" t="s">
        <v>74</v>
      </c>
      <c r="D922" s="1" t="s">
        <v>74</v>
      </c>
      <c r="E922" s="1" t="s">
        <v>74</v>
      </c>
      <c r="F922" s="1" t="s">
        <v>7667</v>
      </c>
      <c r="G922" s="1" t="s">
        <v>74</v>
      </c>
      <c r="H922" s="1" t="s">
        <v>74</v>
      </c>
      <c r="I922" s="1" t="s">
        <v>7668</v>
      </c>
      <c r="J922" s="1" t="s">
        <v>7669</v>
      </c>
      <c r="K922" s="1" t="s">
        <v>74</v>
      </c>
      <c r="L922" s="1" t="s">
        <v>74</v>
      </c>
      <c r="M922" s="1" t="s">
        <v>74</v>
      </c>
      <c r="N922" s="1" t="s">
        <v>74</v>
      </c>
      <c r="O922" s="1" t="s">
        <v>74</v>
      </c>
      <c r="P922" s="1" t="s">
        <v>74</v>
      </c>
      <c r="Q922" s="1" t="s">
        <v>74</v>
      </c>
      <c r="R922" s="1" t="s">
        <v>74</v>
      </c>
      <c r="S922" s="1" t="s">
        <v>74</v>
      </c>
      <c r="T922" s="1" t="s">
        <v>74</v>
      </c>
      <c r="U922" s="1" t="s">
        <v>74</v>
      </c>
      <c r="V922" s="1" t="s">
        <v>7670</v>
      </c>
      <c r="W922" s="1" t="s">
        <v>74</v>
      </c>
      <c r="X922" s="1" t="s">
        <v>74</v>
      </c>
      <c r="Y922" s="1" t="s">
        <v>74</v>
      </c>
      <c r="Z922" s="1" t="s">
        <v>74</v>
      </c>
      <c r="AA922" s="1" t="s">
        <v>4450</v>
      </c>
      <c r="AB922" s="1" t="s">
        <v>7671</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7672</v>
      </c>
      <c r="AP922" s="1" t="s">
        <v>7673</v>
      </c>
      <c r="AQ922" s="1" t="s">
        <v>74</v>
      </c>
      <c r="AR922" s="1" t="s">
        <v>74</v>
      </c>
      <c r="AS922" s="1" t="s">
        <v>74</v>
      </c>
      <c r="AT922" s="1" t="s">
        <v>7674</v>
      </c>
      <c r="AU922" s="1">
        <v>2020.0</v>
      </c>
      <c r="AV922" s="1">
        <v>126.0</v>
      </c>
      <c r="AW922" s="1" t="s">
        <v>74</v>
      </c>
      <c r="AX922" s="1" t="s">
        <v>74</v>
      </c>
      <c r="AY922" s="1" t="s">
        <v>74</v>
      </c>
      <c r="AZ922" s="1" t="s">
        <v>74</v>
      </c>
      <c r="BA922" s="1" t="s">
        <v>74</v>
      </c>
      <c r="BB922" s="1" t="s">
        <v>74</v>
      </c>
      <c r="BC922" s="1" t="s">
        <v>74</v>
      </c>
      <c r="BD922" s="1">
        <v>126025.0</v>
      </c>
      <c r="BE922" s="1" t="s">
        <v>7675</v>
      </c>
      <c r="BF922" s="2" t="str">
        <f>HYPERLINK("http://dx.doi.org/10.6028/jres.126.025","http://dx.doi.org/10.6028/jres.126.025")</f>
        <v>http://dx.doi.org/10.6028/jres.126.025</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7676</v>
      </c>
      <c r="BT922" s="1" t="str">
        <f>HYPERLINK("https%3A%2F%2Fwww.webofscience.com%2Fwos%2Fwoscc%2Ffull-record%2FWOS:000687787700001","View Full Record in Web of Science")</f>
        <v>View Full Record in Web of Science</v>
      </c>
    </row>
    <row r="923" ht="12.75" customHeight="1">
      <c r="A923" s="1" t="s">
        <v>72</v>
      </c>
      <c r="B923" s="1" t="s">
        <v>7677</v>
      </c>
      <c r="C923" s="1" t="s">
        <v>74</v>
      </c>
      <c r="D923" s="1" t="s">
        <v>74</v>
      </c>
      <c r="E923" s="1" t="s">
        <v>74</v>
      </c>
      <c r="F923" s="1" t="s">
        <v>7678</v>
      </c>
      <c r="G923" s="1" t="s">
        <v>74</v>
      </c>
      <c r="H923" s="1" t="s">
        <v>74</v>
      </c>
      <c r="I923" s="1" t="s">
        <v>7679</v>
      </c>
      <c r="J923" s="1" t="s">
        <v>7680</v>
      </c>
      <c r="K923" s="1" t="s">
        <v>74</v>
      </c>
      <c r="L923" s="1" t="s">
        <v>74</v>
      </c>
      <c r="M923" s="1" t="s">
        <v>74</v>
      </c>
      <c r="N923" s="1" t="s">
        <v>74</v>
      </c>
      <c r="O923" s="1" t="s">
        <v>74</v>
      </c>
      <c r="P923" s="1" t="s">
        <v>74</v>
      </c>
      <c r="Q923" s="1" t="s">
        <v>74</v>
      </c>
      <c r="R923" s="1" t="s">
        <v>74</v>
      </c>
      <c r="S923" s="1" t="s">
        <v>74</v>
      </c>
      <c r="T923" s="1" t="s">
        <v>74</v>
      </c>
      <c r="U923" s="1" t="s">
        <v>74</v>
      </c>
      <c r="V923" s="1" t="s">
        <v>7681</v>
      </c>
      <c r="W923" s="1" t="s">
        <v>74</v>
      </c>
      <c r="X923" s="1" t="s">
        <v>74</v>
      </c>
      <c r="Y923" s="1" t="s">
        <v>74</v>
      </c>
      <c r="Z923" s="1" t="s">
        <v>74</v>
      </c>
      <c r="AA923" s="1" t="s">
        <v>4519</v>
      </c>
      <c r="AB923" s="1" t="s">
        <v>7682</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7683</v>
      </c>
      <c r="AP923" s="1" t="s">
        <v>74</v>
      </c>
      <c r="AQ923" s="1" t="s">
        <v>74</v>
      </c>
      <c r="AR923" s="1" t="s">
        <v>74</v>
      </c>
      <c r="AS923" s="1" t="s">
        <v>74</v>
      </c>
      <c r="AT923" s="1" t="s">
        <v>7684</v>
      </c>
      <c r="AU923" s="1">
        <v>2020.0</v>
      </c>
      <c r="AV923" s="1">
        <v>59.0</v>
      </c>
      <c r="AW923" s="1">
        <v>31.0</v>
      </c>
      <c r="AX923" s="1" t="s">
        <v>74</v>
      </c>
      <c r="AY923" s="1" t="s">
        <v>74</v>
      </c>
      <c r="AZ923" s="1" t="s">
        <v>74</v>
      </c>
      <c r="BA923" s="1" t="s">
        <v>74</v>
      </c>
      <c r="BB923" s="1">
        <v>14064.0</v>
      </c>
      <c r="BC923" s="1">
        <v>14074.0</v>
      </c>
      <c r="BD923" s="1" t="s">
        <v>74</v>
      </c>
      <c r="BE923" s="1" t="s">
        <v>7685</v>
      </c>
      <c r="BF923" s="2" t="str">
        <f>HYPERLINK("http://dx.doi.org/10.1021/acs.iecr.0c01272","http://dx.doi.org/10.1021/acs.iecr.0c01272")</f>
        <v>http://dx.doi.org/10.1021/acs.iecr.0c01272</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7686</v>
      </c>
      <c r="BT923" s="1" t="str">
        <f>HYPERLINK("https%3A%2F%2Fwww.webofscience.com%2Fwos%2Fwoscc%2Ffull-record%2FWOS:000558791400023","View Full Record in Web of Science")</f>
        <v>View Full Record in Web of Science</v>
      </c>
    </row>
    <row r="924" ht="12.75" customHeight="1">
      <c r="A924" s="1" t="s">
        <v>72</v>
      </c>
      <c r="B924" s="1" t="s">
        <v>7687</v>
      </c>
      <c r="C924" s="1" t="s">
        <v>74</v>
      </c>
      <c r="D924" s="1" t="s">
        <v>74</v>
      </c>
      <c r="E924" s="1" t="s">
        <v>74</v>
      </c>
      <c r="F924" s="1" t="s">
        <v>7688</v>
      </c>
      <c r="G924" s="1" t="s">
        <v>74</v>
      </c>
      <c r="H924" s="1" t="s">
        <v>74</v>
      </c>
      <c r="I924" s="1" t="s">
        <v>7689</v>
      </c>
      <c r="J924" s="1" t="s">
        <v>7690</v>
      </c>
      <c r="K924" s="1" t="s">
        <v>74</v>
      </c>
      <c r="L924" s="1" t="s">
        <v>74</v>
      </c>
      <c r="M924" s="1" t="s">
        <v>74</v>
      </c>
      <c r="N924" s="1" t="s">
        <v>74</v>
      </c>
      <c r="O924" s="1" t="s">
        <v>74</v>
      </c>
      <c r="P924" s="1" t="s">
        <v>74</v>
      </c>
      <c r="Q924" s="1" t="s">
        <v>74</v>
      </c>
      <c r="R924" s="1" t="s">
        <v>74</v>
      </c>
      <c r="S924" s="1" t="s">
        <v>74</v>
      </c>
      <c r="T924" s="1" t="s">
        <v>74</v>
      </c>
      <c r="U924" s="1" t="s">
        <v>74</v>
      </c>
      <c r="V924" s="1" t="s">
        <v>7691</v>
      </c>
      <c r="W924" s="1" t="s">
        <v>74</v>
      </c>
      <c r="X924" s="1" t="s">
        <v>74</v>
      </c>
      <c r="Y924" s="1" t="s">
        <v>74</v>
      </c>
      <c r="Z924" s="1" t="s">
        <v>74</v>
      </c>
      <c r="AA924" s="1" t="s">
        <v>7692</v>
      </c>
      <c r="AB924" s="1" t="s">
        <v>74</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7693</v>
      </c>
      <c r="AP924" s="1" t="s">
        <v>74</v>
      </c>
      <c r="AQ924" s="1" t="s">
        <v>74</v>
      </c>
      <c r="AR924" s="1" t="s">
        <v>74</v>
      </c>
      <c r="AS924" s="1" t="s">
        <v>74</v>
      </c>
      <c r="AT924" s="1" t="s">
        <v>7694</v>
      </c>
      <c r="AU924" s="1">
        <v>2020.0</v>
      </c>
      <c r="AV924" s="1">
        <v>6.0</v>
      </c>
      <c r="AW924" s="1">
        <v>1.0</v>
      </c>
      <c r="AX924" s="1" t="s">
        <v>74</v>
      </c>
      <c r="AY924" s="1" t="s">
        <v>74</v>
      </c>
      <c r="AZ924" s="1" t="s">
        <v>74</v>
      </c>
      <c r="BA924" s="1" t="s">
        <v>74</v>
      </c>
      <c r="BB924" s="1">
        <v>7.0</v>
      </c>
      <c r="BC924" s="1">
        <v>9.0</v>
      </c>
      <c r="BD924" s="1" t="s">
        <v>74</v>
      </c>
      <c r="BE924" s="1" t="s">
        <v>7695</v>
      </c>
      <c r="BF924" s="2" t="str">
        <f>HYPERLINK("http://dx.doi.org/10.1016/j.chempr.2019.12.025","http://dx.doi.org/10.1016/j.chempr.2019.12.025")</f>
        <v>http://dx.doi.org/10.1016/j.chempr.2019.12.025</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7696</v>
      </c>
      <c r="BT924" s="1" t="str">
        <f>HYPERLINK("https%3A%2F%2Fwww.webofscience.com%2Fwos%2Fwoscc%2Ffull-record%2FWOS:000506655500003","View Full Record in Web of Science")</f>
        <v>View Full Record in Web of Science</v>
      </c>
    </row>
    <row r="925" ht="12.75" customHeight="1">
      <c r="A925" s="1" t="s">
        <v>105</v>
      </c>
      <c r="B925" s="1" t="s">
        <v>7697</v>
      </c>
      <c r="C925" s="1" t="s">
        <v>74</v>
      </c>
      <c r="D925" s="1" t="s">
        <v>74</v>
      </c>
      <c r="E925" s="1" t="s">
        <v>228</v>
      </c>
      <c r="F925" s="1" t="s">
        <v>7698</v>
      </c>
      <c r="G925" s="1" t="s">
        <v>74</v>
      </c>
      <c r="H925" s="1" t="s">
        <v>74</v>
      </c>
      <c r="I925" s="1" t="s">
        <v>7699</v>
      </c>
      <c r="J925" s="1" t="s">
        <v>1996</v>
      </c>
      <c r="K925" s="1" t="s">
        <v>74</v>
      </c>
      <c r="L925" s="1" t="s">
        <v>74</v>
      </c>
      <c r="M925" s="1" t="s">
        <v>74</v>
      </c>
      <c r="N925" s="1" t="s">
        <v>74</v>
      </c>
      <c r="O925" s="1" t="s">
        <v>74</v>
      </c>
      <c r="P925" s="1" t="s">
        <v>74</v>
      </c>
      <c r="Q925" s="1" t="s">
        <v>74</v>
      </c>
      <c r="R925" s="1" t="s">
        <v>74</v>
      </c>
      <c r="S925" s="1" t="s">
        <v>74</v>
      </c>
      <c r="T925" s="1" t="s">
        <v>74</v>
      </c>
      <c r="U925" s="1" t="s">
        <v>74</v>
      </c>
      <c r="V925" s="1" t="s">
        <v>7700</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74</v>
      </c>
      <c r="AP925" s="1" t="s">
        <v>74</v>
      </c>
      <c r="AQ925" s="1" t="s">
        <v>1998</v>
      </c>
      <c r="AR925" s="1" t="s">
        <v>74</v>
      </c>
      <c r="AS925" s="1" t="s">
        <v>74</v>
      </c>
      <c r="AT925" s="1" t="s">
        <v>74</v>
      </c>
      <c r="AU925" s="1">
        <v>2020.0</v>
      </c>
      <c r="AV925" s="1" t="s">
        <v>74</v>
      </c>
      <c r="AW925" s="1" t="s">
        <v>74</v>
      </c>
      <c r="AX925" s="1" t="s">
        <v>74</v>
      </c>
      <c r="AY925" s="1" t="s">
        <v>74</v>
      </c>
      <c r="AZ925" s="1" t="s">
        <v>74</v>
      </c>
      <c r="BA925" s="1" t="s">
        <v>74</v>
      </c>
      <c r="BB925" s="1">
        <v>132.0</v>
      </c>
      <c r="BC925" s="1">
        <v>157.0</v>
      </c>
      <c r="BD925" s="1" t="s">
        <v>74</v>
      </c>
      <c r="BE925" s="1" t="s">
        <v>74</v>
      </c>
      <c r="BF925" s="1" t="s">
        <v>74</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7701</v>
      </c>
      <c r="BT925" s="1" t="str">
        <f>HYPERLINK("https%3A%2F%2Fwww.webofscience.com%2Fwos%2Fwoscc%2Ffull-record%2FWOS:000608874800009","View Full Record in Web of Science")</f>
        <v>View Full Record in Web of Science</v>
      </c>
    </row>
    <row r="926" ht="12.75" customHeight="1">
      <c r="A926" s="1" t="s">
        <v>72</v>
      </c>
      <c r="B926" s="1" t="s">
        <v>7702</v>
      </c>
      <c r="C926" s="1" t="s">
        <v>74</v>
      </c>
      <c r="D926" s="1" t="s">
        <v>74</v>
      </c>
      <c r="E926" s="1" t="s">
        <v>74</v>
      </c>
      <c r="F926" s="1" t="s">
        <v>7703</v>
      </c>
      <c r="G926" s="1" t="s">
        <v>74</v>
      </c>
      <c r="H926" s="1" t="s">
        <v>74</v>
      </c>
      <c r="I926" s="1" t="s">
        <v>7704</v>
      </c>
      <c r="J926" s="1" t="s">
        <v>680</v>
      </c>
      <c r="K926" s="1" t="s">
        <v>74</v>
      </c>
      <c r="L926" s="1" t="s">
        <v>74</v>
      </c>
      <c r="M926" s="1" t="s">
        <v>74</v>
      </c>
      <c r="N926" s="1" t="s">
        <v>74</v>
      </c>
      <c r="O926" s="1" t="s">
        <v>74</v>
      </c>
      <c r="P926" s="1" t="s">
        <v>74</v>
      </c>
      <c r="Q926" s="1" t="s">
        <v>74</v>
      </c>
      <c r="R926" s="1" t="s">
        <v>74</v>
      </c>
      <c r="S926" s="1" t="s">
        <v>74</v>
      </c>
      <c r="T926" s="1" t="s">
        <v>74</v>
      </c>
      <c r="U926" s="1" t="s">
        <v>74</v>
      </c>
      <c r="V926" s="1" t="s">
        <v>7705</v>
      </c>
      <c r="W926" s="1" t="s">
        <v>74</v>
      </c>
      <c r="X926" s="1" t="s">
        <v>74</v>
      </c>
      <c r="Y926" s="1" t="s">
        <v>74</v>
      </c>
      <c r="Z926" s="1" t="s">
        <v>74</v>
      </c>
      <c r="AA926" s="1" t="s">
        <v>7706</v>
      </c>
      <c r="AB926" s="1" t="s">
        <v>7451</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684</v>
      </c>
      <c r="AP926" s="1" t="s">
        <v>1462</v>
      </c>
      <c r="AQ926" s="1" t="s">
        <v>74</v>
      </c>
      <c r="AR926" s="1" t="s">
        <v>74</v>
      </c>
      <c r="AS926" s="1" t="s">
        <v>74</v>
      </c>
      <c r="AT926" s="1" t="s">
        <v>7707</v>
      </c>
      <c r="AU926" s="1">
        <v>2019.0</v>
      </c>
      <c r="AV926" s="1">
        <v>52.0</v>
      </c>
      <c r="AW926" s="1">
        <v>1.0</v>
      </c>
      <c r="AX926" s="1" t="s">
        <v>74</v>
      </c>
      <c r="AY926" s="1" t="s">
        <v>74</v>
      </c>
      <c r="AZ926" s="1" t="s">
        <v>74</v>
      </c>
      <c r="BA926" s="1" t="s">
        <v>74</v>
      </c>
      <c r="BB926" s="1" t="s">
        <v>74</v>
      </c>
      <c r="BC926" s="1" t="s">
        <v>74</v>
      </c>
      <c r="BD926" s="1">
        <v>46.0</v>
      </c>
      <c r="BE926" s="1" t="s">
        <v>7708</v>
      </c>
      <c r="BF926" s="2" t="str">
        <f>HYPERLINK("http://dx.doi.org/10.1186/s40659-019-0251-6","http://dx.doi.org/10.1186/s40659-019-0251-6")</f>
        <v>http://dx.doi.org/10.1186/s40659-019-0251-6</v>
      </c>
      <c r="BG926" s="1" t="s">
        <v>74</v>
      </c>
      <c r="BH926" s="1" t="s">
        <v>74</v>
      </c>
      <c r="BI926" s="1" t="s">
        <v>74</v>
      </c>
      <c r="BJ926" s="1" t="s">
        <v>74</v>
      </c>
      <c r="BK926" s="1" t="s">
        <v>74</v>
      </c>
      <c r="BL926" s="1" t="s">
        <v>74</v>
      </c>
      <c r="BM926" s="1" t="s">
        <v>74</v>
      </c>
      <c r="BN926" s="1">
        <v>3.1434576E7</v>
      </c>
      <c r="BO926" s="1" t="s">
        <v>74</v>
      </c>
      <c r="BP926" s="1" t="s">
        <v>74</v>
      </c>
      <c r="BQ926" s="1" t="s">
        <v>74</v>
      </c>
      <c r="BR926" s="1" t="s">
        <v>74</v>
      </c>
      <c r="BS926" s="1" t="s">
        <v>7709</v>
      </c>
      <c r="BT926" s="1" t="str">
        <f>HYPERLINK("https%3A%2F%2Fwww.webofscience.com%2Fwos%2Fwoscc%2Ffull-record%2FWOS:000483028400001","View Full Record in Web of Science")</f>
        <v>View Full Record in Web of Science</v>
      </c>
    </row>
    <row r="927" ht="12.75" customHeight="1">
      <c r="A927" s="1" t="s">
        <v>105</v>
      </c>
      <c r="B927" s="1" t="s">
        <v>7710</v>
      </c>
      <c r="C927" s="1" t="s">
        <v>7711</v>
      </c>
      <c r="D927" s="1" t="s">
        <v>74</v>
      </c>
      <c r="E927" s="1" t="s">
        <v>74</v>
      </c>
      <c r="F927" s="1" t="s">
        <v>7712</v>
      </c>
      <c r="G927" s="1" t="s">
        <v>7711</v>
      </c>
      <c r="H927" s="1" t="s">
        <v>74</v>
      </c>
      <c r="I927" s="1" t="s">
        <v>7713</v>
      </c>
      <c r="J927" s="1" t="s">
        <v>7714</v>
      </c>
      <c r="K927" s="1" t="s">
        <v>74</v>
      </c>
      <c r="L927" s="1" t="s">
        <v>74</v>
      </c>
      <c r="M927" s="1" t="s">
        <v>74</v>
      </c>
      <c r="N927" s="1" t="s">
        <v>74</v>
      </c>
      <c r="O927" s="1" t="s">
        <v>74</v>
      </c>
      <c r="P927" s="1" t="s">
        <v>74</v>
      </c>
      <c r="Q927" s="1" t="s">
        <v>74</v>
      </c>
      <c r="R927" s="1" t="s">
        <v>74</v>
      </c>
      <c r="S927" s="1" t="s">
        <v>74</v>
      </c>
      <c r="T927" s="1" t="s">
        <v>74</v>
      </c>
      <c r="U927" s="1" t="s">
        <v>74</v>
      </c>
      <c r="V927" s="1" t="s">
        <v>74</v>
      </c>
      <c r="W927" s="1" t="s">
        <v>74</v>
      </c>
      <c r="X927" s="1" t="s">
        <v>74</v>
      </c>
      <c r="Y927" s="1" t="s">
        <v>74</v>
      </c>
      <c r="Z927" s="1" t="s">
        <v>74</v>
      </c>
      <c r="AA927" s="1" t="s">
        <v>74</v>
      </c>
      <c r="AB927" s="1" t="s">
        <v>74</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74</v>
      </c>
      <c r="AP927" s="1" t="s">
        <v>74</v>
      </c>
      <c r="AQ927" s="1" t="s">
        <v>7715</v>
      </c>
      <c r="AR927" s="1" t="s">
        <v>74</v>
      </c>
      <c r="AS927" s="1" t="s">
        <v>74</v>
      </c>
      <c r="AT927" s="1" t="s">
        <v>74</v>
      </c>
      <c r="AU927" s="1">
        <v>2019.0</v>
      </c>
      <c r="AV927" s="1" t="s">
        <v>74</v>
      </c>
      <c r="AW927" s="1" t="s">
        <v>74</v>
      </c>
      <c r="AX927" s="1" t="s">
        <v>74</v>
      </c>
      <c r="AY927" s="1" t="s">
        <v>74</v>
      </c>
      <c r="AZ927" s="1" t="s">
        <v>74</v>
      </c>
      <c r="BA927" s="1" t="s">
        <v>74</v>
      </c>
      <c r="BB927" s="1">
        <v>73.0</v>
      </c>
      <c r="BC927" s="1">
        <v>76.0</v>
      </c>
      <c r="BD927" s="1" t="s">
        <v>74</v>
      </c>
      <c r="BE927" s="1" t="s">
        <v>74</v>
      </c>
      <c r="BF927" s="1" t="s">
        <v>74</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7716</v>
      </c>
      <c r="BT927" s="1" t="str">
        <f>HYPERLINK("https%3A%2F%2Fwww.webofscience.com%2Fwos%2Fwoscc%2Ffull-record%2FWOS:000887018400007","View Full Record in Web of Science")</f>
        <v>View Full Record in Web of Science</v>
      </c>
    </row>
    <row r="928" ht="12.75" customHeight="1">
      <c r="A928" s="1" t="s">
        <v>72</v>
      </c>
      <c r="B928" s="1" t="s">
        <v>7717</v>
      </c>
      <c r="C928" s="1" t="s">
        <v>74</v>
      </c>
      <c r="D928" s="1" t="s">
        <v>74</v>
      </c>
      <c r="E928" s="1" t="s">
        <v>74</v>
      </c>
      <c r="F928" s="1" t="s">
        <v>7718</v>
      </c>
      <c r="G928" s="1" t="s">
        <v>74</v>
      </c>
      <c r="H928" s="1" t="s">
        <v>74</v>
      </c>
      <c r="I928" s="1" t="s">
        <v>7719</v>
      </c>
      <c r="J928" s="1" t="s">
        <v>7720</v>
      </c>
      <c r="K928" s="1" t="s">
        <v>74</v>
      </c>
      <c r="L928" s="1" t="s">
        <v>74</v>
      </c>
      <c r="M928" s="1" t="s">
        <v>74</v>
      </c>
      <c r="N928" s="1" t="s">
        <v>74</v>
      </c>
      <c r="O928" s="1" t="s">
        <v>74</v>
      </c>
      <c r="P928" s="1" t="s">
        <v>74</v>
      </c>
      <c r="Q928" s="1" t="s">
        <v>74</v>
      </c>
      <c r="R928" s="1" t="s">
        <v>74</v>
      </c>
      <c r="S928" s="1" t="s">
        <v>74</v>
      </c>
      <c r="T928" s="1" t="s">
        <v>74</v>
      </c>
      <c r="U928" s="1" t="s">
        <v>74</v>
      </c>
      <c r="V928" s="1" t="s">
        <v>7721</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7722</v>
      </c>
      <c r="AP928" s="1" t="s">
        <v>74</v>
      </c>
      <c r="AQ928" s="1" t="s">
        <v>74</v>
      </c>
      <c r="AR928" s="1" t="s">
        <v>74</v>
      </c>
      <c r="AS928" s="1" t="s">
        <v>74</v>
      </c>
      <c r="AT928" s="1" t="s">
        <v>74</v>
      </c>
      <c r="AU928" s="1">
        <v>2018.0</v>
      </c>
      <c r="AV928" s="1">
        <v>23.0</v>
      </c>
      <c r="AW928" s="1">
        <v>2.0</v>
      </c>
      <c r="AX928" s="1" t="s">
        <v>74</v>
      </c>
      <c r="AY928" s="1" t="s">
        <v>74</v>
      </c>
      <c r="AZ928" s="1" t="s">
        <v>74</v>
      </c>
      <c r="BA928" s="1" t="s">
        <v>74</v>
      </c>
      <c r="BB928" s="1" t="s">
        <v>74</v>
      </c>
      <c r="BC928" s="1" t="s">
        <v>74</v>
      </c>
      <c r="BD928" s="1" t="s">
        <v>7723</v>
      </c>
      <c r="BE928" s="1" t="s">
        <v>7724</v>
      </c>
      <c r="BF928" s="2" t="str">
        <f>HYPERLINK("http://dx.doi.org/10.1590/S1517-707620180002.0477","http://dx.doi.org/10.1590/S1517-707620180002.0477")</f>
        <v>http://dx.doi.org/10.1590/S1517-707620180002.0477</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7725</v>
      </c>
      <c r="BT928" s="1" t="str">
        <f>HYPERLINK("https%3A%2F%2Fwww.webofscience.com%2Fwos%2Fwoscc%2Ffull-record%2FWOS:000439159500153","View Full Record in Web of Science")</f>
        <v>View Full Record in Web of Science</v>
      </c>
    </row>
    <row r="929" ht="12.75" customHeight="1">
      <c r="A929" s="1" t="s">
        <v>72</v>
      </c>
      <c r="B929" s="1" t="s">
        <v>7726</v>
      </c>
      <c r="C929" s="1" t="s">
        <v>74</v>
      </c>
      <c r="D929" s="1" t="s">
        <v>74</v>
      </c>
      <c r="E929" s="1" t="s">
        <v>74</v>
      </c>
      <c r="F929" s="1" t="s">
        <v>7727</v>
      </c>
      <c r="G929" s="1" t="s">
        <v>74</v>
      </c>
      <c r="H929" s="1" t="s">
        <v>74</v>
      </c>
      <c r="I929" s="1" t="s">
        <v>7728</v>
      </c>
      <c r="J929" s="1" t="s">
        <v>5840</v>
      </c>
      <c r="K929" s="1" t="s">
        <v>74</v>
      </c>
      <c r="L929" s="1" t="s">
        <v>74</v>
      </c>
      <c r="M929" s="1" t="s">
        <v>74</v>
      </c>
      <c r="N929" s="1" t="s">
        <v>74</v>
      </c>
      <c r="O929" s="1" t="s">
        <v>74</v>
      </c>
      <c r="P929" s="1" t="s">
        <v>74</v>
      </c>
      <c r="Q929" s="1" t="s">
        <v>74</v>
      </c>
      <c r="R929" s="1" t="s">
        <v>74</v>
      </c>
      <c r="S929" s="1" t="s">
        <v>74</v>
      </c>
      <c r="T929" s="1" t="s">
        <v>74</v>
      </c>
      <c r="U929" s="1" t="s">
        <v>74</v>
      </c>
      <c r="V929" s="1" t="s">
        <v>7729</v>
      </c>
      <c r="W929" s="1" t="s">
        <v>74</v>
      </c>
      <c r="X929" s="1" t="s">
        <v>74</v>
      </c>
      <c r="Y929" s="1" t="s">
        <v>74</v>
      </c>
      <c r="Z929" s="1" t="s">
        <v>74</v>
      </c>
      <c r="AA929" s="1" t="s">
        <v>7730</v>
      </c>
      <c r="AB929" s="1" t="s">
        <v>74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5843</v>
      </c>
      <c r="AP929" s="1" t="s">
        <v>5844</v>
      </c>
      <c r="AQ929" s="1" t="s">
        <v>74</v>
      </c>
      <c r="AR929" s="1" t="s">
        <v>74</v>
      </c>
      <c r="AS929" s="1" t="s">
        <v>74</v>
      </c>
      <c r="AT929" s="1" t="s">
        <v>82</v>
      </c>
      <c r="AU929" s="1">
        <v>2017.0</v>
      </c>
      <c r="AV929" s="1">
        <v>127.0</v>
      </c>
      <c r="AW929" s="1">
        <v>607.0</v>
      </c>
      <c r="AX929" s="1" t="s">
        <v>74</v>
      </c>
      <c r="AY929" s="1" t="s">
        <v>74</v>
      </c>
      <c r="AZ929" s="1" t="s">
        <v>74</v>
      </c>
      <c r="BA929" s="1" t="s">
        <v>74</v>
      </c>
      <c r="BB929" s="1">
        <v>2525.0</v>
      </c>
      <c r="BC929" s="1">
        <v>2552.0</v>
      </c>
      <c r="BD929" s="1" t="s">
        <v>74</v>
      </c>
      <c r="BE929" s="1" t="s">
        <v>7731</v>
      </c>
      <c r="BF929" s="2" t="str">
        <f>HYPERLINK("http://dx.doi.org/10.1111/ecoj.12390","http://dx.doi.org/10.1111/ecoj.12390")</f>
        <v>http://dx.doi.org/10.1111/ecoj.12390</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7732</v>
      </c>
      <c r="BT929" s="1" t="str">
        <f>HYPERLINK("https%3A%2F%2Fwww.webofscience.com%2Fwos%2Fwoscc%2Ffull-record%2FWOS:000418100100001","View Full Record in Web of Science")</f>
        <v>View Full Record in Web of Science</v>
      </c>
    </row>
    <row r="930" ht="12.75" customHeight="1">
      <c r="A930" s="1" t="s">
        <v>72</v>
      </c>
      <c r="B930" s="1" t="s">
        <v>7733</v>
      </c>
      <c r="C930" s="1" t="s">
        <v>74</v>
      </c>
      <c r="D930" s="1" t="s">
        <v>74</v>
      </c>
      <c r="E930" s="1" t="s">
        <v>74</v>
      </c>
      <c r="F930" s="1" t="s">
        <v>7734</v>
      </c>
      <c r="G930" s="1" t="s">
        <v>74</v>
      </c>
      <c r="H930" s="1" t="s">
        <v>74</v>
      </c>
      <c r="I930" s="1" t="s">
        <v>7735</v>
      </c>
      <c r="J930" s="1" t="s">
        <v>3937</v>
      </c>
      <c r="K930" s="1" t="s">
        <v>74</v>
      </c>
      <c r="L930" s="1" t="s">
        <v>74</v>
      </c>
      <c r="M930" s="1" t="s">
        <v>74</v>
      </c>
      <c r="N930" s="1" t="s">
        <v>74</v>
      </c>
      <c r="O930" s="1" t="s">
        <v>74</v>
      </c>
      <c r="P930" s="1" t="s">
        <v>74</v>
      </c>
      <c r="Q930" s="1" t="s">
        <v>74</v>
      </c>
      <c r="R930" s="1" t="s">
        <v>74</v>
      </c>
      <c r="S930" s="1" t="s">
        <v>74</v>
      </c>
      <c r="T930" s="1" t="s">
        <v>74</v>
      </c>
      <c r="U930" s="1" t="s">
        <v>74</v>
      </c>
      <c r="V930" s="1" t="s">
        <v>7736</v>
      </c>
      <c r="W930" s="1" t="s">
        <v>74</v>
      </c>
      <c r="X930" s="1" t="s">
        <v>74</v>
      </c>
      <c r="Y930" s="1" t="s">
        <v>74</v>
      </c>
      <c r="Z930" s="1" t="s">
        <v>74</v>
      </c>
      <c r="AA930" s="1" t="s">
        <v>7737</v>
      </c>
      <c r="AB930" s="1" t="s">
        <v>7738</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3940</v>
      </c>
      <c r="AP930" s="1" t="s">
        <v>4049</v>
      </c>
      <c r="AQ930" s="1" t="s">
        <v>74</v>
      </c>
      <c r="AR930" s="1" t="s">
        <v>74</v>
      </c>
      <c r="AS930" s="1" t="s">
        <v>74</v>
      </c>
      <c r="AT930" s="1" t="s">
        <v>7739</v>
      </c>
      <c r="AU930" s="1">
        <v>2017.0</v>
      </c>
      <c r="AV930" s="1">
        <v>50.0</v>
      </c>
      <c r="AW930" s="1">
        <v>18.0</v>
      </c>
      <c r="AX930" s="1" t="s">
        <v>74</v>
      </c>
      <c r="AY930" s="1" t="s">
        <v>74</v>
      </c>
      <c r="AZ930" s="1" t="s">
        <v>74</v>
      </c>
      <c r="BA930" s="1" t="s">
        <v>74</v>
      </c>
      <c r="BB930" s="1" t="s">
        <v>74</v>
      </c>
      <c r="BC930" s="1" t="s">
        <v>74</v>
      </c>
      <c r="BD930" s="1">
        <v>184001.0</v>
      </c>
      <c r="BE930" s="1" t="s">
        <v>7740</v>
      </c>
      <c r="BF930" s="2" t="str">
        <f>HYPERLINK("http://dx.doi.org/10.1088/1751-8121/aa66a0","http://dx.doi.org/10.1088/1751-8121/aa66a0")</f>
        <v>http://dx.doi.org/10.1088/1751-8121/aa66a0</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7741</v>
      </c>
      <c r="BT930" s="1" t="str">
        <f>HYPERLINK("https%3A%2F%2Fwww.webofscience.com%2Fwos%2Fwoscc%2Ffull-record%2FWOS:000398268700001","View Full Record in Web of Science")</f>
        <v>View Full Record in Web of Science</v>
      </c>
    </row>
    <row r="931" ht="12.75" customHeight="1">
      <c r="A931" s="1" t="s">
        <v>72</v>
      </c>
      <c r="B931" s="1" t="s">
        <v>7742</v>
      </c>
      <c r="C931" s="1" t="s">
        <v>74</v>
      </c>
      <c r="D931" s="1" t="s">
        <v>74</v>
      </c>
      <c r="E931" s="1" t="s">
        <v>74</v>
      </c>
      <c r="F931" s="1" t="s">
        <v>7743</v>
      </c>
      <c r="G931" s="1" t="s">
        <v>74</v>
      </c>
      <c r="H931" s="1" t="s">
        <v>74</v>
      </c>
      <c r="I931" s="1" t="s">
        <v>7744</v>
      </c>
      <c r="J931" s="1" t="s">
        <v>7745</v>
      </c>
      <c r="K931" s="1" t="s">
        <v>74</v>
      </c>
      <c r="L931" s="1" t="s">
        <v>74</v>
      </c>
      <c r="M931" s="1" t="s">
        <v>74</v>
      </c>
      <c r="N931" s="1" t="s">
        <v>74</v>
      </c>
      <c r="O931" s="1" t="s">
        <v>74</v>
      </c>
      <c r="P931" s="1" t="s">
        <v>74</v>
      </c>
      <c r="Q931" s="1" t="s">
        <v>74</v>
      </c>
      <c r="R931" s="1" t="s">
        <v>74</v>
      </c>
      <c r="S931" s="1" t="s">
        <v>74</v>
      </c>
      <c r="T931" s="1" t="s">
        <v>74</v>
      </c>
      <c r="U931" s="1" t="s">
        <v>74</v>
      </c>
      <c r="V931" s="1" t="s">
        <v>7746</v>
      </c>
      <c r="W931" s="1" t="s">
        <v>74</v>
      </c>
      <c r="X931" s="1" t="s">
        <v>74</v>
      </c>
      <c r="Y931" s="1" t="s">
        <v>74</v>
      </c>
      <c r="Z931" s="1" t="s">
        <v>74</v>
      </c>
      <c r="AA931" s="1" t="s">
        <v>74</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7747</v>
      </c>
      <c r="AP931" s="1" t="s">
        <v>7748</v>
      </c>
      <c r="AQ931" s="1" t="s">
        <v>74</v>
      </c>
      <c r="AR931" s="1" t="s">
        <v>74</v>
      </c>
      <c r="AS931" s="1" t="s">
        <v>74</v>
      </c>
      <c r="AT931" s="1" t="s">
        <v>974</v>
      </c>
      <c r="AU931" s="1">
        <v>2016.0</v>
      </c>
      <c r="AV931" s="1">
        <v>67.0</v>
      </c>
      <c r="AW931" s="1">
        <v>4.0</v>
      </c>
      <c r="AX931" s="1" t="s">
        <v>74</v>
      </c>
      <c r="AY931" s="1" t="s">
        <v>74</v>
      </c>
      <c r="AZ931" s="1" t="s">
        <v>74</v>
      </c>
      <c r="BA931" s="1" t="s">
        <v>74</v>
      </c>
      <c r="BB931" s="1" t="s">
        <v>74</v>
      </c>
      <c r="BC931" s="1" t="s">
        <v>74</v>
      </c>
      <c r="BD931" s="1">
        <v>89.0</v>
      </c>
      <c r="BE931" s="1" t="s">
        <v>7749</v>
      </c>
      <c r="BF931" s="2" t="str">
        <f>HYPERLINK("http://dx.doi.org/10.1007/s00033-016-0674-7","http://dx.doi.org/10.1007/s00033-016-0674-7")</f>
        <v>http://dx.doi.org/10.1007/s00033-016-0674-7</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7750</v>
      </c>
      <c r="BT931" s="1" t="str">
        <f>HYPERLINK("https%3A%2F%2Fwww.webofscience.com%2Fwos%2Fwoscc%2Ffull-record%2FWOS:000381410100011","View Full Record in Web of Science")</f>
        <v>View Full Record in Web of Science</v>
      </c>
    </row>
    <row r="932" ht="12.75" customHeight="1">
      <c r="A932" s="1" t="s">
        <v>72</v>
      </c>
      <c r="B932" s="1" t="s">
        <v>7751</v>
      </c>
      <c r="C932" s="1" t="s">
        <v>74</v>
      </c>
      <c r="D932" s="1" t="s">
        <v>74</v>
      </c>
      <c r="E932" s="1" t="s">
        <v>74</v>
      </c>
      <c r="F932" s="1" t="s">
        <v>7752</v>
      </c>
      <c r="G932" s="1" t="s">
        <v>74</v>
      </c>
      <c r="H932" s="1" t="s">
        <v>74</v>
      </c>
      <c r="I932" s="1" t="s">
        <v>7753</v>
      </c>
      <c r="J932" s="1" t="s">
        <v>1390</v>
      </c>
      <c r="K932" s="1" t="s">
        <v>74</v>
      </c>
      <c r="L932" s="1" t="s">
        <v>74</v>
      </c>
      <c r="M932" s="1" t="s">
        <v>74</v>
      </c>
      <c r="N932" s="1" t="s">
        <v>74</v>
      </c>
      <c r="O932" s="1" t="s">
        <v>74</v>
      </c>
      <c r="P932" s="1" t="s">
        <v>74</v>
      </c>
      <c r="Q932" s="1" t="s">
        <v>74</v>
      </c>
      <c r="R932" s="1" t="s">
        <v>74</v>
      </c>
      <c r="S932" s="1" t="s">
        <v>74</v>
      </c>
      <c r="T932" s="1" t="s">
        <v>74</v>
      </c>
      <c r="U932" s="1" t="s">
        <v>74</v>
      </c>
      <c r="V932" s="1" t="s">
        <v>74</v>
      </c>
      <c r="W932" s="1" t="s">
        <v>74</v>
      </c>
      <c r="X932" s="1" t="s">
        <v>74</v>
      </c>
      <c r="Y932" s="1" t="s">
        <v>74</v>
      </c>
      <c r="Z932" s="1" t="s">
        <v>74</v>
      </c>
      <c r="AA932" s="1" t="s">
        <v>7754</v>
      </c>
      <c r="AB932" s="1" t="s">
        <v>7755</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1393</v>
      </c>
      <c r="AP932" s="1" t="s">
        <v>1394</v>
      </c>
      <c r="AQ932" s="1" t="s">
        <v>74</v>
      </c>
      <c r="AR932" s="1" t="s">
        <v>74</v>
      </c>
      <c r="AS932" s="1" t="s">
        <v>74</v>
      </c>
      <c r="AT932" s="1" t="s">
        <v>171</v>
      </c>
      <c r="AU932" s="1">
        <v>2012.0</v>
      </c>
      <c r="AV932" s="1">
        <v>35.0</v>
      </c>
      <c r="AW932" s="1">
        <v>6.0</v>
      </c>
      <c r="AX932" s="1" t="s">
        <v>74</v>
      </c>
      <c r="AY932" s="1" t="s">
        <v>74</v>
      </c>
      <c r="AZ932" s="1" t="s">
        <v>74</v>
      </c>
      <c r="BA932" s="1" t="s">
        <v>74</v>
      </c>
      <c r="BB932" s="1">
        <v>461.0</v>
      </c>
      <c r="BC932" s="1">
        <v>465.0</v>
      </c>
      <c r="BD932" s="1" t="s">
        <v>74</v>
      </c>
      <c r="BE932" s="1" t="s">
        <v>7756</v>
      </c>
      <c r="BF932" s="2" t="str">
        <f>HYPERLINK("http://dx.doi.org/10.1111/j.1365-2761.2012.01359.x","http://dx.doi.org/10.1111/j.1365-2761.2012.01359.x")</f>
        <v>http://dx.doi.org/10.1111/j.1365-2761.2012.01359.x</v>
      </c>
      <c r="BG932" s="1" t="s">
        <v>74</v>
      </c>
      <c r="BH932" s="1" t="s">
        <v>74</v>
      </c>
      <c r="BI932" s="1" t="s">
        <v>74</v>
      </c>
      <c r="BJ932" s="1" t="s">
        <v>74</v>
      </c>
      <c r="BK932" s="1" t="s">
        <v>74</v>
      </c>
      <c r="BL932" s="1" t="s">
        <v>74</v>
      </c>
      <c r="BM932" s="1" t="s">
        <v>74</v>
      </c>
      <c r="BN932" s="1">
        <v>2.2524494E7</v>
      </c>
      <c r="BO932" s="1" t="s">
        <v>74</v>
      </c>
      <c r="BP932" s="1" t="s">
        <v>74</v>
      </c>
      <c r="BQ932" s="1" t="s">
        <v>74</v>
      </c>
      <c r="BR932" s="1" t="s">
        <v>74</v>
      </c>
      <c r="BS932" s="1" t="s">
        <v>7757</v>
      </c>
      <c r="BT932" s="1" t="str">
        <f>HYPERLINK("https%3A%2F%2Fwww.webofscience.com%2Fwos%2Fwoscc%2Ffull-record%2FWOS:000303808300008","View Full Record in Web of Science")</f>
        <v>View Full Record in Web of Science</v>
      </c>
    </row>
    <row r="933" ht="12.75" customHeight="1">
      <c r="A933" s="1" t="s">
        <v>72</v>
      </c>
      <c r="B933" s="1" t="s">
        <v>7758</v>
      </c>
      <c r="C933" s="1" t="s">
        <v>74</v>
      </c>
      <c r="D933" s="1" t="s">
        <v>74</v>
      </c>
      <c r="E933" s="1" t="s">
        <v>74</v>
      </c>
      <c r="F933" s="1" t="s">
        <v>7759</v>
      </c>
      <c r="G933" s="1" t="s">
        <v>74</v>
      </c>
      <c r="H933" s="1" t="s">
        <v>74</v>
      </c>
      <c r="I933" s="1" t="s">
        <v>7760</v>
      </c>
      <c r="J933" s="1" t="s">
        <v>4147</v>
      </c>
      <c r="K933" s="1" t="s">
        <v>74</v>
      </c>
      <c r="L933" s="1" t="s">
        <v>74</v>
      </c>
      <c r="M933" s="1" t="s">
        <v>74</v>
      </c>
      <c r="N933" s="1" t="s">
        <v>74</v>
      </c>
      <c r="O933" s="1" t="s">
        <v>7761</v>
      </c>
      <c r="P933" s="1" t="s">
        <v>7762</v>
      </c>
      <c r="Q933" s="1" t="s">
        <v>7763</v>
      </c>
      <c r="R933" s="1" t="s">
        <v>74</v>
      </c>
      <c r="S933" s="1" t="s">
        <v>74</v>
      </c>
      <c r="T933" s="1" t="s">
        <v>74</v>
      </c>
      <c r="U933" s="1" t="s">
        <v>74</v>
      </c>
      <c r="V933" s="1" t="s">
        <v>7764</v>
      </c>
      <c r="W933" s="1" t="s">
        <v>74</v>
      </c>
      <c r="X933" s="1" t="s">
        <v>74</v>
      </c>
      <c r="Y933" s="1" t="s">
        <v>74</v>
      </c>
      <c r="Z933" s="1" t="s">
        <v>74</v>
      </c>
      <c r="AA933" s="1" t="s">
        <v>7765</v>
      </c>
      <c r="AB933" s="1" t="s">
        <v>7766</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4149</v>
      </c>
      <c r="AP933" s="1" t="s">
        <v>7767</v>
      </c>
      <c r="AQ933" s="1" t="s">
        <v>74</v>
      </c>
      <c r="AR933" s="1" t="s">
        <v>74</v>
      </c>
      <c r="AS933" s="1" t="s">
        <v>74</v>
      </c>
      <c r="AT933" s="1" t="s">
        <v>1640</v>
      </c>
      <c r="AU933" s="1">
        <v>2012.0</v>
      </c>
      <c r="AV933" s="1">
        <v>111.0</v>
      </c>
      <c r="AW933" s="1">
        <v>7.0</v>
      </c>
      <c r="AX933" s="1" t="s">
        <v>74</v>
      </c>
      <c r="AY933" s="1" t="s">
        <v>74</v>
      </c>
      <c r="AZ933" s="1" t="s">
        <v>74</v>
      </c>
      <c r="BA933" s="1" t="s">
        <v>74</v>
      </c>
      <c r="BB933" s="1" t="s">
        <v>74</v>
      </c>
      <c r="BC933" s="1" t="s">
        <v>74</v>
      </c>
      <c r="BD933" s="1" t="s">
        <v>7768</v>
      </c>
      <c r="BE933" s="1" t="s">
        <v>7769</v>
      </c>
      <c r="BF933" s="2" t="str">
        <f>HYPERLINK("http://dx.doi.org/10.1063/1.3680181","http://dx.doi.org/10.1063/1.3680181")</f>
        <v>http://dx.doi.org/10.1063/1.3680181</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7770</v>
      </c>
      <c r="BT933" s="1" t="str">
        <f>HYPERLINK("https%3A%2F%2Fwww.webofscience.com%2Fwos%2Fwoscc%2Ffull-record%2FWOS:000303282401141","View Full Record in Web of Science")</f>
        <v>View Full Record in Web of Science</v>
      </c>
    </row>
    <row r="934" ht="12.75" customHeight="1">
      <c r="A934" s="1" t="s">
        <v>72</v>
      </c>
      <c r="B934" s="1" t="s">
        <v>7771</v>
      </c>
      <c r="C934" s="1" t="s">
        <v>74</v>
      </c>
      <c r="D934" s="1" t="s">
        <v>74</v>
      </c>
      <c r="E934" s="1" t="s">
        <v>74</v>
      </c>
      <c r="F934" s="1" t="s">
        <v>7772</v>
      </c>
      <c r="G934" s="1" t="s">
        <v>74</v>
      </c>
      <c r="H934" s="1" t="s">
        <v>74</v>
      </c>
      <c r="I934" s="1" t="s">
        <v>7773</v>
      </c>
      <c r="J934" s="1" t="s">
        <v>7774</v>
      </c>
      <c r="K934" s="1" t="s">
        <v>74</v>
      </c>
      <c r="L934" s="1" t="s">
        <v>74</v>
      </c>
      <c r="M934" s="1" t="s">
        <v>74</v>
      </c>
      <c r="N934" s="1" t="s">
        <v>74</v>
      </c>
      <c r="O934" s="1" t="s">
        <v>74</v>
      </c>
      <c r="P934" s="1" t="s">
        <v>74</v>
      </c>
      <c r="Q934" s="1" t="s">
        <v>74</v>
      </c>
      <c r="R934" s="1" t="s">
        <v>74</v>
      </c>
      <c r="S934" s="1" t="s">
        <v>74</v>
      </c>
      <c r="T934" s="1" t="s">
        <v>74</v>
      </c>
      <c r="U934" s="1" t="s">
        <v>74</v>
      </c>
      <c r="V934" s="1" t="s">
        <v>7775</v>
      </c>
      <c r="W934" s="1" t="s">
        <v>74</v>
      </c>
      <c r="X934" s="1" t="s">
        <v>74</v>
      </c>
      <c r="Y934" s="1" t="s">
        <v>74</v>
      </c>
      <c r="Z934" s="1" t="s">
        <v>74</v>
      </c>
      <c r="AA934" s="1" t="s">
        <v>74</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7776</v>
      </c>
      <c r="AP934" s="1" t="s">
        <v>7777</v>
      </c>
      <c r="AQ934" s="1" t="s">
        <v>74</v>
      </c>
      <c r="AR934" s="1" t="s">
        <v>74</v>
      </c>
      <c r="AS934" s="1" t="s">
        <v>74</v>
      </c>
      <c r="AT934" s="1" t="s">
        <v>158</v>
      </c>
      <c r="AU934" s="1">
        <v>2007.0</v>
      </c>
      <c r="AV934" s="1">
        <v>22.0</v>
      </c>
      <c r="AW934" s="1">
        <v>5.0</v>
      </c>
      <c r="AX934" s="1" t="s">
        <v>74</v>
      </c>
      <c r="AY934" s="1" t="s">
        <v>74</v>
      </c>
      <c r="AZ934" s="1" t="s">
        <v>74</v>
      </c>
      <c r="BA934" s="1" t="s">
        <v>74</v>
      </c>
      <c r="BB934" s="1">
        <v>1875.0</v>
      </c>
      <c r="BC934" s="1">
        <v>1881.0</v>
      </c>
      <c r="BD934" s="1" t="s">
        <v>74</v>
      </c>
      <c r="BE934" s="1" t="s">
        <v>7778</v>
      </c>
      <c r="BF934" s="2" t="str">
        <f>HYPERLINK("http://dx.doi.org/10.1109/TPEL.2007.904185","http://dx.doi.org/10.1109/TPEL.2007.904185")</f>
        <v>http://dx.doi.org/10.1109/TPEL.2007.904185</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7779</v>
      </c>
      <c r="BT934" s="1" t="str">
        <f>HYPERLINK("https%3A%2F%2Fwww.webofscience.com%2Fwos%2Fwoscc%2Ffull-record%2FWOS:000249447700029","View Full Record in Web of Science")</f>
        <v>View Full Record in Web of Science</v>
      </c>
    </row>
    <row r="935" ht="12.75" customHeight="1">
      <c r="A935" s="1" t="s">
        <v>72</v>
      </c>
      <c r="B935" s="1" t="s">
        <v>7780</v>
      </c>
      <c r="C935" s="1" t="s">
        <v>74</v>
      </c>
      <c r="D935" s="1" t="s">
        <v>74</v>
      </c>
      <c r="E935" s="1" t="s">
        <v>74</v>
      </c>
      <c r="F935" s="1" t="s">
        <v>7781</v>
      </c>
      <c r="G935" s="1" t="s">
        <v>74</v>
      </c>
      <c r="H935" s="1" t="s">
        <v>74</v>
      </c>
      <c r="I935" s="1" t="s">
        <v>7782</v>
      </c>
      <c r="J935" s="1" t="s">
        <v>5413</v>
      </c>
      <c r="K935" s="1" t="s">
        <v>74</v>
      </c>
      <c r="L935" s="1" t="s">
        <v>74</v>
      </c>
      <c r="M935" s="1" t="s">
        <v>74</v>
      </c>
      <c r="N935" s="1" t="s">
        <v>74</v>
      </c>
      <c r="O935" s="1" t="s">
        <v>74</v>
      </c>
      <c r="P935" s="1" t="s">
        <v>74</v>
      </c>
      <c r="Q935" s="1" t="s">
        <v>74</v>
      </c>
      <c r="R935" s="1" t="s">
        <v>74</v>
      </c>
      <c r="S935" s="1" t="s">
        <v>74</v>
      </c>
      <c r="T935" s="1" t="s">
        <v>74</v>
      </c>
      <c r="U935" s="1" t="s">
        <v>74</v>
      </c>
      <c r="V935" s="1" t="s">
        <v>74</v>
      </c>
      <c r="W935" s="1" t="s">
        <v>74</v>
      </c>
      <c r="X935" s="1" t="s">
        <v>74</v>
      </c>
      <c r="Y935" s="1" t="s">
        <v>74</v>
      </c>
      <c r="Z935" s="1" t="s">
        <v>74</v>
      </c>
      <c r="AA935" s="1" t="s">
        <v>7783</v>
      </c>
      <c r="AB935" s="1" t="s">
        <v>74</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5415</v>
      </c>
      <c r="AP935" s="1" t="s">
        <v>74</v>
      </c>
      <c r="AQ935" s="1" t="s">
        <v>74</v>
      </c>
      <c r="AR935" s="1" t="s">
        <v>74</v>
      </c>
      <c r="AS935" s="1" t="s">
        <v>74</v>
      </c>
      <c r="AT935" s="1" t="s">
        <v>74</v>
      </c>
      <c r="AU935" s="1">
        <v>2006.0</v>
      </c>
      <c r="AV935" s="1">
        <v>38.0</v>
      </c>
      <c r="AW935" s="1">
        <v>2.0</v>
      </c>
      <c r="AX935" s="1" t="s">
        <v>74</v>
      </c>
      <c r="AY935" s="1" t="s">
        <v>74</v>
      </c>
      <c r="AZ935" s="1" t="s">
        <v>74</v>
      </c>
      <c r="BA935" s="1" t="s">
        <v>74</v>
      </c>
      <c r="BB935" s="1">
        <v>423.0</v>
      </c>
      <c r="BC935" s="1">
        <v>425.0</v>
      </c>
      <c r="BD935" s="1" t="s">
        <v>74</v>
      </c>
      <c r="BE935" s="1" t="s">
        <v>74</v>
      </c>
      <c r="BF935" s="1" t="s">
        <v>74</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7784</v>
      </c>
      <c r="BT935" s="1" t="str">
        <f>HYPERLINK("https%3A%2F%2Fwww.webofscience.com%2Fwos%2Fwoscc%2Ffull-record%2FWOS:000238985100022","View Full Record in Web of Science")</f>
        <v>View Full Record in Web of Science</v>
      </c>
    </row>
    <row r="936" ht="12.75" customHeight="1">
      <c r="A936" s="1" t="s">
        <v>72</v>
      </c>
      <c r="B936" s="1" t="s">
        <v>7785</v>
      </c>
      <c r="C936" s="1" t="s">
        <v>74</v>
      </c>
      <c r="D936" s="1" t="s">
        <v>74</v>
      </c>
      <c r="E936" s="1" t="s">
        <v>74</v>
      </c>
      <c r="F936" s="1" t="s">
        <v>7785</v>
      </c>
      <c r="G936" s="1" t="s">
        <v>74</v>
      </c>
      <c r="H936" s="1" t="s">
        <v>74</v>
      </c>
      <c r="I936" s="1" t="s">
        <v>7786</v>
      </c>
      <c r="J936" s="1" t="s">
        <v>7787</v>
      </c>
      <c r="K936" s="1" t="s">
        <v>74</v>
      </c>
      <c r="L936" s="1" t="s">
        <v>74</v>
      </c>
      <c r="M936" s="1" t="s">
        <v>74</v>
      </c>
      <c r="N936" s="1" t="s">
        <v>74</v>
      </c>
      <c r="O936" s="1" t="s">
        <v>74</v>
      </c>
      <c r="P936" s="1" t="s">
        <v>74</v>
      </c>
      <c r="Q936" s="1" t="s">
        <v>74</v>
      </c>
      <c r="R936" s="1" t="s">
        <v>74</v>
      </c>
      <c r="S936" s="1" t="s">
        <v>74</v>
      </c>
      <c r="T936" s="1" t="s">
        <v>74</v>
      </c>
      <c r="U936" s="1" t="s">
        <v>74</v>
      </c>
      <c r="V936" s="1" t="s">
        <v>7788</v>
      </c>
      <c r="W936" s="1" t="s">
        <v>74</v>
      </c>
      <c r="X936" s="1" t="s">
        <v>74</v>
      </c>
      <c r="Y936" s="1" t="s">
        <v>74</v>
      </c>
      <c r="Z936" s="1" t="s">
        <v>74</v>
      </c>
      <c r="AA936" s="1" t="s">
        <v>6753</v>
      </c>
      <c r="AB936" s="1" t="s">
        <v>6754</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7789</v>
      </c>
      <c r="AP936" s="1" t="s">
        <v>7790</v>
      </c>
      <c r="AQ936" s="1" t="s">
        <v>74</v>
      </c>
      <c r="AR936" s="1" t="s">
        <v>74</v>
      </c>
      <c r="AS936" s="1" t="s">
        <v>74</v>
      </c>
      <c r="AT936" s="1" t="s">
        <v>7058</v>
      </c>
      <c r="AU936" s="1">
        <v>2004.0</v>
      </c>
      <c r="AV936" s="1">
        <v>40.0</v>
      </c>
      <c r="AW936" s="1">
        <v>2.0</v>
      </c>
      <c r="AX936" s="1" t="s">
        <v>74</v>
      </c>
      <c r="AY936" s="1" t="s">
        <v>74</v>
      </c>
      <c r="AZ936" s="1" t="s">
        <v>74</v>
      </c>
      <c r="BA936" s="1" t="s">
        <v>74</v>
      </c>
      <c r="BB936" s="1">
        <v>101.0</v>
      </c>
      <c r="BC936" s="1">
        <v>108.0</v>
      </c>
      <c r="BD936" s="1" t="s">
        <v>74</v>
      </c>
      <c r="BE936" s="1" t="s">
        <v>7791</v>
      </c>
      <c r="BF936" s="2" t="str">
        <f>HYPERLINK("http://dx.doi.org/10.3989/revmetalm.2004.v40.i2.249","http://dx.doi.org/10.3989/revmetalm.2004.v40.i2.249")</f>
        <v>http://dx.doi.org/10.3989/revmetalm.2004.v40.i2.249</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7792</v>
      </c>
      <c r="BT936" s="1" t="str">
        <f>HYPERLINK("https%3A%2F%2Fwww.webofscience.com%2Fwos%2Fwoscc%2Ffull-record%2FWOS:000223161000003","View Full Record in Web of Science")</f>
        <v>View Full Record in Web of Science</v>
      </c>
    </row>
    <row r="937" ht="12.75" customHeight="1">
      <c r="A937" s="1" t="s">
        <v>72</v>
      </c>
      <c r="B937" s="1" t="s">
        <v>7793</v>
      </c>
      <c r="C937" s="1" t="s">
        <v>74</v>
      </c>
      <c r="D937" s="1" t="s">
        <v>74</v>
      </c>
      <c r="E937" s="1" t="s">
        <v>74</v>
      </c>
      <c r="F937" s="1" t="s">
        <v>7793</v>
      </c>
      <c r="G937" s="1" t="s">
        <v>74</v>
      </c>
      <c r="H937" s="1" t="s">
        <v>74</v>
      </c>
      <c r="I937" s="1" t="s">
        <v>7794</v>
      </c>
      <c r="J937" s="1" t="s">
        <v>574</v>
      </c>
      <c r="K937" s="1" t="s">
        <v>74</v>
      </c>
      <c r="L937" s="1" t="s">
        <v>74</v>
      </c>
      <c r="M937" s="1" t="s">
        <v>74</v>
      </c>
      <c r="N937" s="1" t="s">
        <v>74</v>
      </c>
      <c r="O937" s="1" t="s">
        <v>74</v>
      </c>
      <c r="P937" s="1" t="s">
        <v>74</v>
      </c>
      <c r="Q937" s="1" t="s">
        <v>74</v>
      </c>
      <c r="R937" s="1" t="s">
        <v>74</v>
      </c>
      <c r="S937" s="1" t="s">
        <v>74</v>
      </c>
      <c r="T937" s="1" t="s">
        <v>74</v>
      </c>
      <c r="U937" s="1" t="s">
        <v>74</v>
      </c>
      <c r="V937" s="1" t="s">
        <v>7795</v>
      </c>
      <c r="W937" s="1" t="s">
        <v>74</v>
      </c>
      <c r="X937" s="1" t="s">
        <v>74</v>
      </c>
      <c r="Y937" s="1" t="s">
        <v>74</v>
      </c>
      <c r="Z937" s="1" t="s">
        <v>74</v>
      </c>
      <c r="AA937" s="1" t="s">
        <v>74</v>
      </c>
      <c r="AB937" s="1" t="s">
        <v>74</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1748</v>
      </c>
      <c r="AP937" s="1" t="s">
        <v>1749</v>
      </c>
      <c r="AQ937" s="1" t="s">
        <v>74</v>
      </c>
      <c r="AR937" s="1" t="s">
        <v>74</v>
      </c>
      <c r="AS937" s="1" t="s">
        <v>74</v>
      </c>
      <c r="AT937" s="1" t="s">
        <v>1560</v>
      </c>
      <c r="AU937" s="1">
        <v>1998.0</v>
      </c>
      <c r="AV937" s="1">
        <v>57.0</v>
      </c>
      <c r="AW937" s="1">
        <v>2.0</v>
      </c>
      <c r="AX937" s="1" t="s">
        <v>74</v>
      </c>
      <c r="AY937" s="1" t="s">
        <v>74</v>
      </c>
      <c r="AZ937" s="1" t="s">
        <v>74</v>
      </c>
      <c r="BA937" s="1" t="s">
        <v>74</v>
      </c>
      <c r="BB937" s="1">
        <v>1068.0</v>
      </c>
      <c r="BC937" s="1">
        <v>1072.0</v>
      </c>
      <c r="BD937" s="1" t="s">
        <v>74</v>
      </c>
      <c r="BE937" s="1" t="s">
        <v>7796</v>
      </c>
      <c r="BF937" s="2" t="str">
        <f>HYPERLINK("http://dx.doi.org/10.1103/PhysRevD.57.1068","http://dx.doi.org/10.1103/PhysRevD.57.1068")</f>
        <v>http://dx.doi.org/10.1103/PhysRevD.57.1068</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7797</v>
      </c>
      <c r="BT937" s="1" t="str">
        <f>HYPERLINK("https%3A%2F%2Fwww.webofscience.com%2Fwos%2Fwoscc%2Ffull-record%2FWOS:000071671300038","View Full Record in Web of Science")</f>
        <v>View Full Record in Web of Science</v>
      </c>
    </row>
    <row r="938" ht="12.75" customHeight="1">
      <c r="A938" s="1" t="s">
        <v>72</v>
      </c>
      <c r="B938" s="1" t="s">
        <v>7798</v>
      </c>
      <c r="C938" s="1" t="s">
        <v>74</v>
      </c>
      <c r="D938" s="1" t="s">
        <v>74</v>
      </c>
      <c r="E938" s="1" t="s">
        <v>74</v>
      </c>
      <c r="F938" s="1" t="s">
        <v>7798</v>
      </c>
      <c r="G938" s="1" t="s">
        <v>74</v>
      </c>
      <c r="H938" s="1" t="s">
        <v>74</v>
      </c>
      <c r="I938" s="1" t="s">
        <v>7799</v>
      </c>
      <c r="J938" s="1" t="s">
        <v>574</v>
      </c>
      <c r="K938" s="1" t="s">
        <v>74</v>
      </c>
      <c r="L938" s="1" t="s">
        <v>74</v>
      </c>
      <c r="M938" s="1" t="s">
        <v>74</v>
      </c>
      <c r="N938" s="1" t="s">
        <v>74</v>
      </c>
      <c r="O938" s="1" t="s">
        <v>74</v>
      </c>
      <c r="P938" s="1" t="s">
        <v>74</v>
      </c>
      <c r="Q938" s="1" t="s">
        <v>74</v>
      </c>
      <c r="R938" s="1" t="s">
        <v>74</v>
      </c>
      <c r="S938" s="1" t="s">
        <v>74</v>
      </c>
      <c r="T938" s="1" t="s">
        <v>74</v>
      </c>
      <c r="U938" s="1" t="s">
        <v>74</v>
      </c>
      <c r="V938" s="1" t="s">
        <v>7800</v>
      </c>
      <c r="W938" s="1" t="s">
        <v>74</v>
      </c>
      <c r="X938" s="1" t="s">
        <v>74</v>
      </c>
      <c r="Y938" s="1" t="s">
        <v>74</v>
      </c>
      <c r="Z938" s="1" t="s">
        <v>74</v>
      </c>
      <c r="AA938" s="1" t="s">
        <v>74</v>
      </c>
      <c r="AB938" s="1" t="s">
        <v>7801</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1748</v>
      </c>
      <c r="AP938" s="1" t="s">
        <v>1749</v>
      </c>
      <c r="AQ938" s="1" t="s">
        <v>74</v>
      </c>
      <c r="AR938" s="1" t="s">
        <v>74</v>
      </c>
      <c r="AS938" s="1" t="s">
        <v>74</v>
      </c>
      <c r="AT938" s="1" t="s">
        <v>847</v>
      </c>
      <c r="AU938" s="1">
        <v>1997.0</v>
      </c>
      <c r="AV938" s="1">
        <v>55.0</v>
      </c>
      <c r="AW938" s="1">
        <v>10.0</v>
      </c>
      <c r="AX938" s="1" t="s">
        <v>74</v>
      </c>
      <c r="AY938" s="1" t="s">
        <v>74</v>
      </c>
      <c r="AZ938" s="1" t="s">
        <v>74</v>
      </c>
      <c r="BA938" s="1" t="s">
        <v>74</v>
      </c>
      <c r="BB938" s="1">
        <v>6162.0</v>
      </c>
      <c r="BC938" s="1">
        <v>6167.0</v>
      </c>
      <c r="BD938" s="1" t="s">
        <v>74</v>
      </c>
      <c r="BE938" s="1" t="s">
        <v>7802</v>
      </c>
      <c r="BF938" s="2" t="str">
        <f>HYPERLINK("http://dx.doi.org/10.1103/PhysRevD.55.6162","http://dx.doi.org/10.1103/PhysRevD.55.6162")</f>
        <v>http://dx.doi.org/10.1103/PhysRevD.55.6162</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7803</v>
      </c>
      <c r="BT938" s="1" t="str">
        <f>HYPERLINK("https%3A%2F%2Fwww.webofscience.com%2Fwos%2Fwoscc%2Ffull-record%2FWOS:A1997XA96900030","View Full Record in Web of Science")</f>
        <v>View Full Record in Web of Science</v>
      </c>
    </row>
    <row r="939" ht="12.75" customHeight="1">
      <c r="A939" s="1" t="s">
        <v>72</v>
      </c>
      <c r="B939" s="1" t="s">
        <v>7804</v>
      </c>
      <c r="C939" s="1" t="s">
        <v>74</v>
      </c>
      <c r="D939" s="1" t="s">
        <v>74</v>
      </c>
      <c r="E939" s="1" t="s">
        <v>74</v>
      </c>
      <c r="F939" s="1" t="s">
        <v>7805</v>
      </c>
      <c r="G939" s="1" t="s">
        <v>74</v>
      </c>
      <c r="H939" s="1" t="s">
        <v>74</v>
      </c>
      <c r="I939" s="1" t="s">
        <v>7806</v>
      </c>
      <c r="J939" s="1" t="s">
        <v>7807</v>
      </c>
      <c r="K939" s="1" t="s">
        <v>74</v>
      </c>
      <c r="L939" s="1" t="s">
        <v>74</v>
      </c>
      <c r="M939" s="1" t="s">
        <v>74</v>
      </c>
      <c r="N939" s="1" t="s">
        <v>74</v>
      </c>
      <c r="O939" s="1" t="s">
        <v>74</v>
      </c>
      <c r="P939" s="1" t="s">
        <v>74</v>
      </c>
      <c r="Q939" s="1" t="s">
        <v>74</v>
      </c>
      <c r="R939" s="1" t="s">
        <v>74</v>
      </c>
      <c r="S939" s="1" t="s">
        <v>74</v>
      </c>
      <c r="T939" s="1" t="s">
        <v>74</v>
      </c>
      <c r="U939" s="1" t="s">
        <v>74</v>
      </c>
      <c r="V939" s="1" t="s">
        <v>7808</v>
      </c>
      <c r="W939" s="1" t="s">
        <v>74</v>
      </c>
      <c r="X939" s="1" t="s">
        <v>74</v>
      </c>
      <c r="Y939" s="1" t="s">
        <v>74</v>
      </c>
      <c r="Z939" s="1" t="s">
        <v>74</v>
      </c>
      <c r="AA939" s="1" t="s">
        <v>7809</v>
      </c>
      <c r="AB939" s="1" t="s">
        <v>7810</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7811</v>
      </c>
      <c r="AP939" s="1" t="s">
        <v>7812</v>
      </c>
      <c r="AQ939" s="1" t="s">
        <v>74</v>
      </c>
      <c r="AR939" s="1" t="s">
        <v>74</v>
      </c>
      <c r="AS939" s="1" t="s">
        <v>74</v>
      </c>
      <c r="AT939" s="1" t="s">
        <v>224</v>
      </c>
      <c r="AU939" s="1">
        <v>2024.0</v>
      </c>
      <c r="AV939" s="1">
        <v>119.0</v>
      </c>
      <c r="AW939" s="1" t="s">
        <v>74</v>
      </c>
      <c r="AX939" s="1" t="s">
        <v>74</v>
      </c>
      <c r="AY939" s="1" t="s">
        <v>74</v>
      </c>
      <c r="AZ939" s="1" t="s">
        <v>74</v>
      </c>
      <c r="BA939" s="1" t="s">
        <v>74</v>
      </c>
      <c r="BB939" s="1" t="s">
        <v>74</v>
      </c>
      <c r="BC939" s="1" t="s">
        <v>74</v>
      </c>
      <c r="BD939" s="1">
        <v>102970.0</v>
      </c>
      <c r="BE939" s="1" t="s">
        <v>7813</v>
      </c>
      <c r="BF939" s="2" t="str">
        <f>HYPERLINK("http://dx.doi.org/10.1016/j.geothermics.2024.102970","http://dx.doi.org/10.1016/j.geothermics.2024.102970")</f>
        <v>http://dx.doi.org/10.1016/j.geothermics.2024.102970</v>
      </c>
      <c r="BG939" s="1" t="s">
        <v>74</v>
      </c>
      <c r="BH939" s="1" t="s">
        <v>7814</v>
      </c>
      <c r="BI939" s="1" t="s">
        <v>74</v>
      </c>
      <c r="BJ939" s="1" t="s">
        <v>74</v>
      </c>
      <c r="BK939" s="1" t="s">
        <v>74</v>
      </c>
      <c r="BL939" s="1" t="s">
        <v>74</v>
      </c>
      <c r="BM939" s="1" t="s">
        <v>74</v>
      </c>
      <c r="BN939" s="1" t="s">
        <v>74</v>
      </c>
      <c r="BO939" s="1" t="s">
        <v>74</v>
      </c>
      <c r="BP939" s="1" t="s">
        <v>74</v>
      </c>
      <c r="BQ939" s="1" t="s">
        <v>74</v>
      </c>
      <c r="BR939" s="1" t="s">
        <v>74</v>
      </c>
      <c r="BS939" s="1" t="s">
        <v>7815</v>
      </c>
      <c r="BT939" s="1" t="str">
        <f>HYPERLINK("https%3A%2F%2Fwww.webofscience.com%2Fwos%2Fwoscc%2Ffull-record%2FWOS:001200755800001","View Full Record in Web of Science")</f>
        <v>View Full Record in Web of Science</v>
      </c>
    </row>
    <row r="940" ht="12.75" customHeight="1">
      <c r="A940" s="1" t="s">
        <v>72</v>
      </c>
      <c r="B940" s="1" t="s">
        <v>7816</v>
      </c>
      <c r="C940" s="1" t="s">
        <v>74</v>
      </c>
      <c r="D940" s="1" t="s">
        <v>74</v>
      </c>
      <c r="E940" s="1" t="s">
        <v>74</v>
      </c>
      <c r="F940" s="1" t="s">
        <v>7817</v>
      </c>
      <c r="G940" s="1" t="s">
        <v>74</v>
      </c>
      <c r="H940" s="1" t="s">
        <v>74</v>
      </c>
      <c r="I940" s="1" t="s">
        <v>7818</v>
      </c>
      <c r="J940" s="1" t="s">
        <v>7819</v>
      </c>
      <c r="K940" s="1" t="s">
        <v>74</v>
      </c>
      <c r="L940" s="1" t="s">
        <v>74</v>
      </c>
      <c r="M940" s="1" t="s">
        <v>74</v>
      </c>
      <c r="N940" s="1" t="s">
        <v>74</v>
      </c>
      <c r="O940" s="1" t="s">
        <v>74</v>
      </c>
      <c r="P940" s="1" t="s">
        <v>74</v>
      </c>
      <c r="Q940" s="1" t="s">
        <v>74</v>
      </c>
      <c r="R940" s="1" t="s">
        <v>74</v>
      </c>
      <c r="S940" s="1" t="s">
        <v>74</v>
      </c>
      <c r="T940" s="1" t="s">
        <v>74</v>
      </c>
      <c r="U940" s="1" t="s">
        <v>74</v>
      </c>
      <c r="V940" s="1" t="s">
        <v>7820</v>
      </c>
      <c r="W940" s="1" t="s">
        <v>74</v>
      </c>
      <c r="X940" s="1" t="s">
        <v>74</v>
      </c>
      <c r="Y940" s="1" t="s">
        <v>74</v>
      </c>
      <c r="Z940" s="1" t="s">
        <v>74</v>
      </c>
      <c r="AA940" s="1" t="s">
        <v>7821</v>
      </c>
      <c r="AB940" s="1" t="s">
        <v>7822</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7823</v>
      </c>
      <c r="AP940" s="1" t="s">
        <v>7824</v>
      </c>
      <c r="AQ940" s="1" t="s">
        <v>74</v>
      </c>
      <c r="AR940" s="1" t="s">
        <v>74</v>
      </c>
      <c r="AS940" s="1" t="s">
        <v>74</v>
      </c>
      <c r="AT940" s="1" t="s">
        <v>1640</v>
      </c>
      <c r="AU940" s="1">
        <v>2022.0</v>
      </c>
      <c r="AV940" s="1">
        <v>351.0</v>
      </c>
      <c r="AW940" s="1" t="s">
        <v>74</v>
      </c>
      <c r="AX940" s="1" t="s">
        <v>74</v>
      </c>
      <c r="AY940" s="1" t="s">
        <v>74</v>
      </c>
      <c r="AZ940" s="1" t="s">
        <v>74</v>
      </c>
      <c r="BA940" s="1" t="s">
        <v>74</v>
      </c>
      <c r="BB940" s="1" t="s">
        <v>74</v>
      </c>
      <c r="BC940" s="1" t="s">
        <v>74</v>
      </c>
      <c r="BD940" s="1">
        <v>118677.0</v>
      </c>
      <c r="BE940" s="1" t="s">
        <v>7825</v>
      </c>
      <c r="BF940" s="2" t="str">
        <f>HYPERLINK("http://dx.doi.org/10.1016/j.molliq.2022.118677","http://dx.doi.org/10.1016/j.molliq.2022.118677")</f>
        <v>http://dx.doi.org/10.1016/j.molliq.2022.118677</v>
      </c>
      <c r="BG940" s="1" t="s">
        <v>74</v>
      </c>
      <c r="BH940" s="1" t="s">
        <v>4967</v>
      </c>
      <c r="BI940" s="1" t="s">
        <v>74</v>
      </c>
      <c r="BJ940" s="1" t="s">
        <v>74</v>
      </c>
      <c r="BK940" s="1" t="s">
        <v>74</v>
      </c>
      <c r="BL940" s="1" t="s">
        <v>74</v>
      </c>
      <c r="BM940" s="1" t="s">
        <v>74</v>
      </c>
      <c r="BN940" s="1" t="s">
        <v>74</v>
      </c>
      <c r="BO940" s="1" t="s">
        <v>74</v>
      </c>
      <c r="BP940" s="1" t="s">
        <v>74</v>
      </c>
      <c r="BQ940" s="1" t="s">
        <v>74</v>
      </c>
      <c r="BR940" s="1" t="s">
        <v>74</v>
      </c>
      <c r="BS940" s="1" t="s">
        <v>7826</v>
      </c>
      <c r="BT940" s="1" t="str">
        <f>HYPERLINK("https%3A%2F%2Fwww.webofscience.com%2Fwos%2Fwoscc%2Ffull-record%2FWOS:000754540700008","View Full Record in Web of Science")</f>
        <v>View Full Record in Web of Science</v>
      </c>
    </row>
    <row r="941" ht="12.75" customHeight="1">
      <c r="A941" s="1" t="s">
        <v>72</v>
      </c>
      <c r="B941" s="1" t="s">
        <v>7827</v>
      </c>
      <c r="C941" s="1" t="s">
        <v>74</v>
      </c>
      <c r="D941" s="1" t="s">
        <v>74</v>
      </c>
      <c r="E941" s="1" t="s">
        <v>74</v>
      </c>
      <c r="F941" s="1" t="s">
        <v>7828</v>
      </c>
      <c r="G941" s="1" t="s">
        <v>74</v>
      </c>
      <c r="H941" s="1" t="s">
        <v>74</v>
      </c>
      <c r="I941" s="1" t="s">
        <v>7829</v>
      </c>
      <c r="J941" s="1" t="s">
        <v>7830</v>
      </c>
      <c r="K941" s="1" t="s">
        <v>74</v>
      </c>
      <c r="L941" s="1" t="s">
        <v>74</v>
      </c>
      <c r="M941" s="1" t="s">
        <v>74</v>
      </c>
      <c r="N941" s="1" t="s">
        <v>74</v>
      </c>
      <c r="O941" s="1" t="s">
        <v>74</v>
      </c>
      <c r="P941" s="1" t="s">
        <v>74</v>
      </c>
      <c r="Q941" s="1" t="s">
        <v>74</v>
      </c>
      <c r="R941" s="1" t="s">
        <v>74</v>
      </c>
      <c r="S941" s="1" t="s">
        <v>74</v>
      </c>
      <c r="T941" s="1" t="s">
        <v>74</v>
      </c>
      <c r="U941" s="1" t="s">
        <v>74</v>
      </c>
      <c r="V941" s="1" t="s">
        <v>7831</v>
      </c>
      <c r="W941" s="1" t="s">
        <v>74</v>
      </c>
      <c r="X941" s="1" t="s">
        <v>74</v>
      </c>
      <c r="Y941" s="1" t="s">
        <v>74</v>
      </c>
      <c r="Z941" s="1" t="s">
        <v>74</v>
      </c>
      <c r="AA941" s="1" t="s">
        <v>343</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7832</v>
      </c>
      <c r="AP941" s="1" t="s">
        <v>7833</v>
      </c>
      <c r="AQ941" s="1" t="s">
        <v>74</v>
      </c>
      <c r="AR941" s="1" t="s">
        <v>74</v>
      </c>
      <c r="AS941" s="1" t="s">
        <v>74</v>
      </c>
      <c r="AT941" s="1" t="s">
        <v>74</v>
      </c>
      <c r="AU941" s="1">
        <v>2022.0</v>
      </c>
      <c r="AV941" s="1">
        <v>13.0</v>
      </c>
      <c r="AW941" s="1">
        <v>1.0</v>
      </c>
      <c r="AX941" s="1" t="s">
        <v>74</v>
      </c>
      <c r="AY941" s="1" t="s">
        <v>74</v>
      </c>
      <c r="AZ941" s="1" t="s">
        <v>74</v>
      </c>
      <c r="BA941" s="1" t="s">
        <v>74</v>
      </c>
      <c r="BB941" s="1">
        <v>83.0</v>
      </c>
      <c r="BC941" s="1">
        <v>113.0</v>
      </c>
      <c r="BD941" s="1" t="s">
        <v>74</v>
      </c>
      <c r="BE941" s="1" t="s">
        <v>7834</v>
      </c>
      <c r="BF941" s="2" t="str">
        <f>HYPERLINK("http://dx.doi.org/10.5209/geop.74653","http://dx.doi.org/10.5209/geop.74653")</f>
        <v>http://dx.doi.org/10.5209/geop.74653</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7835</v>
      </c>
      <c r="BT941" s="1" t="str">
        <f>HYPERLINK("https%3A%2F%2Fwww.webofscience.com%2Fwos%2Fwoscc%2Ffull-record%2FWOS:000813312000004","View Full Record in Web of Science")</f>
        <v>View Full Record in Web of Science</v>
      </c>
    </row>
    <row r="942" ht="12.75" customHeight="1">
      <c r="A942" s="1" t="s">
        <v>72</v>
      </c>
      <c r="B942" s="1" t="s">
        <v>7836</v>
      </c>
      <c r="C942" s="1" t="s">
        <v>74</v>
      </c>
      <c r="D942" s="1" t="s">
        <v>74</v>
      </c>
      <c r="E942" s="1" t="s">
        <v>74</v>
      </c>
      <c r="F942" s="1" t="s">
        <v>7837</v>
      </c>
      <c r="G942" s="1" t="s">
        <v>74</v>
      </c>
      <c r="H942" s="1" t="s">
        <v>74</v>
      </c>
      <c r="I942" s="1" t="s">
        <v>7838</v>
      </c>
      <c r="J942" s="1" t="s">
        <v>3588</v>
      </c>
      <c r="K942" s="1" t="s">
        <v>74</v>
      </c>
      <c r="L942" s="1" t="s">
        <v>74</v>
      </c>
      <c r="M942" s="1" t="s">
        <v>74</v>
      </c>
      <c r="N942" s="1" t="s">
        <v>74</v>
      </c>
      <c r="O942" s="1" t="s">
        <v>74</v>
      </c>
      <c r="P942" s="1" t="s">
        <v>74</v>
      </c>
      <c r="Q942" s="1" t="s">
        <v>74</v>
      </c>
      <c r="R942" s="1" t="s">
        <v>74</v>
      </c>
      <c r="S942" s="1" t="s">
        <v>74</v>
      </c>
      <c r="T942" s="1" t="s">
        <v>74</v>
      </c>
      <c r="U942" s="1" t="s">
        <v>74</v>
      </c>
      <c r="V942" s="1" t="s">
        <v>7839</v>
      </c>
      <c r="W942" s="1" t="s">
        <v>74</v>
      </c>
      <c r="X942" s="1" t="s">
        <v>74</v>
      </c>
      <c r="Y942" s="1" t="s">
        <v>74</v>
      </c>
      <c r="Z942" s="1" t="s">
        <v>74</v>
      </c>
      <c r="AA942" s="1" t="s">
        <v>7840</v>
      </c>
      <c r="AB942" s="1" t="s">
        <v>74</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3590</v>
      </c>
      <c r="AP942" s="1" t="s">
        <v>74</v>
      </c>
      <c r="AQ942" s="1" t="s">
        <v>74</v>
      </c>
      <c r="AR942" s="1" t="s">
        <v>74</v>
      </c>
      <c r="AS942" s="1" t="s">
        <v>74</v>
      </c>
      <c r="AT942" s="1" t="s">
        <v>158</v>
      </c>
      <c r="AU942" s="1">
        <v>2021.0</v>
      </c>
      <c r="AV942" s="1">
        <v>8.0</v>
      </c>
      <c r="AW942" s="1">
        <v>24.0</v>
      </c>
      <c r="AX942" s="1" t="s">
        <v>74</v>
      </c>
      <c r="AY942" s="1" t="s">
        <v>74</v>
      </c>
      <c r="AZ942" s="1" t="s">
        <v>74</v>
      </c>
      <c r="BA942" s="1" t="s">
        <v>74</v>
      </c>
      <c r="BB942" s="1">
        <v>112.0</v>
      </c>
      <c r="BC942" s="1">
        <v>125.0</v>
      </c>
      <c r="BD942" s="1" t="s">
        <v>74</v>
      </c>
      <c r="BE942" s="1" t="s">
        <v>7841</v>
      </c>
      <c r="BF942" s="2" t="str">
        <f>HYPERLINK("http://dx.doi.org/10.35588/rivar.v8i24.5176","http://dx.doi.org/10.35588/rivar.v8i24.5176")</f>
        <v>http://dx.doi.org/10.35588/rivar.v8i24.5176</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7842</v>
      </c>
      <c r="BT942" s="1" t="str">
        <f>HYPERLINK("https%3A%2F%2Fwww.webofscience.com%2Fwos%2Fwoscc%2Ffull-record%2FWOS:000706749600007","View Full Record in Web of Science")</f>
        <v>View Full Record in Web of Science</v>
      </c>
    </row>
    <row r="943" ht="12.75" customHeight="1">
      <c r="A943" s="1" t="s">
        <v>72</v>
      </c>
      <c r="B943" s="1" t="s">
        <v>3769</v>
      </c>
      <c r="C943" s="1" t="s">
        <v>74</v>
      </c>
      <c r="D943" s="1" t="s">
        <v>74</v>
      </c>
      <c r="E943" s="1" t="s">
        <v>74</v>
      </c>
      <c r="F943" s="1" t="s">
        <v>3770</v>
      </c>
      <c r="G943" s="1" t="s">
        <v>74</v>
      </c>
      <c r="H943" s="1" t="s">
        <v>74</v>
      </c>
      <c r="I943" s="1" t="s">
        <v>7843</v>
      </c>
      <c r="J943" s="1" t="s">
        <v>7844</v>
      </c>
      <c r="K943" s="1" t="s">
        <v>74</v>
      </c>
      <c r="L943" s="1" t="s">
        <v>74</v>
      </c>
      <c r="M943" s="1" t="s">
        <v>74</v>
      </c>
      <c r="N943" s="1" t="s">
        <v>74</v>
      </c>
      <c r="O943" s="1" t="s">
        <v>74</v>
      </c>
      <c r="P943" s="1" t="s">
        <v>74</v>
      </c>
      <c r="Q943" s="1" t="s">
        <v>74</v>
      </c>
      <c r="R943" s="1" t="s">
        <v>74</v>
      </c>
      <c r="S943" s="1" t="s">
        <v>74</v>
      </c>
      <c r="T943" s="1" t="s">
        <v>74</v>
      </c>
      <c r="U943" s="1" t="s">
        <v>74</v>
      </c>
      <c r="V943" s="1" t="s">
        <v>7845</v>
      </c>
      <c r="W943" s="1" t="s">
        <v>74</v>
      </c>
      <c r="X943" s="1" t="s">
        <v>74</v>
      </c>
      <c r="Y943" s="1" t="s">
        <v>74</v>
      </c>
      <c r="Z943" s="1" t="s">
        <v>74</v>
      </c>
      <c r="AA943" s="1" t="s">
        <v>3773</v>
      </c>
      <c r="AB943" s="1" t="s">
        <v>3774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7846</v>
      </c>
      <c r="AP943" s="1" t="s">
        <v>7847</v>
      </c>
      <c r="AQ943" s="1" t="s">
        <v>74</v>
      </c>
      <c r="AR943" s="1" t="s">
        <v>74</v>
      </c>
      <c r="AS943" s="1" t="s">
        <v>74</v>
      </c>
      <c r="AT943" s="1" t="s">
        <v>224</v>
      </c>
      <c r="AU943" s="1">
        <v>2021.0</v>
      </c>
      <c r="AV943" s="1">
        <v>69.0</v>
      </c>
      <c r="AW943" s="1">
        <v>3.0</v>
      </c>
      <c r="AX943" s="1" t="s">
        <v>74</v>
      </c>
      <c r="AY943" s="1" t="s">
        <v>74</v>
      </c>
      <c r="AZ943" s="1" t="s">
        <v>159</v>
      </c>
      <c r="BA943" s="1" t="s">
        <v>74</v>
      </c>
      <c r="BB943" s="1">
        <v>415.0</v>
      </c>
      <c r="BC943" s="1">
        <v>432.0</v>
      </c>
      <c r="BD943" s="1">
        <v>1.1392120931148E13</v>
      </c>
      <c r="BE943" s="1" t="s">
        <v>7848</v>
      </c>
      <c r="BF943" s="2" t="str">
        <f>HYPERLINK("http://dx.doi.org/10.1177/0011392120931148","http://dx.doi.org/10.1177/0011392120931148")</f>
        <v>http://dx.doi.org/10.1177/0011392120931148</v>
      </c>
      <c r="BG943" s="1" t="s">
        <v>74</v>
      </c>
      <c r="BH943" s="1" t="s">
        <v>161</v>
      </c>
      <c r="BI943" s="1" t="s">
        <v>74</v>
      </c>
      <c r="BJ943" s="1" t="s">
        <v>74</v>
      </c>
      <c r="BK943" s="1" t="s">
        <v>74</v>
      </c>
      <c r="BL943" s="1" t="s">
        <v>74</v>
      </c>
      <c r="BM943" s="1" t="s">
        <v>74</v>
      </c>
      <c r="BN943" s="1" t="s">
        <v>74</v>
      </c>
      <c r="BO943" s="1" t="s">
        <v>74</v>
      </c>
      <c r="BP943" s="1" t="s">
        <v>74</v>
      </c>
      <c r="BQ943" s="1" t="s">
        <v>74</v>
      </c>
      <c r="BR943" s="1" t="s">
        <v>74</v>
      </c>
      <c r="BS943" s="1" t="s">
        <v>7849</v>
      </c>
      <c r="BT943" s="1" t="str">
        <f>HYPERLINK("https%3A%2F%2Fwww.webofscience.com%2Fwos%2Fwoscc%2Ffull-record%2FWOS:000543760400001","View Full Record in Web of Science")</f>
        <v>View Full Record in Web of Science</v>
      </c>
    </row>
    <row r="944" ht="12.75" customHeight="1">
      <c r="A944" s="1" t="s">
        <v>72</v>
      </c>
      <c r="B944" s="1" t="s">
        <v>7850</v>
      </c>
      <c r="C944" s="1" t="s">
        <v>74</v>
      </c>
      <c r="D944" s="1" t="s">
        <v>74</v>
      </c>
      <c r="E944" s="1" t="s">
        <v>74</v>
      </c>
      <c r="F944" s="1" t="s">
        <v>7851</v>
      </c>
      <c r="G944" s="1" t="s">
        <v>74</v>
      </c>
      <c r="H944" s="1" t="s">
        <v>74</v>
      </c>
      <c r="I944" s="1" t="s">
        <v>7852</v>
      </c>
      <c r="J944" s="1" t="s">
        <v>7853</v>
      </c>
      <c r="K944" s="1" t="s">
        <v>74</v>
      </c>
      <c r="L944" s="1" t="s">
        <v>74</v>
      </c>
      <c r="M944" s="1" t="s">
        <v>74</v>
      </c>
      <c r="N944" s="1" t="s">
        <v>74</v>
      </c>
      <c r="O944" s="1" t="s">
        <v>74</v>
      </c>
      <c r="P944" s="1" t="s">
        <v>74</v>
      </c>
      <c r="Q944" s="1" t="s">
        <v>74</v>
      </c>
      <c r="R944" s="1" t="s">
        <v>74</v>
      </c>
      <c r="S944" s="1" t="s">
        <v>74</v>
      </c>
      <c r="T944" s="1" t="s">
        <v>74</v>
      </c>
      <c r="U944" s="1" t="s">
        <v>74</v>
      </c>
      <c r="V944" s="1" t="s">
        <v>7854</v>
      </c>
      <c r="W944" s="1" t="s">
        <v>74</v>
      </c>
      <c r="X944" s="1" t="s">
        <v>74</v>
      </c>
      <c r="Y944" s="1" t="s">
        <v>74</v>
      </c>
      <c r="Z944" s="1" t="s">
        <v>74</v>
      </c>
      <c r="AA944" s="1" t="s">
        <v>74</v>
      </c>
      <c r="AB944" s="1" t="s">
        <v>74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7855</v>
      </c>
      <c r="AP944" s="1" t="s">
        <v>7856</v>
      </c>
      <c r="AQ944" s="1" t="s">
        <v>74</v>
      </c>
      <c r="AR944" s="1" t="s">
        <v>74</v>
      </c>
      <c r="AS944" s="1" t="s">
        <v>74</v>
      </c>
      <c r="AT944" s="1" t="s">
        <v>3700</v>
      </c>
      <c r="AU944" s="1">
        <v>2019.0</v>
      </c>
      <c r="AV944" s="1">
        <v>25.0</v>
      </c>
      <c r="AW944" s="1">
        <v>1.0</v>
      </c>
      <c r="AX944" s="1" t="s">
        <v>74</v>
      </c>
      <c r="AY944" s="1" t="s">
        <v>74</v>
      </c>
      <c r="AZ944" s="1" t="s">
        <v>74</v>
      </c>
      <c r="BA944" s="1" t="s">
        <v>74</v>
      </c>
      <c r="BB944" s="1">
        <v>33.0</v>
      </c>
      <c r="BC944" s="1">
        <v>45.0</v>
      </c>
      <c r="BD944" s="1" t="s">
        <v>74</v>
      </c>
      <c r="BE944" s="1" t="s">
        <v>7857</v>
      </c>
      <c r="BF944" s="2" t="str">
        <f>HYPERLINK("http://dx.doi.org/10.1080/13504622.2017.1408057","http://dx.doi.org/10.1080/13504622.2017.1408057")</f>
        <v>http://dx.doi.org/10.1080/13504622.2017.1408057</v>
      </c>
      <c r="BG944" s="1" t="s">
        <v>74</v>
      </c>
      <c r="BH944" s="1" t="s">
        <v>74</v>
      </c>
      <c r="BI944" s="1" t="s">
        <v>74</v>
      </c>
      <c r="BJ944" s="1" t="s">
        <v>74</v>
      </c>
      <c r="BK944" s="1" t="s">
        <v>74</v>
      </c>
      <c r="BL944" s="1" t="s">
        <v>74</v>
      </c>
      <c r="BM944" s="1" t="s">
        <v>74</v>
      </c>
      <c r="BN944" s="1" t="s">
        <v>74</v>
      </c>
      <c r="BO944" s="1" t="s">
        <v>74</v>
      </c>
      <c r="BP944" s="1" t="s">
        <v>74</v>
      </c>
      <c r="BQ944" s="1" t="s">
        <v>74</v>
      </c>
      <c r="BR944" s="1" t="s">
        <v>74</v>
      </c>
      <c r="BS944" s="1" t="s">
        <v>7858</v>
      </c>
      <c r="BT944" s="1" t="str">
        <f>HYPERLINK("https%3A%2F%2Fwww.webofscience.com%2Fwos%2Fwoscc%2Ffull-record%2FWOS:000464582800003","View Full Record in Web of Science")</f>
        <v>View Full Record in Web of Science</v>
      </c>
    </row>
    <row r="945" ht="12.75" customHeight="1">
      <c r="A945" s="1" t="s">
        <v>72</v>
      </c>
      <c r="B945" s="1" t="s">
        <v>7859</v>
      </c>
      <c r="C945" s="1" t="s">
        <v>74</v>
      </c>
      <c r="D945" s="1" t="s">
        <v>74</v>
      </c>
      <c r="E945" s="1" t="s">
        <v>74</v>
      </c>
      <c r="F945" s="1" t="s">
        <v>7860</v>
      </c>
      <c r="G945" s="1" t="s">
        <v>74</v>
      </c>
      <c r="H945" s="1" t="s">
        <v>74</v>
      </c>
      <c r="I945" s="1" t="s">
        <v>7861</v>
      </c>
      <c r="J945" s="1" t="s">
        <v>574</v>
      </c>
      <c r="K945" s="1" t="s">
        <v>74</v>
      </c>
      <c r="L945" s="1" t="s">
        <v>74</v>
      </c>
      <c r="M945" s="1" t="s">
        <v>74</v>
      </c>
      <c r="N945" s="1" t="s">
        <v>74</v>
      </c>
      <c r="O945" s="1" t="s">
        <v>74</v>
      </c>
      <c r="P945" s="1" t="s">
        <v>74</v>
      </c>
      <c r="Q945" s="1" t="s">
        <v>74</v>
      </c>
      <c r="R945" s="1" t="s">
        <v>74</v>
      </c>
      <c r="S945" s="1" t="s">
        <v>74</v>
      </c>
      <c r="T945" s="1" t="s">
        <v>74</v>
      </c>
      <c r="U945" s="1" t="s">
        <v>74</v>
      </c>
      <c r="V945" s="1" t="s">
        <v>7862</v>
      </c>
      <c r="W945" s="1" t="s">
        <v>74</v>
      </c>
      <c r="X945" s="1" t="s">
        <v>74</v>
      </c>
      <c r="Y945" s="1" t="s">
        <v>74</v>
      </c>
      <c r="Z945" s="1" t="s">
        <v>74</v>
      </c>
      <c r="AA945" s="1" t="s">
        <v>7863</v>
      </c>
      <c r="AB945" s="1" t="s">
        <v>3939</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1748</v>
      </c>
      <c r="AP945" s="1" t="s">
        <v>1749</v>
      </c>
      <c r="AQ945" s="1" t="s">
        <v>74</v>
      </c>
      <c r="AR945" s="1" t="s">
        <v>74</v>
      </c>
      <c r="AS945" s="1" t="s">
        <v>74</v>
      </c>
      <c r="AT945" s="1" t="s">
        <v>4783</v>
      </c>
      <c r="AU945" s="1">
        <v>2018.0</v>
      </c>
      <c r="AV945" s="1">
        <v>97.0</v>
      </c>
      <c r="AW945" s="1">
        <v>9.0</v>
      </c>
      <c r="AX945" s="1" t="s">
        <v>74</v>
      </c>
      <c r="AY945" s="1" t="s">
        <v>74</v>
      </c>
      <c r="AZ945" s="1" t="s">
        <v>74</v>
      </c>
      <c r="BA945" s="1" t="s">
        <v>74</v>
      </c>
      <c r="BB945" s="1" t="s">
        <v>74</v>
      </c>
      <c r="BC945" s="1" t="s">
        <v>74</v>
      </c>
      <c r="BD945" s="1">
        <v>96005.0</v>
      </c>
      <c r="BE945" s="1" t="s">
        <v>7864</v>
      </c>
      <c r="BF945" s="2" t="str">
        <f>HYPERLINK("http://dx.doi.org/10.1103/PhysRevD.97.096005","http://dx.doi.org/10.1103/PhysRevD.97.096005")</f>
        <v>http://dx.doi.org/10.1103/PhysRevD.97.096005</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7865</v>
      </c>
      <c r="BT945" s="1" t="str">
        <f>HYPERLINK("https%3A%2F%2Fwww.webofscience.com%2Fwos%2Fwoscc%2Ffull-record%2FWOS:000432972700005","View Full Record in Web of Science")</f>
        <v>View Full Record in Web of Science</v>
      </c>
    </row>
    <row r="946" ht="12.75" customHeight="1">
      <c r="A946" s="1" t="s">
        <v>72</v>
      </c>
      <c r="B946" s="1" t="s">
        <v>7866</v>
      </c>
      <c r="C946" s="1" t="s">
        <v>74</v>
      </c>
      <c r="D946" s="1" t="s">
        <v>74</v>
      </c>
      <c r="E946" s="1" t="s">
        <v>74</v>
      </c>
      <c r="F946" s="1" t="s">
        <v>7867</v>
      </c>
      <c r="G946" s="1" t="s">
        <v>74</v>
      </c>
      <c r="H946" s="1" t="s">
        <v>74</v>
      </c>
      <c r="I946" s="1" t="s">
        <v>7868</v>
      </c>
      <c r="J946" s="1" t="s">
        <v>7869</v>
      </c>
      <c r="K946" s="1" t="s">
        <v>74</v>
      </c>
      <c r="L946" s="1" t="s">
        <v>74</v>
      </c>
      <c r="M946" s="1" t="s">
        <v>74</v>
      </c>
      <c r="N946" s="1" t="s">
        <v>74</v>
      </c>
      <c r="O946" s="1" t="s">
        <v>74</v>
      </c>
      <c r="P946" s="1" t="s">
        <v>74</v>
      </c>
      <c r="Q946" s="1" t="s">
        <v>74</v>
      </c>
      <c r="R946" s="1" t="s">
        <v>74</v>
      </c>
      <c r="S946" s="1" t="s">
        <v>74</v>
      </c>
      <c r="T946" s="1" t="s">
        <v>74</v>
      </c>
      <c r="U946" s="1" t="s">
        <v>74</v>
      </c>
      <c r="V946" s="1" t="s">
        <v>7870</v>
      </c>
      <c r="W946" s="1" t="s">
        <v>74</v>
      </c>
      <c r="X946" s="1" t="s">
        <v>74</v>
      </c>
      <c r="Y946" s="1" t="s">
        <v>74</v>
      </c>
      <c r="Z946" s="1" t="s">
        <v>74</v>
      </c>
      <c r="AA946" s="1" t="s">
        <v>7871</v>
      </c>
      <c r="AB946" s="1" t="s">
        <v>7872</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7873</v>
      </c>
      <c r="AP946" s="1" t="s">
        <v>7874</v>
      </c>
      <c r="AQ946" s="1" t="s">
        <v>74</v>
      </c>
      <c r="AR946" s="1" t="s">
        <v>74</v>
      </c>
      <c r="AS946" s="1" t="s">
        <v>74</v>
      </c>
      <c r="AT946" s="1" t="s">
        <v>224</v>
      </c>
      <c r="AU946" s="1">
        <v>2018.0</v>
      </c>
      <c r="AV946" s="1">
        <v>111.0</v>
      </c>
      <c r="AW946" s="1" t="s">
        <v>74</v>
      </c>
      <c r="AX946" s="1" t="s">
        <v>74</v>
      </c>
      <c r="AY946" s="1" t="s">
        <v>74</v>
      </c>
      <c r="AZ946" s="1" t="s">
        <v>74</v>
      </c>
      <c r="BA946" s="1" t="s">
        <v>74</v>
      </c>
      <c r="BB946" s="1">
        <v>935.0</v>
      </c>
      <c r="BC946" s="1">
        <v>946.0</v>
      </c>
      <c r="BD946" s="1" t="s">
        <v>74</v>
      </c>
      <c r="BE946" s="1" t="s">
        <v>7875</v>
      </c>
      <c r="BF946" s="2" t="str">
        <f>HYPERLINK("http://dx.doi.org/10.1016/j.ijbiomac.2018.01.097","http://dx.doi.org/10.1016/j.ijbiomac.2018.01.097")</f>
        <v>http://dx.doi.org/10.1016/j.ijbiomac.2018.01.097</v>
      </c>
      <c r="BG946" s="1" t="s">
        <v>74</v>
      </c>
      <c r="BH946" s="1" t="s">
        <v>74</v>
      </c>
      <c r="BI946" s="1" t="s">
        <v>74</v>
      </c>
      <c r="BJ946" s="1" t="s">
        <v>74</v>
      </c>
      <c r="BK946" s="1" t="s">
        <v>74</v>
      </c>
      <c r="BL946" s="1" t="s">
        <v>74</v>
      </c>
      <c r="BM946" s="1" t="s">
        <v>74</v>
      </c>
      <c r="BN946" s="1">
        <v>2.9355633E7</v>
      </c>
      <c r="BO946" s="1" t="s">
        <v>74</v>
      </c>
      <c r="BP946" s="1" t="s">
        <v>74</v>
      </c>
      <c r="BQ946" s="1" t="s">
        <v>74</v>
      </c>
      <c r="BR946" s="1" t="s">
        <v>74</v>
      </c>
      <c r="BS946" s="1" t="s">
        <v>7876</v>
      </c>
      <c r="BT946" s="1" t="str">
        <f>HYPERLINK("https%3A%2F%2Fwww.webofscience.com%2Fwos%2Fwoscc%2Ffull-record%2FWOS:000429391000105","View Full Record in Web of Science")</f>
        <v>View Full Record in Web of Science</v>
      </c>
    </row>
    <row r="947" ht="12.75" customHeight="1">
      <c r="A947" s="1" t="s">
        <v>72</v>
      </c>
      <c r="B947" s="1" t="s">
        <v>7877</v>
      </c>
      <c r="C947" s="1" t="s">
        <v>74</v>
      </c>
      <c r="D947" s="1" t="s">
        <v>74</v>
      </c>
      <c r="E947" s="1" t="s">
        <v>74</v>
      </c>
      <c r="F947" s="1" t="s">
        <v>7878</v>
      </c>
      <c r="G947" s="1" t="s">
        <v>74</v>
      </c>
      <c r="H947" s="1" t="s">
        <v>74</v>
      </c>
      <c r="I947" s="1" t="s">
        <v>7879</v>
      </c>
      <c r="J947" s="1" t="s">
        <v>7880</v>
      </c>
      <c r="K947" s="1" t="s">
        <v>74</v>
      </c>
      <c r="L947" s="1" t="s">
        <v>74</v>
      </c>
      <c r="M947" s="1" t="s">
        <v>74</v>
      </c>
      <c r="N947" s="1" t="s">
        <v>74</v>
      </c>
      <c r="O947" s="1" t="s">
        <v>74</v>
      </c>
      <c r="P947" s="1" t="s">
        <v>74</v>
      </c>
      <c r="Q947" s="1" t="s">
        <v>74</v>
      </c>
      <c r="R947" s="1" t="s">
        <v>74</v>
      </c>
      <c r="S947" s="1" t="s">
        <v>74</v>
      </c>
      <c r="T947" s="1" t="s">
        <v>74</v>
      </c>
      <c r="U947" s="1" t="s">
        <v>74</v>
      </c>
      <c r="V947" s="1" t="s">
        <v>7881</v>
      </c>
      <c r="W947" s="1" t="s">
        <v>74</v>
      </c>
      <c r="X947" s="1" t="s">
        <v>74</v>
      </c>
      <c r="Y947" s="1" t="s">
        <v>74</v>
      </c>
      <c r="Z947" s="1" t="s">
        <v>74</v>
      </c>
      <c r="AA947" s="1" t="s">
        <v>7882</v>
      </c>
      <c r="AB947" s="1" t="s">
        <v>74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7883</v>
      </c>
      <c r="AP947" s="1" t="s">
        <v>7884</v>
      </c>
      <c r="AQ947" s="1" t="s">
        <v>74</v>
      </c>
      <c r="AR947" s="1" t="s">
        <v>74</v>
      </c>
      <c r="AS947" s="1" t="s">
        <v>74</v>
      </c>
      <c r="AT947" s="1" t="s">
        <v>123</v>
      </c>
      <c r="AU947" s="1">
        <v>2015.0</v>
      </c>
      <c r="AV947" s="1">
        <v>50.0</v>
      </c>
      <c r="AW947" s="1">
        <v>1.0</v>
      </c>
      <c r="AX947" s="1" t="s">
        <v>74</v>
      </c>
      <c r="AY947" s="1" t="s">
        <v>74</v>
      </c>
      <c r="AZ947" s="1" t="s">
        <v>74</v>
      </c>
      <c r="BA947" s="1" t="s">
        <v>74</v>
      </c>
      <c r="BB947" s="1">
        <v>49.0</v>
      </c>
      <c r="BC947" s="1">
        <v>55.0</v>
      </c>
      <c r="BD947" s="1" t="s">
        <v>74</v>
      </c>
      <c r="BE947" s="1" t="s">
        <v>7885</v>
      </c>
      <c r="BF947" s="2" t="str">
        <f>HYPERLINK("http://dx.doi.org/10.1007/s11745-014-3973-9","http://dx.doi.org/10.1007/s11745-014-3973-9")</f>
        <v>http://dx.doi.org/10.1007/s11745-014-3973-9</v>
      </c>
      <c r="BG947" s="1" t="s">
        <v>74</v>
      </c>
      <c r="BH947" s="1" t="s">
        <v>74</v>
      </c>
      <c r="BI947" s="1" t="s">
        <v>74</v>
      </c>
      <c r="BJ947" s="1" t="s">
        <v>74</v>
      </c>
      <c r="BK947" s="1" t="s">
        <v>74</v>
      </c>
      <c r="BL947" s="1" t="s">
        <v>74</v>
      </c>
      <c r="BM947" s="1" t="s">
        <v>74</v>
      </c>
      <c r="BN947" s="1">
        <v>2.542515E7</v>
      </c>
      <c r="BO947" s="1" t="s">
        <v>74</v>
      </c>
      <c r="BP947" s="1" t="s">
        <v>74</v>
      </c>
      <c r="BQ947" s="1" t="s">
        <v>74</v>
      </c>
      <c r="BR947" s="1" t="s">
        <v>74</v>
      </c>
      <c r="BS947" s="1" t="s">
        <v>7886</v>
      </c>
      <c r="BT947" s="1" t="str">
        <f>HYPERLINK("https%3A%2F%2Fwww.webofscience.com%2Fwos%2Fwoscc%2Ffull-record%2FWOS:000347285000006","View Full Record in Web of Science")</f>
        <v>View Full Record in Web of Science</v>
      </c>
    </row>
    <row r="948" ht="12.75" customHeight="1">
      <c r="A948" s="1" t="s">
        <v>72</v>
      </c>
      <c r="B948" s="1" t="s">
        <v>7887</v>
      </c>
      <c r="C948" s="1" t="s">
        <v>74</v>
      </c>
      <c r="D948" s="1" t="s">
        <v>74</v>
      </c>
      <c r="E948" s="1" t="s">
        <v>74</v>
      </c>
      <c r="F948" s="1" t="s">
        <v>7888</v>
      </c>
      <c r="G948" s="1" t="s">
        <v>74</v>
      </c>
      <c r="H948" s="1" t="s">
        <v>74</v>
      </c>
      <c r="I948" s="1" t="s">
        <v>7889</v>
      </c>
      <c r="J948" s="1" t="s">
        <v>2203</v>
      </c>
      <c r="K948" s="1" t="s">
        <v>74</v>
      </c>
      <c r="L948" s="1" t="s">
        <v>74</v>
      </c>
      <c r="M948" s="1" t="s">
        <v>74</v>
      </c>
      <c r="N948" s="1" t="s">
        <v>74</v>
      </c>
      <c r="O948" s="1" t="s">
        <v>74</v>
      </c>
      <c r="P948" s="1" t="s">
        <v>74</v>
      </c>
      <c r="Q948" s="1" t="s">
        <v>74</v>
      </c>
      <c r="R948" s="1" t="s">
        <v>74</v>
      </c>
      <c r="S948" s="1" t="s">
        <v>74</v>
      </c>
      <c r="T948" s="1" t="s">
        <v>74</v>
      </c>
      <c r="U948" s="1" t="s">
        <v>74</v>
      </c>
      <c r="V948" s="1" t="s">
        <v>7890</v>
      </c>
      <c r="W948" s="1" t="s">
        <v>74</v>
      </c>
      <c r="X948" s="1" t="s">
        <v>74</v>
      </c>
      <c r="Y948" s="1" t="s">
        <v>74</v>
      </c>
      <c r="Z948" s="1" t="s">
        <v>74</v>
      </c>
      <c r="AA948" s="1" t="s">
        <v>74</v>
      </c>
      <c r="AB948" s="1" t="s">
        <v>7891</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2207</v>
      </c>
      <c r="AP948" s="1" t="s">
        <v>74</v>
      </c>
      <c r="AQ948" s="1" t="s">
        <v>74</v>
      </c>
      <c r="AR948" s="1" t="s">
        <v>74</v>
      </c>
      <c r="AS948" s="1" t="s">
        <v>74</v>
      </c>
      <c r="AT948" s="1" t="s">
        <v>2208</v>
      </c>
      <c r="AU948" s="1">
        <v>2014.0</v>
      </c>
      <c r="AV948" s="1">
        <v>13.0</v>
      </c>
      <c r="AW948" s="1">
        <v>1.0</v>
      </c>
      <c r="AX948" s="1" t="s">
        <v>74</v>
      </c>
      <c r="AY948" s="1" t="s">
        <v>74</v>
      </c>
      <c r="AZ948" s="1" t="s">
        <v>74</v>
      </c>
      <c r="BA948" s="1" t="s">
        <v>74</v>
      </c>
      <c r="BB948" s="1">
        <v>145.0</v>
      </c>
      <c r="BC948" s="1">
        <v>159.0</v>
      </c>
      <c r="BD948" s="1" t="s">
        <v>74</v>
      </c>
      <c r="BE948" s="1" t="s">
        <v>74</v>
      </c>
      <c r="BF948" s="1" t="s">
        <v>74</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7892</v>
      </c>
      <c r="BT948" s="1" t="str">
        <f>HYPERLINK("https%3A%2F%2Fwww.webofscience.com%2Fwos%2Fwoscc%2Ffull-record%2FWOS:000345097900013","View Full Record in Web of Science")</f>
        <v>View Full Record in Web of Science</v>
      </c>
    </row>
    <row r="949" ht="12.75" customHeight="1">
      <c r="A949" s="1" t="s">
        <v>72</v>
      </c>
      <c r="B949" s="1" t="s">
        <v>7893</v>
      </c>
      <c r="C949" s="1" t="s">
        <v>74</v>
      </c>
      <c r="D949" s="1" t="s">
        <v>74</v>
      </c>
      <c r="E949" s="1" t="s">
        <v>74</v>
      </c>
      <c r="F949" s="1" t="s">
        <v>7894</v>
      </c>
      <c r="G949" s="1" t="s">
        <v>74</v>
      </c>
      <c r="H949" s="1" t="s">
        <v>74</v>
      </c>
      <c r="I949" s="1" t="s">
        <v>7895</v>
      </c>
      <c r="J949" s="1" t="s">
        <v>7896</v>
      </c>
      <c r="K949" s="1" t="s">
        <v>74</v>
      </c>
      <c r="L949" s="1" t="s">
        <v>74</v>
      </c>
      <c r="M949" s="1" t="s">
        <v>74</v>
      </c>
      <c r="N949" s="1" t="s">
        <v>74</v>
      </c>
      <c r="O949" s="1" t="s">
        <v>74</v>
      </c>
      <c r="P949" s="1" t="s">
        <v>74</v>
      </c>
      <c r="Q949" s="1" t="s">
        <v>74</v>
      </c>
      <c r="R949" s="1" t="s">
        <v>74</v>
      </c>
      <c r="S949" s="1" t="s">
        <v>74</v>
      </c>
      <c r="T949" s="1" t="s">
        <v>74</v>
      </c>
      <c r="U949" s="1" t="s">
        <v>74</v>
      </c>
      <c r="V949" s="1" t="s">
        <v>7897</v>
      </c>
      <c r="W949" s="1" t="s">
        <v>74</v>
      </c>
      <c r="X949" s="1" t="s">
        <v>74</v>
      </c>
      <c r="Y949" s="1" t="s">
        <v>74</v>
      </c>
      <c r="Z949" s="1" t="s">
        <v>74</v>
      </c>
      <c r="AA949" s="1" t="s">
        <v>7898</v>
      </c>
      <c r="AB949" s="1" t="s">
        <v>2478</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7899</v>
      </c>
      <c r="AP949" s="1" t="s">
        <v>74</v>
      </c>
      <c r="AQ949" s="1" t="s">
        <v>74</v>
      </c>
      <c r="AR949" s="1" t="s">
        <v>74</v>
      </c>
      <c r="AS949" s="1" t="s">
        <v>74</v>
      </c>
      <c r="AT949" s="1" t="s">
        <v>82</v>
      </c>
      <c r="AU949" s="1">
        <v>2012.0</v>
      </c>
      <c r="AV949" s="1">
        <v>50.0</v>
      </c>
      <c r="AW949" s="1">
        <v>12.0</v>
      </c>
      <c r="AX949" s="1" t="s">
        <v>74</v>
      </c>
      <c r="AY949" s="1" t="s">
        <v>74</v>
      </c>
      <c r="AZ949" s="1" t="s">
        <v>74</v>
      </c>
      <c r="BA949" s="1" t="s">
        <v>74</v>
      </c>
      <c r="BB949" s="1">
        <v>779.0</v>
      </c>
      <c r="BC949" s="1">
        <v>783.0</v>
      </c>
      <c r="BD949" s="1" t="s">
        <v>74</v>
      </c>
      <c r="BE949" s="1" t="s">
        <v>7900</v>
      </c>
      <c r="BF949" s="2" t="str">
        <f>HYPERLINK("http://dx.doi.org/10.1002/mrc.3871","http://dx.doi.org/10.1002/mrc.3871")</f>
        <v>http://dx.doi.org/10.1002/mrc.3871</v>
      </c>
      <c r="BG949" s="1" t="s">
        <v>74</v>
      </c>
      <c r="BH949" s="1" t="s">
        <v>74</v>
      </c>
      <c r="BI949" s="1" t="s">
        <v>74</v>
      </c>
      <c r="BJ949" s="1" t="s">
        <v>74</v>
      </c>
      <c r="BK949" s="1" t="s">
        <v>74</v>
      </c>
      <c r="BL949" s="1" t="s">
        <v>74</v>
      </c>
      <c r="BM949" s="1" t="s">
        <v>74</v>
      </c>
      <c r="BN949" s="1">
        <v>2.3008158E7</v>
      </c>
      <c r="BO949" s="1" t="s">
        <v>74</v>
      </c>
      <c r="BP949" s="1" t="s">
        <v>74</v>
      </c>
      <c r="BQ949" s="1" t="s">
        <v>74</v>
      </c>
      <c r="BR949" s="1" t="s">
        <v>74</v>
      </c>
      <c r="BS949" s="1" t="s">
        <v>7901</v>
      </c>
      <c r="BT949" s="1" t="str">
        <f>HYPERLINK("https%3A%2F%2Fwww.webofscience.com%2Fwos%2Fwoscc%2Ffull-record%2FWOS:000311378700001","View Full Record in Web of Science")</f>
        <v>View Full Record in Web of Science</v>
      </c>
    </row>
    <row r="950" ht="12.75" customHeight="1">
      <c r="A950" s="1" t="s">
        <v>72</v>
      </c>
      <c r="B950" s="1" t="s">
        <v>7902</v>
      </c>
      <c r="C950" s="1" t="s">
        <v>74</v>
      </c>
      <c r="D950" s="1" t="s">
        <v>74</v>
      </c>
      <c r="E950" s="1" t="s">
        <v>74</v>
      </c>
      <c r="F950" s="1" t="s">
        <v>7903</v>
      </c>
      <c r="G950" s="1" t="s">
        <v>74</v>
      </c>
      <c r="H950" s="1" t="s">
        <v>74</v>
      </c>
      <c r="I950" s="1" t="s">
        <v>7904</v>
      </c>
      <c r="J950" s="1" t="s">
        <v>7905</v>
      </c>
      <c r="K950" s="1" t="s">
        <v>74</v>
      </c>
      <c r="L950" s="1" t="s">
        <v>74</v>
      </c>
      <c r="M950" s="1" t="s">
        <v>74</v>
      </c>
      <c r="N950" s="1" t="s">
        <v>74</v>
      </c>
      <c r="O950" s="1" t="s">
        <v>74</v>
      </c>
      <c r="P950" s="1" t="s">
        <v>74</v>
      </c>
      <c r="Q950" s="1" t="s">
        <v>74</v>
      </c>
      <c r="R950" s="1" t="s">
        <v>74</v>
      </c>
      <c r="S950" s="1" t="s">
        <v>74</v>
      </c>
      <c r="T950" s="1" t="s">
        <v>74</v>
      </c>
      <c r="U950" s="1" t="s">
        <v>74</v>
      </c>
      <c r="V950" s="1" t="s">
        <v>7906</v>
      </c>
      <c r="W950" s="1" t="s">
        <v>74</v>
      </c>
      <c r="X950" s="1" t="s">
        <v>74</v>
      </c>
      <c r="Y950" s="1" t="s">
        <v>74</v>
      </c>
      <c r="Z950" s="1" t="s">
        <v>74</v>
      </c>
      <c r="AA950" s="1" t="s">
        <v>7907</v>
      </c>
      <c r="AB950" s="1" t="s">
        <v>7908</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7909</v>
      </c>
      <c r="AP950" s="1" t="s">
        <v>7910</v>
      </c>
      <c r="AQ950" s="1" t="s">
        <v>74</v>
      </c>
      <c r="AR950" s="1" t="s">
        <v>74</v>
      </c>
      <c r="AS950" s="1" t="s">
        <v>74</v>
      </c>
      <c r="AT950" s="1" t="s">
        <v>3080</v>
      </c>
      <c r="AU950" s="1">
        <v>2011.0</v>
      </c>
      <c r="AV950" s="1">
        <v>235.0</v>
      </c>
      <c r="AW950" s="1">
        <v>10.0</v>
      </c>
      <c r="AX950" s="1" t="s">
        <v>74</v>
      </c>
      <c r="AY950" s="1" t="s">
        <v>74</v>
      </c>
      <c r="AZ950" s="1" t="s">
        <v>74</v>
      </c>
      <c r="BA950" s="1" t="s">
        <v>74</v>
      </c>
      <c r="BB950" s="1">
        <v>3238.0</v>
      </c>
      <c r="BC950" s="1">
        <v>3244.0</v>
      </c>
      <c r="BD950" s="1" t="s">
        <v>74</v>
      </c>
      <c r="BE950" s="1" t="s">
        <v>7911</v>
      </c>
      <c r="BF950" s="2" t="str">
        <f>HYPERLINK("http://dx.doi.org/10.1016/j.cam.2011.01.010","http://dx.doi.org/10.1016/j.cam.2011.01.010")</f>
        <v>http://dx.doi.org/10.1016/j.cam.2011.01.010</v>
      </c>
      <c r="BG950" s="1" t="s">
        <v>74</v>
      </c>
      <c r="BH950" s="1" t="s">
        <v>74</v>
      </c>
      <c r="BI950" s="1" t="s">
        <v>74</v>
      </c>
      <c r="BJ950" s="1" t="s">
        <v>74</v>
      </c>
      <c r="BK950" s="1" t="s">
        <v>74</v>
      </c>
      <c r="BL950" s="1" t="s">
        <v>74</v>
      </c>
      <c r="BM950" s="1" t="s">
        <v>74</v>
      </c>
      <c r="BN950" s="1" t="s">
        <v>74</v>
      </c>
      <c r="BO950" s="1" t="s">
        <v>74</v>
      </c>
      <c r="BP950" s="1" t="s">
        <v>74</v>
      </c>
      <c r="BQ950" s="1" t="s">
        <v>74</v>
      </c>
      <c r="BR950" s="1" t="s">
        <v>74</v>
      </c>
      <c r="BS950" s="1" t="s">
        <v>7912</v>
      </c>
      <c r="BT950" s="1" t="str">
        <f>HYPERLINK("https%3A%2F%2Fwww.webofscience.com%2Fwos%2Fwoscc%2Ffull-record%2FWOS:000289020400012","View Full Record in Web of Science")</f>
        <v>View Full Record in Web of Science</v>
      </c>
    </row>
    <row r="951" ht="12.75" customHeight="1">
      <c r="A951" s="1" t="s">
        <v>126</v>
      </c>
      <c r="B951" s="1" t="s">
        <v>7913</v>
      </c>
      <c r="C951" s="1" t="s">
        <v>74</v>
      </c>
      <c r="D951" s="1" t="s">
        <v>7914</v>
      </c>
      <c r="E951" s="1" t="s">
        <v>74</v>
      </c>
      <c r="F951" s="1" t="s">
        <v>7915</v>
      </c>
      <c r="G951" s="1" t="s">
        <v>74</v>
      </c>
      <c r="H951" s="1" t="s">
        <v>74</v>
      </c>
      <c r="I951" s="1" t="s">
        <v>7916</v>
      </c>
      <c r="J951" s="1" t="s">
        <v>7917</v>
      </c>
      <c r="K951" s="1" t="s">
        <v>6685</v>
      </c>
      <c r="L951" s="1" t="s">
        <v>74</v>
      </c>
      <c r="M951" s="1" t="s">
        <v>74</v>
      </c>
      <c r="N951" s="1" t="s">
        <v>74</v>
      </c>
      <c r="O951" s="1" t="s">
        <v>7918</v>
      </c>
      <c r="P951" s="1" t="s">
        <v>7919</v>
      </c>
      <c r="Q951" s="1" t="s">
        <v>1833</v>
      </c>
      <c r="R951" s="1" t="s">
        <v>7920</v>
      </c>
      <c r="S951" s="1" t="s">
        <v>74</v>
      </c>
      <c r="T951" s="1" t="s">
        <v>74</v>
      </c>
      <c r="U951" s="1" t="s">
        <v>74</v>
      </c>
      <c r="V951" s="1" t="s">
        <v>7921</v>
      </c>
      <c r="W951" s="1" t="s">
        <v>74</v>
      </c>
      <c r="X951" s="1" t="s">
        <v>74</v>
      </c>
      <c r="Y951" s="1" t="s">
        <v>74</v>
      </c>
      <c r="Z951" s="1" t="s">
        <v>74</v>
      </c>
      <c r="AA951" s="1" t="s">
        <v>7922</v>
      </c>
      <c r="AB951" s="1" t="s">
        <v>7923</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6794</v>
      </c>
      <c r="AP951" s="1" t="s">
        <v>74</v>
      </c>
      <c r="AQ951" s="1" t="s">
        <v>7924</v>
      </c>
      <c r="AR951" s="1" t="s">
        <v>74</v>
      </c>
      <c r="AS951" s="1" t="s">
        <v>74</v>
      </c>
      <c r="AT951" s="1" t="s">
        <v>74</v>
      </c>
      <c r="AU951" s="1">
        <v>2009.0</v>
      </c>
      <c r="AV951" s="1">
        <v>18.0</v>
      </c>
      <c r="AW951" s="1" t="s">
        <v>74</v>
      </c>
      <c r="AX951" s="1" t="s">
        <v>74</v>
      </c>
      <c r="AY951" s="1" t="s">
        <v>74</v>
      </c>
      <c r="AZ951" s="1" t="s">
        <v>74</v>
      </c>
      <c r="BA951" s="1" t="s">
        <v>74</v>
      </c>
      <c r="BB951" s="1">
        <v>183.0</v>
      </c>
      <c r="BC951" s="1" t="s">
        <v>509</v>
      </c>
      <c r="BD951" s="1" t="s">
        <v>74</v>
      </c>
      <c r="BE951" s="1" t="s">
        <v>7925</v>
      </c>
      <c r="BF951" s="2" t="str">
        <f>HYPERLINK("http://dx.doi.org/10.3303/CET0918028","http://dx.doi.org/10.3303/CET0918028")</f>
        <v>http://dx.doi.org/10.3303/CET0918028</v>
      </c>
      <c r="BG951" s="1" t="s">
        <v>74</v>
      </c>
      <c r="BH951" s="1" t="s">
        <v>74</v>
      </c>
      <c r="BI951" s="1" t="s">
        <v>74</v>
      </c>
      <c r="BJ951" s="1" t="s">
        <v>74</v>
      </c>
      <c r="BK951" s="1" t="s">
        <v>74</v>
      </c>
      <c r="BL951" s="1" t="s">
        <v>74</v>
      </c>
      <c r="BM951" s="1" t="s">
        <v>74</v>
      </c>
      <c r="BN951" s="1" t="s">
        <v>74</v>
      </c>
      <c r="BO951" s="1" t="s">
        <v>74</v>
      </c>
      <c r="BP951" s="1" t="s">
        <v>74</v>
      </c>
      <c r="BQ951" s="1" t="s">
        <v>74</v>
      </c>
      <c r="BR951" s="1" t="s">
        <v>74</v>
      </c>
      <c r="BS951" s="1" t="s">
        <v>7926</v>
      </c>
      <c r="BT951" s="1" t="str">
        <f>HYPERLINK("https%3A%2F%2Fwww.webofscience.com%2Fwos%2Fwoscc%2Ffull-record%2FWOS:000271673200028","View Full Record in Web of Science")</f>
        <v>View Full Record in Web of Science</v>
      </c>
    </row>
    <row r="952" ht="12.75" customHeight="1">
      <c r="A952" s="1" t="s">
        <v>72</v>
      </c>
      <c r="B952" s="1" t="s">
        <v>7927</v>
      </c>
      <c r="C952" s="1" t="s">
        <v>74</v>
      </c>
      <c r="D952" s="1" t="s">
        <v>74</v>
      </c>
      <c r="E952" s="1" t="s">
        <v>74</v>
      </c>
      <c r="F952" s="1" t="s">
        <v>7928</v>
      </c>
      <c r="G952" s="1" t="s">
        <v>74</v>
      </c>
      <c r="H952" s="1" t="s">
        <v>74</v>
      </c>
      <c r="I952" s="1" t="s">
        <v>7929</v>
      </c>
      <c r="J952" s="1" t="s">
        <v>7930</v>
      </c>
      <c r="K952" s="1" t="s">
        <v>74</v>
      </c>
      <c r="L952" s="1" t="s">
        <v>74</v>
      </c>
      <c r="M952" s="1" t="s">
        <v>74</v>
      </c>
      <c r="N952" s="1" t="s">
        <v>74</v>
      </c>
      <c r="O952" s="1" t="s">
        <v>74</v>
      </c>
      <c r="P952" s="1" t="s">
        <v>74</v>
      </c>
      <c r="Q952" s="1" t="s">
        <v>74</v>
      </c>
      <c r="R952" s="1" t="s">
        <v>74</v>
      </c>
      <c r="S952" s="1" t="s">
        <v>74</v>
      </c>
      <c r="T952" s="1" t="s">
        <v>74</v>
      </c>
      <c r="U952" s="1" t="s">
        <v>74</v>
      </c>
      <c r="V952" s="1" t="s">
        <v>7931</v>
      </c>
      <c r="W952" s="1" t="s">
        <v>74</v>
      </c>
      <c r="X952" s="1" t="s">
        <v>74</v>
      </c>
      <c r="Y952" s="1" t="s">
        <v>74</v>
      </c>
      <c r="Z952" s="1" t="s">
        <v>74</v>
      </c>
      <c r="AA952" s="1" t="s">
        <v>7932</v>
      </c>
      <c r="AB952" s="1" t="s">
        <v>3232</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7933</v>
      </c>
      <c r="AP952" s="1" t="s">
        <v>74</v>
      </c>
      <c r="AQ952" s="1" t="s">
        <v>74</v>
      </c>
      <c r="AR952" s="1" t="s">
        <v>74</v>
      </c>
      <c r="AS952" s="1" t="s">
        <v>74</v>
      </c>
      <c r="AT952" s="1" t="s">
        <v>2537</v>
      </c>
      <c r="AU952" s="1">
        <v>2007.0</v>
      </c>
      <c r="AV952" s="1">
        <v>20.0</v>
      </c>
      <c r="AW952" s="1">
        <v>4.0</v>
      </c>
      <c r="AX952" s="1" t="s">
        <v>74</v>
      </c>
      <c r="AY952" s="1" t="s">
        <v>74</v>
      </c>
      <c r="AZ952" s="1" t="s">
        <v>74</v>
      </c>
      <c r="BA952" s="1" t="s">
        <v>74</v>
      </c>
      <c r="BB952" s="1">
        <v>319.0</v>
      </c>
      <c r="BC952" s="1">
        <v>328.0</v>
      </c>
      <c r="BD952" s="1" t="s">
        <v>74</v>
      </c>
      <c r="BE952" s="1" t="s">
        <v>74</v>
      </c>
      <c r="BF952" s="1" t="s">
        <v>74</v>
      </c>
      <c r="BG952" s="1" t="s">
        <v>74</v>
      </c>
      <c r="BH952" s="1" t="s">
        <v>74</v>
      </c>
      <c r="BI952" s="1" t="s">
        <v>74</v>
      </c>
      <c r="BJ952" s="1" t="s">
        <v>74</v>
      </c>
      <c r="BK952" s="1" t="s">
        <v>74</v>
      </c>
      <c r="BL952" s="1" t="s">
        <v>74</v>
      </c>
      <c r="BM952" s="1" t="s">
        <v>74</v>
      </c>
      <c r="BN952" s="1" t="s">
        <v>74</v>
      </c>
      <c r="BO952" s="1" t="s">
        <v>74</v>
      </c>
      <c r="BP952" s="1" t="s">
        <v>74</v>
      </c>
      <c r="BQ952" s="1" t="s">
        <v>74</v>
      </c>
      <c r="BR952" s="1" t="s">
        <v>74</v>
      </c>
      <c r="BS952" s="1" t="s">
        <v>7934</v>
      </c>
      <c r="BT952" s="1" t="str">
        <f>HYPERLINK("https%3A%2F%2Fwww.webofscience.com%2Fwos%2Fwoscc%2Ffull-record%2FWOS:000250634100001","View Full Record in Web of Science")</f>
        <v>View Full Record in Web of Science</v>
      </c>
    </row>
    <row r="953" ht="12.75" customHeight="1">
      <c r="A953" s="1" t="s">
        <v>72</v>
      </c>
      <c r="B953" s="1" t="s">
        <v>7935</v>
      </c>
      <c r="C953" s="1" t="s">
        <v>74</v>
      </c>
      <c r="D953" s="1" t="s">
        <v>74</v>
      </c>
      <c r="E953" s="1" t="s">
        <v>74</v>
      </c>
      <c r="F953" s="1" t="s">
        <v>7936</v>
      </c>
      <c r="G953" s="1" t="s">
        <v>74</v>
      </c>
      <c r="H953" s="1" t="s">
        <v>74</v>
      </c>
      <c r="I953" s="1" t="s">
        <v>7937</v>
      </c>
      <c r="J953" s="1" t="s">
        <v>698</v>
      </c>
      <c r="K953" s="1" t="s">
        <v>74</v>
      </c>
      <c r="L953" s="1" t="s">
        <v>74</v>
      </c>
      <c r="M953" s="1" t="s">
        <v>74</v>
      </c>
      <c r="N953" s="1" t="s">
        <v>74</v>
      </c>
      <c r="O953" s="1" t="s">
        <v>74</v>
      </c>
      <c r="P953" s="1" t="s">
        <v>74</v>
      </c>
      <c r="Q953" s="1" t="s">
        <v>74</v>
      </c>
      <c r="R953" s="1" t="s">
        <v>74</v>
      </c>
      <c r="S953" s="1" t="s">
        <v>74</v>
      </c>
      <c r="T953" s="1" t="s">
        <v>74</v>
      </c>
      <c r="U953" s="1" t="s">
        <v>74</v>
      </c>
      <c r="V953" s="1" t="s">
        <v>7938</v>
      </c>
      <c r="W953" s="1" t="s">
        <v>74</v>
      </c>
      <c r="X953" s="1" t="s">
        <v>74</v>
      </c>
      <c r="Y953" s="1" t="s">
        <v>74</v>
      </c>
      <c r="Z953" s="1" t="s">
        <v>74</v>
      </c>
      <c r="AA953" s="1" t="s">
        <v>74</v>
      </c>
      <c r="AB953" s="1" t="s">
        <v>74</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2256</v>
      </c>
      <c r="AP953" s="1" t="s">
        <v>74</v>
      </c>
      <c r="AQ953" s="1" t="s">
        <v>74</v>
      </c>
      <c r="AR953" s="1" t="s">
        <v>74</v>
      </c>
      <c r="AS953" s="1" t="s">
        <v>74</v>
      </c>
      <c r="AT953" s="1" t="s">
        <v>256</v>
      </c>
      <c r="AU953" s="1">
        <v>2007.0</v>
      </c>
      <c r="AV953" s="1">
        <v>52.0</v>
      </c>
      <c r="AW953" s="1">
        <v>1.0</v>
      </c>
      <c r="AX953" s="1" t="s">
        <v>74</v>
      </c>
      <c r="AY953" s="1" t="s">
        <v>74</v>
      </c>
      <c r="AZ953" s="1" t="s">
        <v>74</v>
      </c>
      <c r="BA953" s="1" t="s">
        <v>74</v>
      </c>
      <c r="BB953" s="1">
        <v>1082.0</v>
      </c>
      <c r="BC953" s="1">
        <v>1087.0</v>
      </c>
      <c r="BD953" s="1" t="s">
        <v>74</v>
      </c>
      <c r="BE953" s="1" t="s">
        <v>74</v>
      </c>
      <c r="BF953" s="1" t="s">
        <v>74</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7939</v>
      </c>
      <c r="BT953" s="1" t="str">
        <f>HYPERLINK("https%3A%2F%2Fwww.webofscience.com%2Fwos%2Fwoscc%2Ffull-record%2FWOS:000244696800005","View Full Record in Web of Science")</f>
        <v>View Full Record in Web of Science</v>
      </c>
    </row>
    <row r="954" ht="12.75" customHeight="1">
      <c r="A954" s="1" t="s">
        <v>72</v>
      </c>
      <c r="B954" s="1" t="s">
        <v>7940</v>
      </c>
      <c r="C954" s="1" t="s">
        <v>74</v>
      </c>
      <c r="D954" s="1" t="s">
        <v>74</v>
      </c>
      <c r="E954" s="1" t="s">
        <v>74</v>
      </c>
      <c r="F954" s="1" t="s">
        <v>7940</v>
      </c>
      <c r="G954" s="1" t="s">
        <v>74</v>
      </c>
      <c r="H954" s="1" t="s">
        <v>74</v>
      </c>
      <c r="I954" s="1" t="s">
        <v>7941</v>
      </c>
      <c r="J954" s="1" t="s">
        <v>7942</v>
      </c>
      <c r="K954" s="1" t="s">
        <v>74</v>
      </c>
      <c r="L954" s="1" t="s">
        <v>74</v>
      </c>
      <c r="M954" s="1" t="s">
        <v>74</v>
      </c>
      <c r="N954" s="1" t="s">
        <v>74</v>
      </c>
      <c r="O954" s="1" t="s">
        <v>74</v>
      </c>
      <c r="P954" s="1" t="s">
        <v>74</v>
      </c>
      <c r="Q954" s="1" t="s">
        <v>74</v>
      </c>
      <c r="R954" s="1" t="s">
        <v>74</v>
      </c>
      <c r="S954" s="1" t="s">
        <v>74</v>
      </c>
      <c r="T954" s="1" t="s">
        <v>74</v>
      </c>
      <c r="U954" s="1" t="s">
        <v>74</v>
      </c>
      <c r="V954" s="1" t="s">
        <v>7943</v>
      </c>
      <c r="W954" s="1" t="s">
        <v>74</v>
      </c>
      <c r="X954" s="1" t="s">
        <v>74</v>
      </c>
      <c r="Y954" s="1" t="s">
        <v>74</v>
      </c>
      <c r="Z954" s="1" t="s">
        <v>74</v>
      </c>
      <c r="AA954" s="1" t="s">
        <v>7944</v>
      </c>
      <c r="AB954" s="1" t="s">
        <v>7945</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7946</v>
      </c>
      <c r="AP954" s="1" t="s">
        <v>7947</v>
      </c>
      <c r="AQ954" s="1" t="s">
        <v>74</v>
      </c>
      <c r="AR954" s="1" t="s">
        <v>74</v>
      </c>
      <c r="AS954" s="1" t="s">
        <v>74</v>
      </c>
      <c r="AT954" s="1" t="s">
        <v>7948</v>
      </c>
      <c r="AU954" s="1">
        <v>2000.0</v>
      </c>
      <c r="AV954" s="1">
        <v>17.0</v>
      </c>
      <c r="AW954" s="1">
        <v>15.0</v>
      </c>
      <c r="AX954" s="1" t="s">
        <v>74</v>
      </c>
      <c r="AY954" s="1" t="s">
        <v>74</v>
      </c>
      <c r="AZ954" s="1" t="s">
        <v>74</v>
      </c>
      <c r="BA954" s="1" t="s">
        <v>74</v>
      </c>
      <c r="BB954" s="1">
        <v>2867.0</v>
      </c>
      <c r="BC954" s="1">
        <v>2874.0</v>
      </c>
      <c r="BD954" s="1" t="s">
        <v>74</v>
      </c>
      <c r="BE954" s="1" t="s">
        <v>7949</v>
      </c>
      <c r="BF954" s="2" t="str">
        <f>HYPERLINK("http://dx.doi.org/10.1088/0264-9381/17/15/302","http://dx.doi.org/10.1088/0264-9381/17/15/302")</f>
        <v>http://dx.doi.org/10.1088/0264-9381/17/15/302</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7950</v>
      </c>
      <c r="BT954" s="1" t="str">
        <f>HYPERLINK("https%3A%2F%2Fwww.webofscience.com%2Fwos%2Fwoscc%2Ffull-record%2FWOS:000088928400005","View Full Record in Web of Science")</f>
        <v>View Full Record in Web of Science</v>
      </c>
    </row>
    <row r="955" ht="12.75" customHeight="1">
      <c r="A955" s="1" t="s">
        <v>72</v>
      </c>
      <c r="B955" s="1" t="s">
        <v>7951</v>
      </c>
      <c r="C955" s="1" t="s">
        <v>74</v>
      </c>
      <c r="D955" s="1" t="s">
        <v>74</v>
      </c>
      <c r="E955" s="1" t="s">
        <v>74</v>
      </c>
      <c r="F955" s="1" t="s">
        <v>7951</v>
      </c>
      <c r="G955" s="1" t="s">
        <v>74</v>
      </c>
      <c r="H955" s="1" t="s">
        <v>74</v>
      </c>
      <c r="I955" s="1" t="s">
        <v>7952</v>
      </c>
      <c r="J955" s="1" t="s">
        <v>7942</v>
      </c>
      <c r="K955" s="1" t="s">
        <v>74</v>
      </c>
      <c r="L955" s="1" t="s">
        <v>74</v>
      </c>
      <c r="M955" s="1" t="s">
        <v>74</v>
      </c>
      <c r="N955" s="1" t="s">
        <v>74</v>
      </c>
      <c r="O955" s="1" t="s">
        <v>74</v>
      </c>
      <c r="P955" s="1" t="s">
        <v>74</v>
      </c>
      <c r="Q955" s="1" t="s">
        <v>74</v>
      </c>
      <c r="R955" s="1" t="s">
        <v>74</v>
      </c>
      <c r="S955" s="1" t="s">
        <v>74</v>
      </c>
      <c r="T955" s="1" t="s">
        <v>74</v>
      </c>
      <c r="U955" s="1" t="s">
        <v>74</v>
      </c>
      <c r="V955" s="1" t="s">
        <v>7953</v>
      </c>
      <c r="W955" s="1" t="s">
        <v>74</v>
      </c>
      <c r="X955" s="1" t="s">
        <v>74</v>
      </c>
      <c r="Y955" s="1" t="s">
        <v>74</v>
      </c>
      <c r="Z955" s="1" t="s">
        <v>74</v>
      </c>
      <c r="AA955" s="1" t="s">
        <v>74</v>
      </c>
      <c r="AB955" s="1" t="s">
        <v>7954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7946</v>
      </c>
      <c r="AP955" s="1" t="s">
        <v>74</v>
      </c>
      <c r="AQ955" s="1" t="s">
        <v>74</v>
      </c>
      <c r="AR955" s="1" t="s">
        <v>74</v>
      </c>
      <c r="AS955" s="1" t="s">
        <v>74</v>
      </c>
      <c r="AT955" s="1" t="s">
        <v>171</v>
      </c>
      <c r="AU955" s="1">
        <v>1999.0</v>
      </c>
      <c r="AV955" s="1">
        <v>16.0</v>
      </c>
      <c r="AW955" s="1">
        <v>6.0</v>
      </c>
      <c r="AX955" s="1" t="s">
        <v>74</v>
      </c>
      <c r="AY955" s="1" t="s">
        <v>74</v>
      </c>
      <c r="AZ955" s="1" t="s">
        <v>74</v>
      </c>
      <c r="BA955" s="1" t="s">
        <v>74</v>
      </c>
      <c r="BB955" s="1">
        <v>2125.0</v>
      </c>
      <c r="BC955" s="1">
        <v>2133.0</v>
      </c>
      <c r="BD955" s="1" t="s">
        <v>74</v>
      </c>
      <c r="BE955" s="1" t="s">
        <v>7955</v>
      </c>
      <c r="BF955" s="2" t="str">
        <f>HYPERLINK("http://dx.doi.org/10.1088/0264-9381/16/6/334","http://dx.doi.org/10.1088/0264-9381/16/6/334")</f>
        <v>http://dx.doi.org/10.1088/0264-9381/16/6/334</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7956</v>
      </c>
      <c r="BT955" s="1" t="str">
        <f>HYPERLINK("https%3A%2F%2Fwww.webofscience.com%2Fwos%2Fwoscc%2Ffull-record%2FWOS:000080948200036","View Full Record in Web of Science")</f>
        <v>View Full Record in Web of Science</v>
      </c>
    </row>
    <row r="956" ht="12.75" customHeight="1">
      <c r="A956" s="1" t="s">
        <v>72</v>
      </c>
      <c r="B956" s="1" t="s">
        <v>7957</v>
      </c>
      <c r="C956" s="1" t="s">
        <v>74</v>
      </c>
      <c r="D956" s="1" t="s">
        <v>74</v>
      </c>
      <c r="E956" s="1" t="s">
        <v>74</v>
      </c>
      <c r="F956" s="1" t="s">
        <v>7957</v>
      </c>
      <c r="G956" s="1" t="s">
        <v>74</v>
      </c>
      <c r="H956" s="1" t="s">
        <v>74</v>
      </c>
      <c r="I956" s="1" t="s">
        <v>7958</v>
      </c>
      <c r="J956" s="1" t="s">
        <v>5513</v>
      </c>
      <c r="K956" s="1" t="s">
        <v>74</v>
      </c>
      <c r="L956" s="1" t="s">
        <v>74</v>
      </c>
      <c r="M956" s="1" t="s">
        <v>74</v>
      </c>
      <c r="N956" s="1" t="s">
        <v>74</v>
      </c>
      <c r="O956" s="1" t="s">
        <v>74</v>
      </c>
      <c r="P956" s="1" t="s">
        <v>74</v>
      </c>
      <c r="Q956" s="1" t="s">
        <v>74</v>
      </c>
      <c r="R956" s="1" t="s">
        <v>74</v>
      </c>
      <c r="S956" s="1" t="s">
        <v>74</v>
      </c>
      <c r="T956" s="1" t="s">
        <v>74</v>
      </c>
      <c r="U956" s="1" t="s">
        <v>74</v>
      </c>
      <c r="V956" s="1" t="s">
        <v>7959</v>
      </c>
      <c r="W956" s="1" t="s">
        <v>74</v>
      </c>
      <c r="X956" s="1" t="s">
        <v>74</v>
      </c>
      <c r="Y956" s="1" t="s">
        <v>74</v>
      </c>
      <c r="Z956" s="1" t="s">
        <v>74</v>
      </c>
      <c r="AA956" s="1" t="s">
        <v>74</v>
      </c>
      <c r="AB956" s="1" t="s">
        <v>74</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5515</v>
      </c>
      <c r="AP956" s="1" t="s">
        <v>74</v>
      </c>
      <c r="AQ956" s="1" t="s">
        <v>74</v>
      </c>
      <c r="AR956" s="1" t="s">
        <v>74</v>
      </c>
      <c r="AS956" s="1" t="s">
        <v>74</v>
      </c>
      <c r="AT956" s="1" t="s">
        <v>818</v>
      </c>
      <c r="AU956" s="1">
        <v>1996.0</v>
      </c>
      <c r="AV956" s="1">
        <v>29.0</v>
      </c>
      <c r="AW956" s="1">
        <v>2.0</v>
      </c>
      <c r="AX956" s="1" t="s">
        <v>74</v>
      </c>
      <c r="AY956" s="1" t="s">
        <v>74</v>
      </c>
      <c r="AZ956" s="1" t="s">
        <v>74</v>
      </c>
      <c r="BA956" s="1" t="s">
        <v>74</v>
      </c>
      <c r="BB956" s="1">
        <v>175.0</v>
      </c>
      <c r="BC956" s="1">
        <v>183.0</v>
      </c>
      <c r="BD956" s="1" t="s">
        <v>74</v>
      </c>
      <c r="BE956" s="1" t="s">
        <v>74</v>
      </c>
      <c r="BF956" s="1" t="s">
        <v>74</v>
      </c>
      <c r="BG956" s="1" t="s">
        <v>74</v>
      </c>
      <c r="BH956" s="1" t="s">
        <v>74</v>
      </c>
      <c r="BI956" s="1" t="s">
        <v>74</v>
      </c>
      <c r="BJ956" s="1" t="s">
        <v>74</v>
      </c>
      <c r="BK956" s="1" t="s">
        <v>74</v>
      </c>
      <c r="BL956" s="1" t="s">
        <v>74</v>
      </c>
      <c r="BM956" s="1" t="s">
        <v>74</v>
      </c>
      <c r="BN956" s="1">
        <v>8731346.0</v>
      </c>
      <c r="BO956" s="1" t="s">
        <v>74</v>
      </c>
      <c r="BP956" s="1" t="s">
        <v>74</v>
      </c>
      <c r="BQ956" s="1" t="s">
        <v>74</v>
      </c>
      <c r="BR956" s="1" t="s">
        <v>74</v>
      </c>
      <c r="BS956" s="1" t="s">
        <v>7960</v>
      </c>
      <c r="BT956" s="1" t="str">
        <f>HYPERLINK("https%3A%2F%2Fwww.webofscience.com%2Fwos%2Fwoscc%2Ffull-record%2FWOS:A1996TV30300002","View Full Record in Web of Science")</f>
        <v>View Full Record in Web of Science</v>
      </c>
    </row>
    <row r="957" ht="12.75" customHeight="1">
      <c r="A957" s="1" t="s">
        <v>126</v>
      </c>
      <c r="B957" s="1" t="s">
        <v>7961</v>
      </c>
      <c r="C957" s="1" t="s">
        <v>74</v>
      </c>
      <c r="D957" s="1" t="s">
        <v>7962</v>
      </c>
      <c r="E957" s="1" t="s">
        <v>74</v>
      </c>
      <c r="F957" s="1" t="s">
        <v>7963</v>
      </c>
      <c r="G957" s="1" t="s">
        <v>74</v>
      </c>
      <c r="H957" s="1" t="s">
        <v>74</v>
      </c>
      <c r="I957" s="1" t="s">
        <v>7964</v>
      </c>
      <c r="J957" s="1" t="s">
        <v>7965</v>
      </c>
      <c r="K957" s="1" t="s">
        <v>7966</v>
      </c>
      <c r="L957" s="1" t="s">
        <v>74</v>
      </c>
      <c r="M957" s="1" t="s">
        <v>74</v>
      </c>
      <c r="N957" s="1" t="s">
        <v>74</v>
      </c>
      <c r="O957" s="1" t="s">
        <v>7967</v>
      </c>
      <c r="P957" s="1" t="s">
        <v>7968</v>
      </c>
      <c r="Q957" s="1" t="s">
        <v>7969</v>
      </c>
      <c r="R957" s="1" t="s">
        <v>7970</v>
      </c>
      <c r="S957" s="1" t="s">
        <v>7971</v>
      </c>
      <c r="T957" s="1" t="s">
        <v>74</v>
      </c>
      <c r="U957" s="1" t="s">
        <v>74</v>
      </c>
      <c r="V957" s="1" t="s">
        <v>7972</v>
      </c>
      <c r="W957" s="1" t="s">
        <v>74</v>
      </c>
      <c r="X957" s="1" t="s">
        <v>74</v>
      </c>
      <c r="Y957" s="1" t="s">
        <v>74</v>
      </c>
      <c r="Z957" s="1" t="s">
        <v>74</v>
      </c>
      <c r="AA957" s="1" t="s">
        <v>7973</v>
      </c>
      <c r="AB957" s="1" t="s">
        <v>7974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7975</v>
      </c>
      <c r="AP957" s="1" t="s">
        <v>507</v>
      </c>
      <c r="AQ957" s="1" t="s">
        <v>7976</v>
      </c>
      <c r="AR957" s="1" t="s">
        <v>74</v>
      </c>
      <c r="AS957" s="1" t="s">
        <v>74</v>
      </c>
      <c r="AT957" s="1" t="s">
        <v>74</v>
      </c>
      <c r="AU957" s="1">
        <v>2024.0</v>
      </c>
      <c r="AV957" s="1">
        <v>14848.0</v>
      </c>
      <c r="AW957" s="1" t="s">
        <v>74</v>
      </c>
      <c r="AX957" s="1" t="s">
        <v>74</v>
      </c>
      <c r="AY957" s="1" t="s">
        <v>74</v>
      </c>
      <c r="AZ957" s="1" t="s">
        <v>74</v>
      </c>
      <c r="BA957" s="1" t="s">
        <v>74</v>
      </c>
      <c r="BB957" s="1">
        <v>318.0</v>
      </c>
      <c r="BC957" s="1">
        <v>343.0</v>
      </c>
      <c r="BD957" s="1" t="s">
        <v>74</v>
      </c>
      <c r="BE957" s="1" t="s">
        <v>7977</v>
      </c>
      <c r="BF957" s="2" t="str">
        <f>HYPERLINK("http://dx.doi.org/10.1007/978-3-031-64629-4_26","http://dx.doi.org/10.1007/978-3-031-64629-4_26")</f>
        <v>http://dx.doi.org/10.1007/978-3-031-64629-4_26</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7978</v>
      </c>
      <c r="BT957" s="1" t="str">
        <f>HYPERLINK("https%3A%2F%2Fwww.webofscience.com%2Fwos%2Fwoscc%2Ffull-record%2FWOS:001308626000026","View Full Record in Web of Science")</f>
        <v>View Full Record in Web of Science</v>
      </c>
    </row>
    <row r="958" ht="12.75" customHeight="1">
      <c r="A958" s="1" t="s">
        <v>72</v>
      </c>
      <c r="B958" s="1" t="s">
        <v>4366</v>
      </c>
      <c r="C958" s="1" t="s">
        <v>74</v>
      </c>
      <c r="D958" s="1" t="s">
        <v>74</v>
      </c>
      <c r="E958" s="1" t="s">
        <v>74</v>
      </c>
      <c r="F958" s="1" t="s">
        <v>4367</v>
      </c>
      <c r="G958" s="1" t="s">
        <v>74</v>
      </c>
      <c r="H958" s="1" t="s">
        <v>74</v>
      </c>
      <c r="I958" s="1" t="s">
        <v>7979</v>
      </c>
      <c r="J958" s="1" t="s">
        <v>7980</v>
      </c>
      <c r="K958" s="1" t="s">
        <v>74</v>
      </c>
      <c r="L958" s="1" t="s">
        <v>74</v>
      </c>
      <c r="M958" s="1" t="s">
        <v>74</v>
      </c>
      <c r="N958" s="1" t="s">
        <v>74</v>
      </c>
      <c r="O958" s="1" t="s">
        <v>74</v>
      </c>
      <c r="P958" s="1" t="s">
        <v>74</v>
      </c>
      <c r="Q958" s="1" t="s">
        <v>74</v>
      </c>
      <c r="R958" s="1" t="s">
        <v>74</v>
      </c>
      <c r="S958" s="1" t="s">
        <v>74</v>
      </c>
      <c r="T958" s="1" t="s">
        <v>74</v>
      </c>
      <c r="U958" s="1" t="s">
        <v>74</v>
      </c>
      <c r="V958" s="1" t="s">
        <v>7981</v>
      </c>
      <c r="W958" s="1" t="s">
        <v>74</v>
      </c>
      <c r="X958" s="1" t="s">
        <v>74</v>
      </c>
      <c r="Y958" s="1" t="s">
        <v>74</v>
      </c>
      <c r="Z958" s="1" t="s">
        <v>74</v>
      </c>
      <c r="AA958" s="1" t="s">
        <v>4371</v>
      </c>
      <c r="AB958" s="1" t="s">
        <v>74</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7982</v>
      </c>
      <c r="AP958" s="1" t="s">
        <v>74</v>
      </c>
      <c r="AQ958" s="1" t="s">
        <v>74</v>
      </c>
      <c r="AR958" s="1" t="s">
        <v>74</v>
      </c>
      <c r="AS958" s="1" t="s">
        <v>74</v>
      </c>
      <c r="AT958" s="1" t="s">
        <v>382</v>
      </c>
      <c r="AU958" s="1">
        <v>2024.0</v>
      </c>
      <c r="AV958" s="1">
        <v>14.0</v>
      </c>
      <c r="AW958" s="1">
        <v>23.0</v>
      </c>
      <c r="AX958" s="1" t="s">
        <v>74</v>
      </c>
      <c r="AY958" s="1" t="s">
        <v>74</v>
      </c>
      <c r="AZ958" s="1" t="s">
        <v>74</v>
      </c>
      <c r="BA958" s="1" t="s">
        <v>74</v>
      </c>
      <c r="BB958" s="1">
        <v>66.0</v>
      </c>
      <c r="BC958" s="1">
        <v>82.0</v>
      </c>
      <c r="BD958" s="1" t="s">
        <v>74</v>
      </c>
      <c r="BE958" s="1" t="s">
        <v>74</v>
      </c>
      <c r="BF958" s="1" t="s">
        <v>74</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7983</v>
      </c>
      <c r="BT958" s="1" t="str">
        <f>HYPERLINK("https%3A%2F%2Fwww.webofscience.com%2Fwos%2Fwoscc%2Ffull-record%2FWOS:001249098100004","View Full Record in Web of Science")</f>
        <v>View Full Record in Web of Science</v>
      </c>
    </row>
    <row r="959" ht="12.75" customHeight="1">
      <c r="A959" s="1" t="s">
        <v>72</v>
      </c>
      <c r="B959" s="1" t="s">
        <v>7984</v>
      </c>
      <c r="C959" s="1" t="s">
        <v>74</v>
      </c>
      <c r="D959" s="1" t="s">
        <v>74</v>
      </c>
      <c r="E959" s="1" t="s">
        <v>74</v>
      </c>
      <c r="F959" s="1" t="s">
        <v>7985</v>
      </c>
      <c r="G959" s="1" t="s">
        <v>74</v>
      </c>
      <c r="H959" s="1" t="s">
        <v>74</v>
      </c>
      <c r="I959" s="1" t="s">
        <v>7986</v>
      </c>
      <c r="J959" s="1" t="s">
        <v>5086</v>
      </c>
      <c r="K959" s="1" t="s">
        <v>74</v>
      </c>
      <c r="L959" s="1" t="s">
        <v>74</v>
      </c>
      <c r="M959" s="1" t="s">
        <v>74</v>
      </c>
      <c r="N959" s="1" t="s">
        <v>74</v>
      </c>
      <c r="O959" s="1" t="s">
        <v>74</v>
      </c>
      <c r="P959" s="1" t="s">
        <v>74</v>
      </c>
      <c r="Q959" s="1" t="s">
        <v>74</v>
      </c>
      <c r="R959" s="1" t="s">
        <v>74</v>
      </c>
      <c r="S959" s="1" t="s">
        <v>74</v>
      </c>
      <c r="T959" s="1" t="s">
        <v>74</v>
      </c>
      <c r="U959" s="1" t="s">
        <v>74</v>
      </c>
      <c r="V959" s="1" t="s">
        <v>7987</v>
      </c>
      <c r="W959" s="1" t="s">
        <v>74</v>
      </c>
      <c r="X959" s="1" t="s">
        <v>74</v>
      </c>
      <c r="Y959" s="1" t="s">
        <v>74</v>
      </c>
      <c r="Z959" s="1" t="s">
        <v>74</v>
      </c>
      <c r="AA959" s="1" t="s">
        <v>74</v>
      </c>
      <c r="AB959" s="1" t="s">
        <v>74</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5089</v>
      </c>
      <c r="AP959" s="1" t="s">
        <v>5090</v>
      </c>
      <c r="AQ959" s="1" t="s">
        <v>74</v>
      </c>
      <c r="AR959" s="1" t="s">
        <v>74</v>
      </c>
      <c r="AS959" s="1" t="s">
        <v>74</v>
      </c>
      <c r="AT959" s="1" t="s">
        <v>74</v>
      </c>
      <c r="AU959" s="1">
        <v>2023.0</v>
      </c>
      <c r="AV959" s="1">
        <v>59.0</v>
      </c>
      <c r="AW959" s="1">
        <v>5.0</v>
      </c>
      <c r="AX959" s="1" t="s">
        <v>74</v>
      </c>
      <c r="AY959" s="1" t="s">
        <v>74</v>
      </c>
      <c r="AZ959" s="1" t="s">
        <v>74</v>
      </c>
      <c r="BA959" s="1" t="s">
        <v>74</v>
      </c>
      <c r="BB959" s="1" t="s">
        <v>74</v>
      </c>
      <c r="BC959" s="1" t="s">
        <v>74</v>
      </c>
      <c r="BD959" s="1">
        <v>186274.0</v>
      </c>
      <c r="BE959" s="1" t="s">
        <v>7988</v>
      </c>
      <c r="BF959" s="2" t="str">
        <f>HYPERLINK("http://dx.doi.org/10.37190/ppmp/186274","http://dx.doi.org/10.37190/ppmp/186274")</f>
        <v>http://dx.doi.org/10.37190/ppmp/186274</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7989</v>
      </c>
      <c r="BT959" s="1" t="str">
        <f>HYPERLINK("https%3A%2F%2Fwww.webofscience.com%2Fwos%2Fwoscc%2Ffull-record%2FWOS:001245330700029","View Full Record in Web of Science")</f>
        <v>View Full Record in Web of Science</v>
      </c>
    </row>
    <row r="960" ht="12.75" customHeight="1">
      <c r="A960" s="1" t="s">
        <v>72</v>
      </c>
      <c r="B960" s="1" t="s">
        <v>7990</v>
      </c>
      <c r="C960" s="1" t="s">
        <v>74</v>
      </c>
      <c r="D960" s="1" t="s">
        <v>74</v>
      </c>
      <c r="E960" s="1" t="s">
        <v>74</v>
      </c>
      <c r="F960" s="1" t="s">
        <v>7991</v>
      </c>
      <c r="G960" s="1" t="s">
        <v>74</v>
      </c>
      <c r="H960" s="1" t="s">
        <v>74</v>
      </c>
      <c r="I960" s="1" t="s">
        <v>7992</v>
      </c>
      <c r="J960" s="1" t="s">
        <v>7993</v>
      </c>
      <c r="K960" s="1" t="s">
        <v>74</v>
      </c>
      <c r="L960" s="1" t="s">
        <v>74</v>
      </c>
      <c r="M960" s="1" t="s">
        <v>74</v>
      </c>
      <c r="N960" s="1" t="s">
        <v>74</v>
      </c>
      <c r="O960" s="1" t="s">
        <v>74</v>
      </c>
      <c r="P960" s="1" t="s">
        <v>74</v>
      </c>
      <c r="Q960" s="1" t="s">
        <v>74</v>
      </c>
      <c r="R960" s="1" t="s">
        <v>74</v>
      </c>
      <c r="S960" s="1" t="s">
        <v>74</v>
      </c>
      <c r="T960" s="1" t="s">
        <v>74</v>
      </c>
      <c r="U960" s="1" t="s">
        <v>74</v>
      </c>
      <c r="V960" s="1" t="s">
        <v>7994</v>
      </c>
      <c r="W960" s="1" t="s">
        <v>74</v>
      </c>
      <c r="X960" s="1" t="s">
        <v>74</v>
      </c>
      <c r="Y960" s="1" t="s">
        <v>74</v>
      </c>
      <c r="Z960" s="1" t="s">
        <v>74</v>
      </c>
      <c r="AA960" s="1" t="s">
        <v>74</v>
      </c>
      <c r="AB960" s="1" t="s">
        <v>7995</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7996</v>
      </c>
      <c r="AP960" s="1" t="s">
        <v>7997</v>
      </c>
      <c r="AQ960" s="1" t="s">
        <v>74</v>
      </c>
      <c r="AR960" s="1" t="s">
        <v>74</v>
      </c>
      <c r="AS960" s="1" t="s">
        <v>74</v>
      </c>
      <c r="AT960" s="1" t="s">
        <v>974</v>
      </c>
      <c r="AU960" s="1">
        <v>2022.0</v>
      </c>
      <c r="AV960" s="1">
        <v>75.0</v>
      </c>
      <c r="AW960" s="1">
        <v>2.0</v>
      </c>
      <c r="AX960" s="1" t="s">
        <v>74</v>
      </c>
      <c r="AY960" s="1" t="s">
        <v>74</v>
      </c>
      <c r="AZ960" s="1" t="s">
        <v>74</v>
      </c>
      <c r="BA960" s="1" t="s">
        <v>74</v>
      </c>
      <c r="BB960" s="1">
        <v>345.0</v>
      </c>
      <c r="BC960" s="1">
        <v>354.0</v>
      </c>
      <c r="BD960" s="1" t="s">
        <v>74</v>
      </c>
      <c r="BE960" s="1" t="s">
        <v>7998</v>
      </c>
      <c r="BF960" s="2" t="str">
        <f>HYPERLINK("http://dx.doi.org/10.1111/lam.13730","http://dx.doi.org/10.1111/lam.13730")</f>
        <v>http://dx.doi.org/10.1111/lam.13730</v>
      </c>
      <c r="BG960" s="1" t="s">
        <v>74</v>
      </c>
      <c r="BH960" s="1" t="s">
        <v>7999</v>
      </c>
      <c r="BI960" s="1" t="s">
        <v>74</v>
      </c>
      <c r="BJ960" s="1" t="s">
        <v>74</v>
      </c>
      <c r="BK960" s="1" t="s">
        <v>74</v>
      </c>
      <c r="BL960" s="1" t="s">
        <v>74</v>
      </c>
      <c r="BM960" s="1" t="s">
        <v>74</v>
      </c>
      <c r="BN960" s="1">
        <v>3.5486037E7</v>
      </c>
      <c r="BO960" s="1" t="s">
        <v>74</v>
      </c>
      <c r="BP960" s="1" t="s">
        <v>74</v>
      </c>
      <c r="BQ960" s="1" t="s">
        <v>74</v>
      </c>
      <c r="BR960" s="1" t="s">
        <v>74</v>
      </c>
      <c r="BS960" s="1" t="s">
        <v>8000</v>
      </c>
      <c r="BT960" s="1" t="str">
        <f>HYPERLINK("https%3A%2F%2Fwww.webofscience.com%2Fwos%2Fwoscc%2Ffull-record%2FWOS:000795655300001","View Full Record in Web of Science")</f>
        <v>View Full Record in Web of Science</v>
      </c>
    </row>
    <row r="961" ht="12.75" customHeight="1">
      <c r="A961" s="1" t="s">
        <v>72</v>
      </c>
      <c r="B961" s="1" t="s">
        <v>8001</v>
      </c>
      <c r="C961" s="1" t="s">
        <v>74</v>
      </c>
      <c r="D961" s="1" t="s">
        <v>74</v>
      </c>
      <c r="E961" s="1" t="s">
        <v>74</v>
      </c>
      <c r="F961" s="1" t="s">
        <v>8002</v>
      </c>
      <c r="G961" s="1" t="s">
        <v>74</v>
      </c>
      <c r="H961" s="1" t="s">
        <v>74</v>
      </c>
      <c r="I961" s="1" t="s">
        <v>8003</v>
      </c>
      <c r="J961" s="1" t="s">
        <v>8004</v>
      </c>
      <c r="K961" s="1" t="s">
        <v>74</v>
      </c>
      <c r="L961" s="1" t="s">
        <v>74</v>
      </c>
      <c r="M961" s="1" t="s">
        <v>74</v>
      </c>
      <c r="N961" s="1" t="s">
        <v>74</v>
      </c>
      <c r="O961" s="1" t="s">
        <v>74</v>
      </c>
      <c r="P961" s="1" t="s">
        <v>74</v>
      </c>
      <c r="Q961" s="1" t="s">
        <v>74</v>
      </c>
      <c r="R961" s="1" t="s">
        <v>74</v>
      </c>
      <c r="S961" s="1" t="s">
        <v>74</v>
      </c>
      <c r="T961" s="1" t="s">
        <v>74</v>
      </c>
      <c r="U961" s="1" t="s">
        <v>74</v>
      </c>
      <c r="V961" s="1" t="s">
        <v>8005</v>
      </c>
      <c r="W961" s="1" t="s">
        <v>74</v>
      </c>
      <c r="X961" s="1" t="s">
        <v>74</v>
      </c>
      <c r="Y961" s="1" t="s">
        <v>74</v>
      </c>
      <c r="Z961" s="1" t="s">
        <v>74</v>
      </c>
      <c r="AA961" s="1" t="s">
        <v>8006</v>
      </c>
      <c r="AB961" s="1" t="s">
        <v>8007</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8008</v>
      </c>
      <c r="AP961" s="1" t="s">
        <v>74</v>
      </c>
      <c r="AQ961" s="1" t="s">
        <v>74</v>
      </c>
      <c r="AR961" s="1" t="s">
        <v>74</v>
      </c>
      <c r="AS961" s="1" t="s">
        <v>74</v>
      </c>
      <c r="AT961" s="1" t="s">
        <v>193</v>
      </c>
      <c r="AU961" s="1">
        <v>2022.0</v>
      </c>
      <c r="AV961" s="1">
        <v>32.0</v>
      </c>
      <c r="AW961" s="1" t="s">
        <v>74</v>
      </c>
      <c r="AX961" s="1" t="s">
        <v>74</v>
      </c>
      <c r="AY961" s="1" t="s">
        <v>74</v>
      </c>
      <c r="AZ961" s="1" t="s">
        <v>74</v>
      </c>
      <c r="BA961" s="1" t="s">
        <v>74</v>
      </c>
      <c r="BB961" s="1" t="s">
        <v>74</v>
      </c>
      <c r="BC961" s="1" t="s">
        <v>74</v>
      </c>
      <c r="BD961" s="1">
        <v>100923.0</v>
      </c>
      <c r="BE961" s="1" t="s">
        <v>8009</v>
      </c>
      <c r="BF961" s="2" t="str">
        <f>HYPERLINK("http://dx.doi.org/10.1016/j.coelec.2021.100923","http://dx.doi.org/10.1016/j.coelec.2021.100923")</f>
        <v>http://dx.doi.org/10.1016/j.coelec.2021.100923</v>
      </c>
      <c r="BG961" s="1" t="s">
        <v>74</v>
      </c>
      <c r="BH961" s="1" t="s">
        <v>5690</v>
      </c>
      <c r="BI961" s="1" t="s">
        <v>74</v>
      </c>
      <c r="BJ961" s="1" t="s">
        <v>74</v>
      </c>
      <c r="BK961" s="1" t="s">
        <v>74</v>
      </c>
      <c r="BL961" s="1" t="s">
        <v>74</v>
      </c>
      <c r="BM961" s="1" t="s">
        <v>74</v>
      </c>
      <c r="BN961" s="1" t="s">
        <v>74</v>
      </c>
      <c r="BO961" s="1" t="s">
        <v>74</v>
      </c>
      <c r="BP961" s="1" t="s">
        <v>74</v>
      </c>
      <c r="BQ961" s="1" t="s">
        <v>74</v>
      </c>
      <c r="BR961" s="1" t="s">
        <v>74</v>
      </c>
      <c r="BS961" s="1" t="s">
        <v>8010</v>
      </c>
      <c r="BT961" s="1" t="str">
        <f>HYPERLINK("https%3A%2F%2Fwww.webofscience.com%2Fwos%2Fwoscc%2Ffull-record%2FWOS:000788053500018","View Full Record in Web of Science")</f>
        <v>View Full Record in Web of Science</v>
      </c>
    </row>
    <row r="962" ht="12.75" customHeight="1">
      <c r="A962" s="1" t="s">
        <v>126</v>
      </c>
      <c r="B962" s="1" t="s">
        <v>8011</v>
      </c>
      <c r="C962" s="1" t="s">
        <v>74</v>
      </c>
      <c r="D962" s="1" t="s">
        <v>74</v>
      </c>
      <c r="E962" s="1" t="s">
        <v>128</v>
      </c>
      <c r="F962" s="1" t="s">
        <v>8012</v>
      </c>
      <c r="G962" s="1" t="s">
        <v>74</v>
      </c>
      <c r="H962" s="1" t="s">
        <v>74</v>
      </c>
      <c r="I962" s="1" t="s">
        <v>8013</v>
      </c>
      <c r="J962" s="1" t="s">
        <v>1070</v>
      </c>
      <c r="K962" s="1" t="s">
        <v>74</v>
      </c>
      <c r="L962" s="1" t="s">
        <v>74</v>
      </c>
      <c r="M962" s="1" t="s">
        <v>74</v>
      </c>
      <c r="N962" s="1" t="s">
        <v>74</v>
      </c>
      <c r="O962" s="1" t="s">
        <v>1071</v>
      </c>
      <c r="P962" s="1" t="s">
        <v>1072</v>
      </c>
      <c r="Q962" s="1" t="s">
        <v>1073</v>
      </c>
      <c r="R962" s="1" t="s">
        <v>1074</v>
      </c>
      <c r="S962" s="1" t="s">
        <v>74</v>
      </c>
      <c r="T962" s="1" t="s">
        <v>74</v>
      </c>
      <c r="U962" s="1" t="s">
        <v>74</v>
      </c>
      <c r="V962" s="1" t="s">
        <v>8014</v>
      </c>
      <c r="W962" s="1" t="s">
        <v>74</v>
      </c>
      <c r="X962" s="1" t="s">
        <v>74</v>
      </c>
      <c r="Y962" s="1" t="s">
        <v>74</v>
      </c>
      <c r="Z962" s="1" t="s">
        <v>74</v>
      </c>
      <c r="AA962" s="1" t="s">
        <v>8015</v>
      </c>
      <c r="AB962" s="1" t="s">
        <v>8016</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74</v>
      </c>
      <c r="AP962" s="1" t="s">
        <v>74</v>
      </c>
      <c r="AQ962" s="1" t="s">
        <v>1078</v>
      </c>
      <c r="AR962" s="1" t="s">
        <v>74</v>
      </c>
      <c r="AS962" s="1" t="s">
        <v>74</v>
      </c>
      <c r="AT962" s="1" t="s">
        <v>74</v>
      </c>
      <c r="AU962" s="1">
        <v>2021.0</v>
      </c>
      <c r="AV962" s="1" t="s">
        <v>74</v>
      </c>
      <c r="AW962" s="1" t="s">
        <v>74</v>
      </c>
      <c r="AX962" s="1" t="s">
        <v>74</v>
      </c>
      <c r="AY962" s="1" t="s">
        <v>74</v>
      </c>
      <c r="AZ962" s="1" t="s">
        <v>74</v>
      </c>
      <c r="BA962" s="1" t="s">
        <v>74</v>
      </c>
      <c r="BB962" s="1" t="s">
        <v>74</v>
      </c>
      <c r="BC962" s="1" t="s">
        <v>74</v>
      </c>
      <c r="BD962" s="1" t="s">
        <v>74</v>
      </c>
      <c r="BE962" s="1" t="s">
        <v>8017</v>
      </c>
      <c r="BF962" s="2" t="str">
        <f>HYPERLINK("http://dx.doi.org/10.1109/ICAACCA51523.2021.9465300","http://dx.doi.org/10.1109/ICAACCA51523.2021.9465300")</f>
        <v>http://dx.doi.org/10.1109/ICAACCA51523.2021.9465300</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8018</v>
      </c>
      <c r="BT962" s="1" t="str">
        <f>HYPERLINK("https%3A%2F%2Fwww.webofscience.com%2Fwos%2Fwoscc%2Ffull-record%2FWOS:000855764500018","View Full Record in Web of Science")</f>
        <v>View Full Record in Web of Science</v>
      </c>
    </row>
    <row r="963" ht="12.75" customHeight="1">
      <c r="A963" s="1" t="s">
        <v>72</v>
      </c>
      <c r="B963" s="1" t="s">
        <v>8019</v>
      </c>
      <c r="C963" s="1" t="s">
        <v>74</v>
      </c>
      <c r="D963" s="1" t="s">
        <v>74</v>
      </c>
      <c r="E963" s="1" t="s">
        <v>74</v>
      </c>
      <c r="F963" s="1" t="s">
        <v>8020</v>
      </c>
      <c r="G963" s="1" t="s">
        <v>74</v>
      </c>
      <c r="H963" s="1" t="s">
        <v>74</v>
      </c>
      <c r="I963" s="1" t="s">
        <v>8021</v>
      </c>
      <c r="J963" s="1" t="s">
        <v>1044</v>
      </c>
      <c r="K963" s="1" t="s">
        <v>74</v>
      </c>
      <c r="L963" s="1" t="s">
        <v>74</v>
      </c>
      <c r="M963" s="1" t="s">
        <v>74</v>
      </c>
      <c r="N963" s="1" t="s">
        <v>74</v>
      </c>
      <c r="O963" s="1" t="s">
        <v>74</v>
      </c>
      <c r="P963" s="1" t="s">
        <v>74</v>
      </c>
      <c r="Q963" s="1" t="s">
        <v>74</v>
      </c>
      <c r="R963" s="1" t="s">
        <v>74</v>
      </c>
      <c r="S963" s="1" t="s">
        <v>74</v>
      </c>
      <c r="T963" s="1" t="s">
        <v>74</v>
      </c>
      <c r="U963" s="1" t="s">
        <v>74</v>
      </c>
      <c r="V963" s="1" t="s">
        <v>8022</v>
      </c>
      <c r="W963" s="1" t="s">
        <v>74</v>
      </c>
      <c r="X963" s="1" t="s">
        <v>74</v>
      </c>
      <c r="Y963" s="1" t="s">
        <v>74</v>
      </c>
      <c r="Z963" s="1" t="s">
        <v>74</v>
      </c>
      <c r="AA963" s="1" t="s">
        <v>6567</v>
      </c>
      <c r="AB963" s="1" t="s">
        <v>8023</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74</v>
      </c>
      <c r="AP963" s="1" t="s">
        <v>1047</v>
      </c>
      <c r="AQ963" s="1" t="s">
        <v>74</v>
      </c>
      <c r="AR963" s="1" t="s">
        <v>74</v>
      </c>
      <c r="AS963" s="1" t="s">
        <v>74</v>
      </c>
      <c r="AT963" s="1" t="s">
        <v>82</v>
      </c>
      <c r="AU963" s="1">
        <v>2019.0</v>
      </c>
      <c r="AV963" s="1">
        <v>11.0</v>
      </c>
      <c r="AW963" s="1">
        <v>12.0</v>
      </c>
      <c r="AX963" s="1" t="s">
        <v>74</v>
      </c>
      <c r="AY963" s="1" t="s">
        <v>74</v>
      </c>
      <c r="AZ963" s="1" t="s">
        <v>74</v>
      </c>
      <c r="BA963" s="1" t="s">
        <v>74</v>
      </c>
      <c r="BB963" s="1" t="s">
        <v>74</v>
      </c>
      <c r="BC963" s="1" t="s">
        <v>74</v>
      </c>
      <c r="BD963" s="1">
        <v>1945.0</v>
      </c>
      <c r="BE963" s="1" t="s">
        <v>8024</v>
      </c>
      <c r="BF963" s="2" t="str">
        <f>HYPERLINK("http://dx.doi.org/10.3390/polym11121945","http://dx.doi.org/10.3390/polym11121945")</f>
        <v>http://dx.doi.org/10.3390/polym11121945</v>
      </c>
      <c r="BG963" s="1" t="s">
        <v>74</v>
      </c>
      <c r="BH963" s="1" t="s">
        <v>74</v>
      </c>
      <c r="BI963" s="1" t="s">
        <v>74</v>
      </c>
      <c r="BJ963" s="1" t="s">
        <v>74</v>
      </c>
      <c r="BK963" s="1" t="s">
        <v>74</v>
      </c>
      <c r="BL963" s="1" t="s">
        <v>74</v>
      </c>
      <c r="BM963" s="1" t="s">
        <v>74</v>
      </c>
      <c r="BN963" s="1">
        <v>3.1779266E7</v>
      </c>
      <c r="BO963" s="1" t="s">
        <v>74</v>
      </c>
      <c r="BP963" s="1" t="s">
        <v>74</v>
      </c>
      <c r="BQ963" s="1" t="s">
        <v>74</v>
      </c>
      <c r="BR963" s="1" t="s">
        <v>74</v>
      </c>
      <c r="BS963" s="1" t="s">
        <v>8025</v>
      </c>
      <c r="BT963" s="1" t="str">
        <f>HYPERLINK("https%3A%2F%2Fwww.webofscience.com%2Fwos%2Fwoscc%2Ffull-record%2FWOS:000507624500038","View Full Record in Web of Science")</f>
        <v>View Full Record in Web of Science</v>
      </c>
    </row>
    <row r="964" ht="12.75" customHeight="1">
      <c r="A964" s="1" t="s">
        <v>72</v>
      </c>
      <c r="B964" s="1" t="s">
        <v>2822</v>
      </c>
      <c r="C964" s="1" t="s">
        <v>74</v>
      </c>
      <c r="D964" s="1" t="s">
        <v>74</v>
      </c>
      <c r="E964" s="1" t="s">
        <v>74</v>
      </c>
      <c r="F964" s="1" t="s">
        <v>2823</v>
      </c>
      <c r="G964" s="1" t="s">
        <v>74</v>
      </c>
      <c r="H964" s="1" t="s">
        <v>74</v>
      </c>
      <c r="I964" s="1" t="s">
        <v>8026</v>
      </c>
      <c r="J964" s="1" t="s">
        <v>1206</v>
      </c>
      <c r="K964" s="1" t="s">
        <v>74</v>
      </c>
      <c r="L964" s="1" t="s">
        <v>74</v>
      </c>
      <c r="M964" s="1" t="s">
        <v>74</v>
      </c>
      <c r="N964" s="1" t="s">
        <v>74</v>
      </c>
      <c r="O964" s="1" t="s">
        <v>74</v>
      </c>
      <c r="P964" s="1" t="s">
        <v>74</v>
      </c>
      <c r="Q964" s="1" t="s">
        <v>74</v>
      </c>
      <c r="R964" s="1" t="s">
        <v>74</v>
      </c>
      <c r="S964" s="1" t="s">
        <v>74</v>
      </c>
      <c r="T964" s="1" t="s">
        <v>74</v>
      </c>
      <c r="U964" s="1" t="s">
        <v>74</v>
      </c>
      <c r="V964" s="1" t="s">
        <v>8027</v>
      </c>
      <c r="W964" s="1" t="s">
        <v>74</v>
      </c>
      <c r="X964" s="1" t="s">
        <v>74</v>
      </c>
      <c r="Y964" s="1" t="s">
        <v>74</v>
      </c>
      <c r="Z964" s="1" t="s">
        <v>74</v>
      </c>
      <c r="AA964" s="1" t="s">
        <v>2827</v>
      </c>
      <c r="AB964" s="1" t="s">
        <v>2828</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1210</v>
      </c>
      <c r="AP964" s="1" t="s">
        <v>1211</v>
      </c>
      <c r="AQ964" s="1" t="s">
        <v>74</v>
      </c>
      <c r="AR964" s="1" t="s">
        <v>74</v>
      </c>
      <c r="AS964" s="1" t="s">
        <v>74</v>
      </c>
      <c r="AT964" s="1" t="s">
        <v>123</v>
      </c>
      <c r="AU964" s="1">
        <v>2019.0</v>
      </c>
      <c r="AV964" s="1">
        <v>174.0</v>
      </c>
      <c r="AW964" s="1" t="s">
        <v>74</v>
      </c>
      <c r="AX964" s="1" t="s">
        <v>74</v>
      </c>
      <c r="AY964" s="1" t="s">
        <v>74</v>
      </c>
      <c r="AZ964" s="1" t="s">
        <v>74</v>
      </c>
      <c r="BA964" s="1" t="s">
        <v>74</v>
      </c>
      <c r="BB964" s="1">
        <v>84.0</v>
      </c>
      <c r="BC964" s="1">
        <v>88.0</v>
      </c>
      <c r="BD964" s="1" t="s">
        <v>74</v>
      </c>
      <c r="BE964" s="1" t="s">
        <v>8028</v>
      </c>
      <c r="BF964" s="2" t="str">
        <f>HYPERLINK("http://dx.doi.org/10.1016/j.econlet.2018.10.035","http://dx.doi.org/10.1016/j.econlet.2018.10.035")</f>
        <v>http://dx.doi.org/10.1016/j.econlet.2018.10.035</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8029</v>
      </c>
      <c r="BT964" s="1" t="str">
        <f>HYPERLINK("https%3A%2F%2Fwww.webofscience.com%2Fwos%2Fwoscc%2Ffull-record%2FWOS:000456759700020","View Full Record in Web of Science")</f>
        <v>View Full Record in Web of Science</v>
      </c>
    </row>
    <row r="965" ht="12.75" customHeight="1">
      <c r="A965" s="1" t="s">
        <v>126</v>
      </c>
      <c r="B965" s="1" t="s">
        <v>8030</v>
      </c>
      <c r="C965" s="1" t="s">
        <v>74</v>
      </c>
      <c r="D965" s="1" t="s">
        <v>74</v>
      </c>
      <c r="E965" s="1" t="s">
        <v>458</v>
      </c>
      <c r="F965" s="1" t="s">
        <v>8031</v>
      </c>
      <c r="G965" s="1" t="s">
        <v>74</v>
      </c>
      <c r="H965" s="1" t="s">
        <v>74</v>
      </c>
      <c r="I965" s="1" t="s">
        <v>8032</v>
      </c>
      <c r="J965" s="1" t="s">
        <v>8033</v>
      </c>
      <c r="K965" s="1" t="s">
        <v>74</v>
      </c>
      <c r="L965" s="1" t="s">
        <v>74</v>
      </c>
      <c r="M965" s="1" t="s">
        <v>74</v>
      </c>
      <c r="N965" s="1" t="s">
        <v>74</v>
      </c>
      <c r="O965" s="1" t="s">
        <v>8034</v>
      </c>
      <c r="P965" s="1" t="s">
        <v>8035</v>
      </c>
      <c r="Q965" s="1" t="s">
        <v>8036</v>
      </c>
      <c r="R965" s="1" t="s">
        <v>465</v>
      </c>
      <c r="S965" s="1" t="s">
        <v>74</v>
      </c>
      <c r="T965" s="1" t="s">
        <v>74</v>
      </c>
      <c r="U965" s="1" t="s">
        <v>74</v>
      </c>
      <c r="V965" s="1" t="s">
        <v>8037</v>
      </c>
      <c r="W965" s="1" t="s">
        <v>74</v>
      </c>
      <c r="X965" s="1" t="s">
        <v>74</v>
      </c>
      <c r="Y965" s="1" t="s">
        <v>74</v>
      </c>
      <c r="Z965" s="1" t="s">
        <v>74</v>
      </c>
      <c r="AA965" s="1" t="s">
        <v>74</v>
      </c>
      <c r="AB965" s="1" t="s">
        <v>74</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74</v>
      </c>
      <c r="AP965" s="1" t="s">
        <v>74</v>
      </c>
      <c r="AQ965" s="1" t="s">
        <v>8038</v>
      </c>
      <c r="AR965" s="1" t="s">
        <v>74</v>
      </c>
      <c r="AS965" s="1" t="s">
        <v>74</v>
      </c>
      <c r="AT965" s="1" t="s">
        <v>74</v>
      </c>
      <c r="AU965" s="1">
        <v>2017.0</v>
      </c>
      <c r="AV965" s="1" t="s">
        <v>74</v>
      </c>
      <c r="AW965" s="1" t="s">
        <v>74</v>
      </c>
      <c r="AX965" s="1" t="s">
        <v>74</v>
      </c>
      <c r="AY965" s="1" t="s">
        <v>74</v>
      </c>
      <c r="AZ965" s="1" t="s">
        <v>74</v>
      </c>
      <c r="BA965" s="1" t="s">
        <v>74</v>
      </c>
      <c r="BB965" s="1" t="s">
        <v>74</v>
      </c>
      <c r="BC965" s="1" t="s">
        <v>74</v>
      </c>
      <c r="BD965" s="1" t="s">
        <v>8039</v>
      </c>
      <c r="BE965" s="1" t="s">
        <v>74</v>
      </c>
      <c r="BF965" s="1" t="s">
        <v>74</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8040</v>
      </c>
      <c r="BT965" s="1" t="str">
        <f>HYPERLINK("https%3A%2F%2Fwww.webofscience.com%2Fwos%2Fwoscc%2Ffull-record%2FWOS:000400877800020","View Full Record in Web of Science")</f>
        <v>View Full Record in Web of Science</v>
      </c>
    </row>
    <row r="966" ht="12.75" customHeight="1">
      <c r="A966" s="1" t="s">
        <v>72</v>
      </c>
      <c r="B966" s="1" t="s">
        <v>8041</v>
      </c>
      <c r="C966" s="1" t="s">
        <v>74</v>
      </c>
      <c r="D966" s="1" t="s">
        <v>74</v>
      </c>
      <c r="E966" s="1" t="s">
        <v>74</v>
      </c>
      <c r="F966" s="1" t="s">
        <v>8042</v>
      </c>
      <c r="G966" s="1" t="s">
        <v>74</v>
      </c>
      <c r="H966" s="1" t="s">
        <v>74</v>
      </c>
      <c r="I966" s="1" t="s">
        <v>8043</v>
      </c>
      <c r="J966" s="1" t="s">
        <v>1119</v>
      </c>
      <c r="K966" s="1" t="s">
        <v>74</v>
      </c>
      <c r="L966" s="1" t="s">
        <v>74</v>
      </c>
      <c r="M966" s="1" t="s">
        <v>74</v>
      </c>
      <c r="N966" s="1" t="s">
        <v>74</v>
      </c>
      <c r="O966" s="1" t="s">
        <v>74</v>
      </c>
      <c r="P966" s="1" t="s">
        <v>74</v>
      </c>
      <c r="Q966" s="1" t="s">
        <v>74</v>
      </c>
      <c r="R966" s="1" t="s">
        <v>74</v>
      </c>
      <c r="S966" s="1" t="s">
        <v>74</v>
      </c>
      <c r="T966" s="1" t="s">
        <v>74</v>
      </c>
      <c r="U966" s="1" t="s">
        <v>74</v>
      </c>
      <c r="V966" s="1" t="s">
        <v>8044</v>
      </c>
      <c r="W966" s="1" t="s">
        <v>74</v>
      </c>
      <c r="X966" s="1" t="s">
        <v>74</v>
      </c>
      <c r="Y966" s="1" t="s">
        <v>74</v>
      </c>
      <c r="Z966" s="1" t="s">
        <v>74</v>
      </c>
      <c r="AA966" s="1" t="s">
        <v>8045</v>
      </c>
      <c r="AB966" s="1" t="s">
        <v>8046</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1123</v>
      </c>
      <c r="AP966" s="1" t="s">
        <v>1124</v>
      </c>
      <c r="AQ966" s="1" t="s">
        <v>74</v>
      </c>
      <c r="AR966" s="1" t="s">
        <v>74</v>
      </c>
      <c r="AS966" s="1" t="s">
        <v>74</v>
      </c>
      <c r="AT966" s="1" t="s">
        <v>3735</v>
      </c>
      <c r="AU966" s="1">
        <v>2016.0</v>
      </c>
      <c r="AV966" s="1">
        <v>416.0</v>
      </c>
      <c r="AW966" s="1" t="s">
        <v>74</v>
      </c>
      <c r="AX966" s="1" t="s">
        <v>74</v>
      </c>
      <c r="AY966" s="1" t="s">
        <v>74</v>
      </c>
      <c r="AZ966" s="1" t="s">
        <v>74</v>
      </c>
      <c r="BA966" s="1" t="s">
        <v>74</v>
      </c>
      <c r="BB966" s="1">
        <v>325.0</v>
      </c>
      <c r="BC966" s="1">
        <v>328.0</v>
      </c>
      <c r="BD966" s="1" t="s">
        <v>74</v>
      </c>
      <c r="BE966" s="1" t="s">
        <v>8047</v>
      </c>
      <c r="BF966" s="2" t="str">
        <f>HYPERLINK("http://dx.doi.org/10.1016/j.jmmm.2016.04.083","http://dx.doi.org/10.1016/j.jmmm.2016.04.083")</f>
        <v>http://dx.doi.org/10.1016/j.jmmm.2016.04.083</v>
      </c>
      <c r="BG966" s="1" t="s">
        <v>74</v>
      </c>
      <c r="BH966" s="1" t="s">
        <v>74</v>
      </c>
      <c r="BI966" s="1" t="s">
        <v>74</v>
      </c>
      <c r="BJ966" s="1" t="s">
        <v>74</v>
      </c>
      <c r="BK966" s="1" t="s">
        <v>74</v>
      </c>
      <c r="BL966" s="1" t="s">
        <v>74</v>
      </c>
      <c r="BM966" s="1" t="s">
        <v>74</v>
      </c>
      <c r="BN966" s="1" t="s">
        <v>74</v>
      </c>
      <c r="BO966" s="1" t="s">
        <v>74</v>
      </c>
      <c r="BP966" s="1" t="s">
        <v>74</v>
      </c>
      <c r="BQ966" s="1" t="s">
        <v>74</v>
      </c>
      <c r="BR966" s="1" t="s">
        <v>74</v>
      </c>
      <c r="BS966" s="1" t="s">
        <v>8048</v>
      </c>
      <c r="BT966" s="1" t="str">
        <f>HYPERLINK("https%3A%2F%2Fwww.webofscience.com%2Fwos%2Fwoscc%2Ffull-record%2FWOS:000377392100045","View Full Record in Web of Science")</f>
        <v>View Full Record in Web of Science</v>
      </c>
    </row>
    <row r="967" ht="12.75" customHeight="1">
      <c r="A967" s="1" t="s">
        <v>72</v>
      </c>
      <c r="B967" s="1" t="s">
        <v>8049</v>
      </c>
      <c r="C967" s="1" t="s">
        <v>74</v>
      </c>
      <c r="D967" s="1" t="s">
        <v>74</v>
      </c>
      <c r="E967" s="1" t="s">
        <v>74</v>
      </c>
      <c r="F967" s="1" t="s">
        <v>8050</v>
      </c>
      <c r="G967" s="1" t="s">
        <v>74</v>
      </c>
      <c r="H967" s="1" t="s">
        <v>74</v>
      </c>
      <c r="I967" s="1" t="s">
        <v>8051</v>
      </c>
      <c r="J967" s="1" t="s">
        <v>7080</v>
      </c>
      <c r="K967" s="1" t="s">
        <v>74</v>
      </c>
      <c r="L967" s="1" t="s">
        <v>74</v>
      </c>
      <c r="M967" s="1" t="s">
        <v>74</v>
      </c>
      <c r="N967" s="1" t="s">
        <v>74</v>
      </c>
      <c r="O967" s="1" t="s">
        <v>74</v>
      </c>
      <c r="P967" s="1" t="s">
        <v>74</v>
      </c>
      <c r="Q967" s="1" t="s">
        <v>74</v>
      </c>
      <c r="R967" s="1" t="s">
        <v>74</v>
      </c>
      <c r="S967" s="1" t="s">
        <v>74</v>
      </c>
      <c r="T967" s="1" t="s">
        <v>74</v>
      </c>
      <c r="U967" s="1" t="s">
        <v>74</v>
      </c>
      <c r="V967" s="1" t="s">
        <v>8052</v>
      </c>
      <c r="W967" s="1" t="s">
        <v>74</v>
      </c>
      <c r="X967" s="1" t="s">
        <v>74</v>
      </c>
      <c r="Y967" s="1" t="s">
        <v>74</v>
      </c>
      <c r="Z967" s="1" t="s">
        <v>74</v>
      </c>
      <c r="AA967" s="1" t="s">
        <v>450</v>
      </c>
      <c r="AB967" s="1" t="s">
        <v>74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7081</v>
      </c>
      <c r="AP967" s="1" t="s">
        <v>8053</v>
      </c>
      <c r="AQ967" s="1" t="s">
        <v>74</v>
      </c>
      <c r="AR967" s="1" t="s">
        <v>74</v>
      </c>
      <c r="AS967" s="1" t="s">
        <v>74</v>
      </c>
      <c r="AT967" s="1" t="s">
        <v>410</v>
      </c>
      <c r="AU967" s="1">
        <v>2013.0</v>
      </c>
      <c r="AV967" s="1">
        <v>89.0</v>
      </c>
      <c r="AW967" s="1">
        <v>6.0</v>
      </c>
      <c r="AX967" s="1" t="s">
        <v>74</v>
      </c>
      <c r="AY967" s="1" t="s">
        <v>74</v>
      </c>
      <c r="AZ967" s="1" t="s">
        <v>74</v>
      </c>
      <c r="BA967" s="1" t="s">
        <v>74</v>
      </c>
      <c r="BB967" s="1">
        <v>1399.0</v>
      </c>
      <c r="BC967" s="1">
        <v>1405.0</v>
      </c>
      <c r="BD967" s="1" t="s">
        <v>74</v>
      </c>
      <c r="BE967" s="1" t="s">
        <v>8054</v>
      </c>
      <c r="BF967" s="2" t="str">
        <f>HYPERLINK("http://dx.doi.org/10.1111/php.12158","http://dx.doi.org/10.1111/php.12158")</f>
        <v>http://dx.doi.org/10.1111/php.12158</v>
      </c>
      <c r="BG967" s="1" t="s">
        <v>74</v>
      </c>
      <c r="BH967" s="1" t="s">
        <v>74</v>
      </c>
      <c r="BI967" s="1" t="s">
        <v>74</v>
      </c>
      <c r="BJ967" s="1" t="s">
        <v>74</v>
      </c>
      <c r="BK967" s="1" t="s">
        <v>74</v>
      </c>
      <c r="BL967" s="1" t="s">
        <v>74</v>
      </c>
      <c r="BM967" s="1" t="s">
        <v>74</v>
      </c>
      <c r="BN967" s="1">
        <v>2.3952101E7</v>
      </c>
      <c r="BO967" s="1" t="s">
        <v>74</v>
      </c>
      <c r="BP967" s="1" t="s">
        <v>74</v>
      </c>
      <c r="BQ967" s="1" t="s">
        <v>74</v>
      </c>
      <c r="BR967" s="1" t="s">
        <v>74</v>
      </c>
      <c r="BS967" s="1" t="s">
        <v>8055</v>
      </c>
      <c r="BT967" s="1" t="str">
        <f>HYPERLINK("https%3A%2F%2Fwww.webofscience.com%2Fwos%2Fwoscc%2Ffull-record%2FWOS:000326507100018","View Full Record in Web of Science")</f>
        <v>View Full Record in Web of Science</v>
      </c>
    </row>
    <row r="968" ht="12.75" customHeight="1">
      <c r="A968" s="1" t="s">
        <v>72</v>
      </c>
      <c r="B968" s="1" t="s">
        <v>8056</v>
      </c>
      <c r="C968" s="1" t="s">
        <v>74</v>
      </c>
      <c r="D968" s="1" t="s">
        <v>74</v>
      </c>
      <c r="E968" s="1" t="s">
        <v>74</v>
      </c>
      <c r="F968" s="1" t="s">
        <v>8057</v>
      </c>
      <c r="G968" s="1" t="s">
        <v>74</v>
      </c>
      <c r="H968" s="1" t="s">
        <v>74</v>
      </c>
      <c r="I968" s="1" t="s">
        <v>8058</v>
      </c>
      <c r="J968" s="1" t="s">
        <v>8059</v>
      </c>
      <c r="K968" s="1" t="s">
        <v>74</v>
      </c>
      <c r="L968" s="1" t="s">
        <v>74</v>
      </c>
      <c r="M968" s="1" t="s">
        <v>74</v>
      </c>
      <c r="N968" s="1" t="s">
        <v>74</v>
      </c>
      <c r="O968" s="1" t="s">
        <v>74</v>
      </c>
      <c r="P968" s="1" t="s">
        <v>74</v>
      </c>
      <c r="Q968" s="1" t="s">
        <v>74</v>
      </c>
      <c r="R968" s="1" t="s">
        <v>74</v>
      </c>
      <c r="S968" s="1" t="s">
        <v>74</v>
      </c>
      <c r="T968" s="1" t="s">
        <v>74</v>
      </c>
      <c r="U968" s="1" t="s">
        <v>74</v>
      </c>
      <c r="V968" s="1" t="s">
        <v>8060</v>
      </c>
      <c r="W968" s="1" t="s">
        <v>74</v>
      </c>
      <c r="X968" s="1" t="s">
        <v>74</v>
      </c>
      <c r="Y968" s="1" t="s">
        <v>74</v>
      </c>
      <c r="Z968" s="1" t="s">
        <v>74</v>
      </c>
      <c r="AA968" s="1" t="s">
        <v>7932</v>
      </c>
      <c r="AB968" s="1" t="s">
        <v>8061</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8062</v>
      </c>
      <c r="AP968" s="1" t="s">
        <v>8063</v>
      </c>
      <c r="AQ968" s="1" t="s">
        <v>74</v>
      </c>
      <c r="AR968" s="1" t="s">
        <v>74</v>
      </c>
      <c r="AS968" s="1" t="s">
        <v>74</v>
      </c>
      <c r="AT968" s="1" t="s">
        <v>82</v>
      </c>
      <c r="AU968" s="1">
        <v>2010.0</v>
      </c>
      <c r="AV968" s="1">
        <v>60.0</v>
      </c>
      <c r="AW968" s="1">
        <v>12.0</v>
      </c>
      <c r="AX968" s="1" t="s">
        <v>74</v>
      </c>
      <c r="AY968" s="1" t="s">
        <v>74</v>
      </c>
      <c r="AZ968" s="1" t="s">
        <v>74</v>
      </c>
      <c r="BA968" s="1" t="s">
        <v>74</v>
      </c>
      <c r="BB968" s="1">
        <v>1410.0</v>
      </c>
      <c r="BC968" s="1">
        <v>1421.0</v>
      </c>
      <c r="BD968" s="1" t="s">
        <v>74</v>
      </c>
      <c r="BE968" s="1" t="s">
        <v>8064</v>
      </c>
      <c r="BF968" s="2" t="str">
        <f>HYPERLINK("http://dx.doi.org/10.3155/1047-3289.60.12.1410","http://dx.doi.org/10.3155/1047-3289.60.12.1410")</f>
        <v>http://dx.doi.org/10.3155/1047-3289.60.12.1410</v>
      </c>
      <c r="BG968" s="1" t="s">
        <v>74</v>
      </c>
      <c r="BH968" s="1" t="s">
        <v>74</v>
      </c>
      <c r="BI968" s="1" t="s">
        <v>74</v>
      </c>
      <c r="BJ968" s="1" t="s">
        <v>74</v>
      </c>
      <c r="BK968" s="1" t="s">
        <v>74</v>
      </c>
      <c r="BL968" s="1" t="s">
        <v>74</v>
      </c>
      <c r="BM968" s="1" t="s">
        <v>74</v>
      </c>
      <c r="BN968" s="1">
        <v>2.1243895E7</v>
      </c>
      <c r="BO968" s="1" t="s">
        <v>74</v>
      </c>
      <c r="BP968" s="1" t="s">
        <v>74</v>
      </c>
      <c r="BQ968" s="1" t="s">
        <v>74</v>
      </c>
      <c r="BR968" s="1" t="s">
        <v>74</v>
      </c>
      <c r="BS968" s="1" t="s">
        <v>8065</v>
      </c>
      <c r="BT968" s="1" t="str">
        <f>HYPERLINK("https%3A%2F%2Fwww.webofscience.com%2Fwos%2Fwoscc%2Ffull-record%2FWOS:000285281900001","View Full Record in Web of Science")</f>
        <v>View Full Record in Web of Science</v>
      </c>
    </row>
    <row r="969" ht="12.75" customHeight="1">
      <c r="A969" s="1" t="s">
        <v>72</v>
      </c>
      <c r="B969" s="1" t="s">
        <v>8066</v>
      </c>
      <c r="C969" s="1" t="s">
        <v>74</v>
      </c>
      <c r="D969" s="1" t="s">
        <v>74</v>
      </c>
      <c r="E969" s="1" t="s">
        <v>74</v>
      </c>
      <c r="F969" s="1" t="s">
        <v>8067</v>
      </c>
      <c r="G969" s="1" t="s">
        <v>74</v>
      </c>
      <c r="H969" s="1" t="s">
        <v>74</v>
      </c>
      <c r="I969" s="1" t="s">
        <v>8068</v>
      </c>
      <c r="J969" s="1" t="s">
        <v>7896</v>
      </c>
      <c r="K969" s="1" t="s">
        <v>74</v>
      </c>
      <c r="L969" s="1" t="s">
        <v>74</v>
      </c>
      <c r="M969" s="1" t="s">
        <v>74</v>
      </c>
      <c r="N969" s="1" t="s">
        <v>74</v>
      </c>
      <c r="O969" s="1" t="s">
        <v>74</v>
      </c>
      <c r="P969" s="1" t="s">
        <v>74</v>
      </c>
      <c r="Q969" s="1" t="s">
        <v>74</v>
      </c>
      <c r="R969" s="1" t="s">
        <v>74</v>
      </c>
      <c r="S969" s="1" t="s">
        <v>74</v>
      </c>
      <c r="T969" s="1" t="s">
        <v>74</v>
      </c>
      <c r="U969" s="1" t="s">
        <v>74</v>
      </c>
      <c r="V969" s="1" t="s">
        <v>8069</v>
      </c>
      <c r="W969" s="1" t="s">
        <v>74</v>
      </c>
      <c r="X969" s="1" t="s">
        <v>74</v>
      </c>
      <c r="Y969" s="1" t="s">
        <v>74</v>
      </c>
      <c r="Z969" s="1" t="s">
        <v>74</v>
      </c>
      <c r="AA969" s="1" t="s">
        <v>1709</v>
      </c>
      <c r="AB969" s="1" t="s">
        <v>1710</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7899</v>
      </c>
      <c r="AP969" s="1" t="s">
        <v>8070</v>
      </c>
      <c r="AQ969" s="1" t="s">
        <v>74</v>
      </c>
      <c r="AR969" s="1" t="s">
        <v>74</v>
      </c>
      <c r="AS969" s="1" t="s">
        <v>74</v>
      </c>
      <c r="AT969" s="1" t="s">
        <v>171</v>
      </c>
      <c r="AU969" s="1">
        <v>2009.0</v>
      </c>
      <c r="AV969" s="1">
        <v>47.0</v>
      </c>
      <c r="AW969" s="1">
        <v>6.0</v>
      </c>
      <c r="AX969" s="1" t="s">
        <v>74</v>
      </c>
      <c r="AY969" s="1" t="s">
        <v>74</v>
      </c>
      <c r="AZ969" s="1" t="s">
        <v>74</v>
      </c>
      <c r="BA969" s="1" t="s">
        <v>74</v>
      </c>
      <c r="BB969" s="1">
        <v>505.0</v>
      </c>
      <c r="BC969" s="1">
        <v>510.0</v>
      </c>
      <c r="BD969" s="1" t="s">
        <v>74</v>
      </c>
      <c r="BE969" s="1" t="s">
        <v>8071</v>
      </c>
      <c r="BF969" s="2" t="str">
        <f>HYPERLINK("http://dx.doi.org/10.1002/mrc.2424","http://dx.doi.org/10.1002/mrc.2424")</f>
        <v>http://dx.doi.org/10.1002/mrc.2424</v>
      </c>
      <c r="BG969" s="1" t="s">
        <v>74</v>
      </c>
      <c r="BH969" s="1" t="s">
        <v>74</v>
      </c>
      <c r="BI969" s="1" t="s">
        <v>74</v>
      </c>
      <c r="BJ969" s="1" t="s">
        <v>74</v>
      </c>
      <c r="BK969" s="1" t="s">
        <v>74</v>
      </c>
      <c r="BL969" s="1" t="s">
        <v>74</v>
      </c>
      <c r="BM969" s="1" t="s">
        <v>74</v>
      </c>
      <c r="BN969" s="1">
        <v>1.9333971E7</v>
      </c>
      <c r="BO969" s="1" t="s">
        <v>74</v>
      </c>
      <c r="BP969" s="1" t="s">
        <v>74</v>
      </c>
      <c r="BQ969" s="1" t="s">
        <v>74</v>
      </c>
      <c r="BR969" s="1" t="s">
        <v>74</v>
      </c>
      <c r="BS969" s="1" t="s">
        <v>8072</v>
      </c>
      <c r="BT969" s="1" t="str">
        <f>HYPERLINK("https%3A%2F%2Fwww.webofscience.com%2Fwos%2Fwoscc%2Ffull-record%2FWOS:000266270200007","View Full Record in Web of Science")</f>
        <v>View Full Record in Web of Science</v>
      </c>
    </row>
    <row r="970" ht="12.75" customHeight="1">
      <c r="A970" s="1" t="s">
        <v>72</v>
      </c>
      <c r="B970" s="1" t="s">
        <v>7229</v>
      </c>
      <c r="C970" s="1" t="s">
        <v>74</v>
      </c>
      <c r="D970" s="1" t="s">
        <v>74</v>
      </c>
      <c r="E970" s="1" t="s">
        <v>74</v>
      </c>
      <c r="F970" s="1" t="s">
        <v>8073</v>
      </c>
      <c r="G970" s="1" t="s">
        <v>74</v>
      </c>
      <c r="H970" s="1" t="s">
        <v>74</v>
      </c>
      <c r="I970" s="1" t="s">
        <v>8074</v>
      </c>
      <c r="J970" s="1" t="s">
        <v>448</v>
      </c>
      <c r="K970" s="1" t="s">
        <v>74</v>
      </c>
      <c r="L970" s="1" t="s">
        <v>74</v>
      </c>
      <c r="M970" s="1" t="s">
        <v>74</v>
      </c>
      <c r="N970" s="1" t="s">
        <v>74</v>
      </c>
      <c r="O970" s="1" t="s">
        <v>74</v>
      </c>
      <c r="P970" s="1" t="s">
        <v>74</v>
      </c>
      <c r="Q970" s="1" t="s">
        <v>74</v>
      </c>
      <c r="R970" s="1" t="s">
        <v>74</v>
      </c>
      <c r="S970" s="1" t="s">
        <v>74</v>
      </c>
      <c r="T970" s="1" t="s">
        <v>74</v>
      </c>
      <c r="U970" s="1" t="s">
        <v>74</v>
      </c>
      <c r="V970" s="1" t="s">
        <v>8075</v>
      </c>
      <c r="W970" s="1" t="s">
        <v>74</v>
      </c>
      <c r="X970" s="1" t="s">
        <v>74</v>
      </c>
      <c r="Y970" s="1" t="s">
        <v>74</v>
      </c>
      <c r="Z970" s="1" t="s">
        <v>74</v>
      </c>
      <c r="AA970" s="1" t="s">
        <v>450</v>
      </c>
      <c r="AB970" s="1" t="s">
        <v>74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452</v>
      </c>
      <c r="AP970" s="1" t="s">
        <v>74</v>
      </c>
      <c r="AQ970" s="1" t="s">
        <v>74</v>
      </c>
      <c r="AR970" s="1" t="s">
        <v>74</v>
      </c>
      <c r="AS970" s="1" t="s">
        <v>74</v>
      </c>
      <c r="AT970" s="1" t="s">
        <v>8076</v>
      </c>
      <c r="AU970" s="1">
        <v>2008.0</v>
      </c>
      <c r="AV970" s="1">
        <v>194.0</v>
      </c>
      <c r="AW970" s="1" t="s">
        <v>4790</v>
      </c>
      <c r="AX970" s="1" t="s">
        <v>74</v>
      </c>
      <c r="AY970" s="1" t="s">
        <v>74</v>
      </c>
      <c r="AZ970" s="1" t="s">
        <v>74</v>
      </c>
      <c r="BA970" s="1" t="s">
        <v>74</v>
      </c>
      <c r="BB970" s="1">
        <v>206.0</v>
      </c>
      <c r="BC970" s="1">
        <v>211.0</v>
      </c>
      <c r="BD970" s="1" t="s">
        <v>74</v>
      </c>
      <c r="BE970" s="1" t="s">
        <v>8077</v>
      </c>
      <c r="BF970" s="2" t="str">
        <f>HYPERLINK("http://dx.doi.org/10.1016/j.jphotochem.2007.08.012","http://dx.doi.org/10.1016/j.jphotochem.2007.08.012")</f>
        <v>http://dx.doi.org/10.1016/j.jphotochem.2007.08.012</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8078</v>
      </c>
      <c r="BT970" s="1" t="str">
        <f>HYPERLINK("https%3A%2F%2Fwww.webofscience.com%2Fwos%2Fwoscc%2Ffull-record%2FWOS:000253874200014","View Full Record in Web of Science")</f>
        <v>View Full Record in Web of Science</v>
      </c>
    </row>
    <row r="971" ht="12.75" customHeight="1">
      <c r="A971" s="1" t="s">
        <v>72</v>
      </c>
      <c r="B971" s="1" t="s">
        <v>8079</v>
      </c>
      <c r="C971" s="1" t="s">
        <v>74</v>
      </c>
      <c r="D971" s="1" t="s">
        <v>74</v>
      </c>
      <c r="E971" s="1" t="s">
        <v>74</v>
      </c>
      <c r="F971" s="1" t="s">
        <v>8079</v>
      </c>
      <c r="G971" s="1" t="s">
        <v>74</v>
      </c>
      <c r="H971" s="1" t="s">
        <v>74</v>
      </c>
      <c r="I971" s="1" t="s">
        <v>8080</v>
      </c>
      <c r="J971" s="1" t="s">
        <v>3010</v>
      </c>
      <c r="K971" s="1" t="s">
        <v>74</v>
      </c>
      <c r="L971" s="1" t="s">
        <v>74</v>
      </c>
      <c r="M971" s="1" t="s">
        <v>74</v>
      </c>
      <c r="N971" s="1" t="s">
        <v>74</v>
      </c>
      <c r="O971" s="1" t="s">
        <v>74</v>
      </c>
      <c r="P971" s="1" t="s">
        <v>74</v>
      </c>
      <c r="Q971" s="1" t="s">
        <v>74</v>
      </c>
      <c r="R971" s="1" t="s">
        <v>74</v>
      </c>
      <c r="S971" s="1" t="s">
        <v>74</v>
      </c>
      <c r="T971" s="1" t="s">
        <v>74</v>
      </c>
      <c r="U971" s="1" t="s">
        <v>74</v>
      </c>
      <c r="V971" s="1" t="s">
        <v>8081</v>
      </c>
      <c r="W971" s="1" t="s">
        <v>74</v>
      </c>
      <c r="X971" s="1" t="s">
        <v>74</v>
      </c>
      <c r="Y971" s="1" t="s">
        <v>74</v>
      </c>
      <c r="Z971" s="1" t="s">
        <v>74</v>
      </c>
      <c r="AA971" s="1" t="s">
        <v>74</v>
      </c>
      <c r="AB971" s="1" t="s">
        <v>74</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3014</v>
      </c>
      <c r="AP971" s="1" t="s">
        <v>74</v>
      </c>
      <c r="AQ971" s="1" t="s">
        <v>74</v>
      </c>
      <c r="AR971" s="1" t="s">
        <v>74</v>
      </c>
      <c r="AS971" s="1" t="s">
        <v>74</v>
      </c>
      <c r="AT971" s="1" t="s">
        <v>8082</v>
      </c>
      <c r="AU971" s="1">
        <v>2004.0</v>
      </c>
      <c r="AV971" s="1">
        <v>276.0</v>
      </c>
      <c r="AW971" s="1">
        <v>1.0</v>
      </c>
      <c r="AX971" s="1" t="s">
        <v>74</v>
      </c>
      <c r="AY971" s="1" t="s">
        <v>74</v>
      </c>
      <c r="AZ971" s="1" t="s">
        <v>74</v>
      </c>
      <c r="BA971" s="1" t="s">
        <v>74</v>
      </c>
      <c r="BB971" s="1">
        <v>208.0</v>
      </c>
      <c r="BC971" s="1">
        <v>211.0</v>
      </c>
      <c r="BD971" s="1" t="s">
        <v>74</v>
      </c>
      <c r="BE971" s="1" t="s">
        <v>8083</v>
      </c>
      <c r="BF971" s="2" t="str">
        <f>HYPERLINK("http://dx.doi.org/10.1016/j.jcis.2004.03.026","http://dx.doi.org/10.1016/j.jcis.2004.03.026")</f>
        <v>http://dx.doi.org/10.1016/j.jcis.2004.03.026</v>
      </c>
      <c r="BG971" s="1" t="s">
        <v>74</v>
      </c>
      <c r="BH971" s="1" t="s">
        <v>74</v>
      </c>
      <c r="BI971" s="1" t="s">
        <v>74</v>
      </c>
      <c r="BJ971" s="1" t="s">
        <v>74</v>
      </c>
      <c r="BK971" s="1" t="s">
        <v>74</v>
      </c>
      <c r="BL971" s="1" t="s">
        <v>74</v>
      </c>
      <c r="BM971" s="1" t="s">
        <v>74</v>
      </c>
      <c r="BN971" s="1">
        <v>1.521945E7</v>
      </c>
      <c r="BO971" s="1" t="s">
        <v>74</v>
      </c>
      <c r="BP971" s="1" t="s">
        <v>74</v>
      </c>
      <c r="BQ971" s="1" t="s">
        <v>74</v>
      </c>
      <c r="BR971" s="1" t="s">
        <v>74</v>
      </c>
      <c r="BS971" s="1" t="s">
        <v>8084</v>
      </c>
      <c r="BT971" s="1" t="str">
        <f>HYPERLINK("https%3A%2F%2Fwww.webofscience.com%2Fwos%2Fwoscc%2Ffull-record%2FWOS:000222537800028","View Full Record in Web of Science")</f>
        <v>View Full Record in Web of Science</v>
      </c>
    </row>
    <row r="972" ht="12.75" customHeight="1">
      <c r="A972" s="1" t="s">
        <v>72</v>
      </c>
      <c r="B972" s="1" t="s">
        <v>8085</v>
      </c>
      <c r="C972" s="1" t="s">
        <v>74</v>
      </c>
      <c r="D972" s="1" t="s">
        <v>74</v>
      </c>
      <c r="E972" s="1" t="s">
        <v>74</v>
      </c>
      <c r="F972" s="1" t="s">
        <v>8085</v>
      </c>
      <c r="G972" s="1" t="s">
        <v>74</v>
      </c>
      <c r="H972" s="1" t="s">
        <v>74</v>
      </c>
      <c r="I972" s="1" t="s">
        <v>8086</v>
      </c>
      <c r="J972" s="1" t="s">
        <v>8087</v>
      </c>
      <c r="K972" s="1" t="s">
        <v>74</v>
      </c>
      <c r="L972" s="1" t="s">
        <v>74</v>
      </c>
      <c r="M972" s="1" t="s">
        <v>74</v>
      </c>
      <c r="N972" s="1" t="s">
        <v>74</v>
      </c>
      <c r="O972" s="1" t="s">
        <v>74</v>
      </c>
      <c r="P972" s="1" t="s">
        <v>74</v>
      </c>
      <c r="Q972" s="1" t="s">
        <v>74</v>
      </c>
      <c r="R972" s="1" t="s">
        <v>74</v>
      </c>
      <c r="S972" s="1" t="s">
        <v>74</v>
      </c>
      <c r="T972" s="1" t="s">
        <v>74</v>
      </c>
      <c r="U972" s="1" t="s">
        <v>74</v>
      </c>
      <c r="V972" s="1" t="s">
        <v>8088</v>
      </c>
      <c r="W972" s="1" t="s">
        <v>74</v>
      </c>
      <c r="X972" s="1" t="s">
        <v>74</v>
      </c>
      <c r="Y972" s="1" t="s">
        <v>74</v>
      </c>
      <c r="Z972" s="1" t="s">
        <v>74</v>
      </c>
      <c r="AA972" s="1" t="s">
        <v>8089</v>
      </c>
      <c r="AB972" s="1" t="s">
        <v>8090</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8091</v>
      </c>
      <c r="AP972" s="1" t="s">
        <v>74</v>
      </c>
      <c r="AQ972" s="1" t="s">
        <v>74</v>
      </c>
      <c r="AR972" s="1" t="s">
        <v>74</v>
      </c>
      <c r="AS972" s="1" t="s">
        <v>74</v>
      </c>
      <c r="AT972" s="1" t="s">
        <v>2249</v>
      </c>
      <c r="AU972" s="1">
        <v>2003.0</v>
      </c>
      <c r="AV972" s="1">
        <v>4.0</v>
      </c>
      <c r="AW972" s="1" t="s">
        <v>74</v>
      </c>
      <c r="AX972" s="1" t="s">
        <v>74</v>
      </c>
      <c r="AY972" s="1" t="s">
        <v>74</v>
      </c>
      <c r="AZ972" s="1" t="s">
        <v>74</v>
      </c>
      <c r="BA972" s="1" t="s">
        <v>74</v>
      </c>
      <c r="BB972" s="1" t="s">
        <v>74</v>
      </c>
      <c r="BC972" s="1" t="s">
        <v>74</v>
      </c>
      <c r="BD972" s="1">
        <v>51.0</v>
      </c>
      <c r="BE972" s="1" t="s">
        <v>8092</v>
      </c>
      <c r="BF972" s="2" t="str">
        <f>HYPERLINK("http://dx.doi.org/10.1186/1471-2164-4-51","http://dx.doi.org/10.1186/1471-2164-4-51")</f>
        <v>http://dx.doi.org/10.1186/1471-2164-4-51</v>
      </c>
      <c r="BG972" s="1" t="s">
        <v>74</v>
      </c>
      <c r="BH972" s="1" t="s">
        <v>74</v>
      </c>
      <c r="BI972" s="1" t="s">
        <v>74</v>
      </c>
      <c r="BJ972" s="1" t="s">
        <v>74</v>
      </c>
      <c r="BK972" s="1" t="s">
        <v>74</v>
      </c>
      <c r="BL972" s="1" t="s">
        <v>74</v>
      </c>
      <c r="BM972" s="1" t="s">
        <v>74</v>
      </c>
      <c r="BN972" s="1">
        <v>1.4675496E7</v>
      </c>
      <c r="BO972" s="1" t="s">
        <v>74</v>
      </c>
      <c r="BP972" s="1" t="s">
        <v>74</v>
      </c>
      <c r="BQ972" s="1" t="s">
        <v>74</v>
      </c>
      <c r="BR972" s="1" t="s">
        <v>74</v>
      </c>
      <c r="BS972" s="1" t="s">
        <v>8093</v>
      </c>
      <c r="BT972" s="1" t="str">
        <f>HYPERLINK("https%3A%2F%2Fwww.webofscience.com%2Fwos%2Fwoscc%2Ffull-record%2FWOS:000188534000001","View Full Record in Web of Science")</f>
        <v>View Full Record in Web of Science</v>
      </c>
    </row>
    <row r="973" ht="12.75" customHeight="1">
      <c r="A973" s="1" t="s">
        <v>72</v>
      </c>
      <c r="B973" s="1" t="s">
        <v>8094</v>
      </c>
      <c r="C973" s="1" t="s">
        <v>74</v>
      </c>
      <c r="D973" s="1" t="s">
        <v>74</v>
      </c>
      <c r="E973" s="1" t="s">
        <v>74</v>
      </c>
      <c r="F973" s="1" t="s">
        <v>8094</v>
      </c>
      <c r="G973" s="1" t="s">
        <v>74</v>
      </c>
      <c r="H973" s="1" t="s">
        <v>74</v>
      </c>
      <c r="I973" s="1" t="s">
        <v>8095</v>
      </c>
      <c r="J973" s="1" t="s">
        <v>574</v>
      </c>
      <c r="K973" s="1" t="s">
        <v>74</v>
      </c>
      <c r="L973" s="1" t="s">
        <v>74</v>
      </c>
      <c r="M973" s="1" t="s">
        <v>74</v>
      </c>
      <c r="N973" s="1" t="s">
        <v>74</v>
      </c>
      <c r="O973" s="1" t="s">
        <v>74</v>
      </c>
      <c r="P973" s="1" t="s">
        <v>74</v>
      </c>
      <c r="Q973" s="1" t="s">
        <v>74</v>
      </c>
      <c r="R973" s="1" t="s">
        <v>74</v>
      </c>
      <c r="S973" s="1" t="s">
        <v>74</v>
      </c>
      <c r="T973" s="1" t="s">
        <v>74</v>
      </c>
      <c r="U973" s="1" t="s">
        <v>74</v>
      </c>
      <c r="V973" s="1" t="s">
        <v>8096</v>
      </c>
      <c r="W973" s="1" t="s">
        <v>74</v>
      </c>
      <c r="X973" s="1" t="s">
        <v>74</v>
      </c>
      <c r="Y973" s="1" t="s">
        <v>74</v>
      </c>
      <c r="Z973" s="1" t="s">
        <v>74</v>
      </c>
      <c r="AA973" s="1" t="s">
        <v>8097</v>
      </c>
      <c r="AB973" s="1" t="s">
        <v>8098</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1748</v>
      </c>
      <c r="AP973" s="1" t="s">
        <v>1749</v>
      </c>
      <c r="AQ973" s="1" t="s">
        <v>74</v>
      </c>
      <c r="AR973" s="1" t="s">
        <v>74</v>
      </c>
      <c r="AS973" s="1" t="s">
        <v>74</v>
      </c>
      <c r="AT973" s="1" t="s">
        <v>2851</v>
      </c>
      <c r="AU973" s="1">
        <v>1998.0</v>
      </c>
      <c r="AV973" s="1">
        <v>58.0</v>
      </c>
      <c r="AW973" s="1">
        <v>10.0</v>
      </c>
      <c r="AX973" s="1" t="s">
        <v>74</v>
      </c>
      <c r="AY973" s="1" t="s">
        <v>74</v>
      </c>
      <c r="AZ973" s="1" t="s">
        <v>74</v>
      </c>
      <c r="BA973" s="1" t="s">
        <v>74</v>
      </c>
      <c r="BB973" s="1" t="s">
        <v>74</v>
      </c>
      <c r="BC973" s="1" t="s">
        <v>74</v>
      </c>
      <c r="BD973" s="1">
        <v>101703.0</v>
      </c>
      <c r="BE973" s="1" t="s">
        <v>8099</v>
      </c>
      <c r="BF973" s="2" t="str">
        <f>HYPERLINK("http://dx.doi.org/10.1103/PhysRevD.58.101703","http://dx.doi.org/10.1103/PhysRevD.58.101703")</f>
        <v>http://dx.doi.org/10.1103/PhysRevD.58.101703</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8100</v>
      </c>
      <c r="BT973" s="1" t="str">
        <f>HYPERLINK("https%3A%2F%2Fwww.webofscience.com%2Fwos%2Fwoscc%2Ffull-record%2FWOS:000077106900003","View Full Record in Web of Science")</f>
        <v>View Full Record in Web of Science</v>
      </c>
    </row>
    <row r="974" ht="12.75" customHeight="1">
      <c r="A974" s="1" t="s">
        <v>72</v>
      </c>
      <c r="B974" s="1" t="s">
        <v>8101</v>
      </c>
      <c r="C974" s="1" t="s">
        <v>74</v>
      </c>
      <c r="D974" s="1" t="s">
        <v>74</v>
      </c>
      <c r="E974" s="1" t="s">
        <v>74</v>
      </c>
      <c r="F974" s="1" t="s">
        <v>8101</v>
      </c>
      <c r="G974" s="1" t="s">
        <v>74</v>
      </c>
      <c r="H974" s="1" t="s">
        <v>74</v>
      </c>
      <c r="I974" s="1" t="s">
        <v>8102</v>
      </c>
      <c r="J974" s="1" t="s">
        <v>8103</v>
      </c>
      <c r="K974" s="1" t="s">
        <v>74</v>
      </c>
      <c r="L974" s="1" t="s">
        <v>74</v>
      </c>
      <c r="M974" s="1" t="s">
        <v>74</v>
      </c>
      <c r="N974" s="1" t="s">
        <v>74</v>
      </c>
      <c r="O974" s="1" t="s">
        <v>74</v>
      </c>
      <c r="P974" s="1" t="s">
        <v>74</v>
      </c>
      <c r="Q974" s="1" t="s">
        <v>74</v>
      </c>
      <c r="R974" s="1" t="s">
        <v>74</v>
      </c>
      <c r="S974" s="1" t="s">
        <v>74</v>
      </c>
      <c r="T974" s="1" t="s">
        <v>74</v>
      </c>
      <c r="U974" s="1" t="s">
        <v>74</v>
      </c>
      <c r="V974" s="1" t="s">
        <v>8104</v>
      </c>
      <c r="W974" s="1" t="s">
        <v>74</v>
      </c>
      <c r="X974" s="1" t="s">
        <v>74</v>
      </c>
      <c r="Y974" s="1" t="s">
        <v>74</v>
      </c>
      <c r="Z974" s="1" t="s">
        <v>74</v>
      </c>
      <c r="AA974" s="1" t="s">
        <v>4181</v>
      </c>
      <c r="AB974" s="1" t="s">
        <v>8105</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8106</v>
      </c>
      <c r="AP974" s="1" t="s">
        <v>74</v>
      </c>
      <c r="AQ974" s="1" t="s">
        <v>74</v>
      </c>
      <c r="AR974" s="1" t="s">
        <v>74</v>
      </c>
      <c r="AS974" s="1" t="s">
        <v>74</v>
      </c>
      <c r="AT974" s="1" t="s">
        <v>8107</v>
      </c>
      <c r="AU974" s="1">
        <v>1998.0</v>
      </c>
      <c r="AV974" s="1">
        <v>414.0</v>
      </c>
      <c r="AW974" s="1" t="s">
        <v>4790</v>
      </c>
      <c r="AX974" s="1" t="s">
        <v>74</v>
      </c>
      <c r="AY974" s="1" t="s">
        <v>74</v>
      </c>
      <c r="AZ974" s="1" t="s">
        <v>74</v>
      </c>
      <c r="BA974" s="1" t="s">
        <v>74</v>
      </c>
      <c r="BB974" s="1">
        <v>299.0</v>
      </c>
      <c r="BC974" s="1">
        <v>306.0</v>
      </c>
      <c r="BD974" s="1" t="s">
        <v>74</v>
      </c>
      <c r="BE974" s="1" t="s">
        <v>8108</v>
      </c>
      <c r="BF974" s="2" t="str">
        <f>HYPERLINK("http://dx.doi.org/10.1016/S0168-9002(98)00478-1","http://dx.doi.org/10.1016/S0168-9002(98)00478-1")</f>
        <v>http://dx.doi.org/10.1016/S0168-9002(98)00478-1</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8109</v>
      </c>
      <c r="BT974" s="1" t="str">
        <f>HYPERLINK("https%3A%2F%2Fwww.webofscience.com%2Fwos%2Fwoscc%2Ffull-record%2FWOS:000076090100018","View Full Record in Web of Science")</f>
        <v>View Full Record in Web of Science</v>
      </c>
    </row>
    <row r="975" ht="12.75" customHeight="1">
      <c r="A975" s="1" t="s">
        <v>72</v>
      </c>
      <c r="B975" s="1" t="s">
        <v>8110</v>
      </c>
      <c r="C975" s="1" t="s">
        <v>74</v>
      </c>
      <c r="D975" s="1" t="s">
        <v>74</v>
      </c>
      <c r="E975" s="1" t="s">
        <v>74</v>
      </c>
      <c r="F975" s="1" t="s">
        <v>8110</v>
      </c>
      <c r="G975" s="1" t="s">
        <v>74</v>
      </c>
      <c r="H975" s="1" t="s">
        <v>74</v>
      </c>
      <c r="I975" s="1" t="s">
        <v>8111</v>
      </c>
      <c r="J975" s="1" t="s">
        <v>8112</v>
      </c>
      <c r="K975" s="1" t="s">
        <v>74</v>
      </c>
      <c r="L975" s="1" t="s">
        <v>74</v>
      </c>
      <c r="M975" s="1" t="s">
        <v>74</v>
      </c>
      <c r="N975" s="1" t="s">
        <v>74</v>
      </c>
      <c r="O975" s="1" t="s">
        <v>74</v>
      </c>
      <c r="P975" s="1" t="s">
        <v>74</v>
      </c>
      <c r="Q975" s="1" t="s">
        <v>74</v>
      </c>
      <c r="R975" s="1" t="s">
        <v>74</v>
      </c>
      <c r="S975" s="1" t="s">
        <v>74</v>
      </c>
      <c r="T975" s="1" t="s">
        <v>74</v>
      </c>
      <c r="U975" s="1" t="s">
        <v>74</v>
      </c>
      <c r="V975" s="1" t="s">
        <v>74</v>
      </c>
      <c r="W975" s="1" t="s">
        <v>74</v>
      </c>
      <c r="X975" s="1" t="s">
        <v>74</v>
      </c>
      <c r="Y975" s="1" t="s">
        <v>74</v>
      </c>
      <c r="Z975" s="1" t="s">
        <v>74</v>
      </c>
      <c r="AA975" s="1" t="s">
        <v>8113</v>
      </c>
      <c r="AB975" s="1" t="s">
        <v>8114</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8115</v>
      </c>
      <c r="AP975" s="1" t="s">
        <v>74</v>
      </c>
      <c r="AQ975" s="1" t="s">
        <v>74</v>
      </c>
      <c r="AR975" s="1" t="s">
        <v>74</v>
      </c>
      <c r="AS975" s="1" t="s">
        <v>74</v>
      </c>
      <c r="AT975" s="1" t="s">
        <v>256</v>
      </c>
      <c r="AU975" s="1">
        <v>1987.0</v>
      </c>
      <c r="AV975" s="1">
        <v>16.0</v>
      </c>
      <c r="AW975" s="1">
        <v>2.0</v>
      </c>
      <c r="AX975" s="1" t="s">
        <v>74</v>
      </c>
      <c r="AY975" s="1" t="s">
        <v>74</v>
      </c>
      <c r="AZ975" s="1" t="s">
        <v>74</v>
      </c>
      <c r="BA975" s="1" t="s">
        <v>74</v>
      </c>
      <c r="BB975" s="1">
        <v>61.0</v>
      </c>
      <c r="BC975" s="1">
        <v>66.0</v>
      </c>
      <c r="BD975" s="1" t="s">
        <v>74</v>
      </c>
      <c r="BE975" s="1" t="s">
        <v>8116</v>
      </c>
      <c r="BF975" s="2" t="str">
        <f>HYPERLINK("http://dx.doi.org/10.1002/xrs.1300160205","http://dx.doi.org/10.1002/xrs.1300160205")</f>
        <v>http://dx.doi.org/10.1002/xrs.1300160205</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8117</v>
      </c>
      <c r="BT975" s="1" t="str">
        <f>HYPERLINK("https%3A%2F%2Fwww.webofscience.com%2Fwos%2Fwoscc%2Ffull-record%2FWOS:A1987G587600003","View Full Record in Web of Science")</f>
        <v>View Full Record in Web of Science</v>
      </c>
    </row>
    <row r="976" ht="12.75" customHeight="1">
      <c r="A976" s="1" t="s">
        <v>72</v>
      </c>
      <c r="B976" s="1" t="s">
        <v>8118</v>
      </c>
      <c r="C976" s="1" t="s">
        <v>74</v>
      </c>
      <c r="D976" s="1" t="s">
        <v>74</v>
      </c>
      <c r="E976" s="1" t="s">
        <v>74</v>
      </c>
      <c r="F976" s="1" t="s">
        <v>8119</v>
      </c>
      <c r="G976" s="1" t="s">
        <v>74</v>
      </c>
      <c r="H976" s="1" t="s">
        <v>74</v>
      </c>
      <c r="I976" s="1" t="s">
        <v>8120</v>
      </c>
      <c r="J976" s="1" t="s">
        <v>8121</v>
      </c>
      <c r="K976" s="1" t="s">
        <v>74</v>
      </c>
      <c r="L976" s="1" t="s">
        <v>74</v>
      </c>
      <c r="M976" s="1" t="s">
        <v>74</v>
      </c>
      <c r="N976" s="1" t="s">
        <v>74</v>
      </c>
      <c r="O976" s="1" t="s">
        <v>74</v>
      </c>
      <c r="P976" s="1" t="s">
        <v>74</v>
      </c>
      <c r="Q976" s="1" t="s">
        <v>74</v>
      </c>
      <c r="R976" s="1" t="s">
        <v>74</v>
      </c>
      <c r="S976" s="1" t="s">
        <v>74</v>
      </c>
      <c r="T976" s="1" t="s">
        <v>74</v>
      </c>
      <c r="U976" s="1" t="s">
        <v>74</v>
      </c>
      <c r="V976" s="1" t="s">
        <v>74</v>
      </c>
      <c r="W976" s="1" t="s">
        <v>74</v>
      </c>
      <c r="X976" s="1" t="s">
        <v>74</v>
      </c>
      <c r="Y976" s="1" t="s">
        <v>74</v>
      </c>
      <c r="Z976" s="1" t="s">
        <v>74</v>
      </c>
      <c r="AA976" s="1" t="s">
        <v>8122</v>
      </c>
      <c r="AB976" s="1" t="s">
        <v>74</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8123</v>
      </c>
      <c r="AP976" s="1" t="s">
        <v>8124</v>
      </c>
      <c r="AQ976" s="1" t="s">
        <v>74</v>
      </c>
      <c r="AR976" s="1" t="s">
        <v>74</v>
      </c>
      <c r="AS976" s="1" t="s">
        <v>74</v>
      </c>
      <c r="AT976" s="1" t="s">
        <v>8125</v>
      </c>
      <c r="AU976" s="1">
        <v>2025.0</v>
      </c>
      <c r="AV976" s="1" t="s">
        <v>74</v>
      </c>
      <c r="AW976" s="1" t="s">
        <v>74</v>
      </c>
      <c r="AX976" s="1" t="s">
        <v>74</v>
      </c>
      <c r="AY976" s="1" t="s">
        <v>74</v>
      </c>
      <c r="AZ976" s="1" t="s">
        <v>74</v>
      </c>
      <c r="BA976" s="1" t="s">
        <v>74</v>
      </c>
      <c r="BB976" s="1" t="s">
        <v>74</v>
      </c>
      <c r="BC976" s="1" t="s">
        <v>74</v>
      </c>
      <c r="BD976" s="1" t="s">
        <v>74</v>
      </c>
      <c r="BE976" s="1" t="s">
        <v>8126</v>
      </c>
      <c r="BF976" s="2" t="str">
        <f>HYPERLINK("http://dx.doi.org/10.1111/1749-4877.12962","http://dx.doi.org/10.1111/1749-4877.12962")</f>
        <v>http://dx.doi.org/10.1111/1749-4877.12962</v>
      </c>
      <c r="BG976" s="1" t="s">
        <v>74</v>
      </c>
      <c r="BH976" s="1" t="s">
        <v>3342</v>
      </c>
      <c r="BI976" s="1" t="s">
        <v>74</v>
      </c>
      <c r="BJ976" s="1" t="s">
        <v>74</v>
      </c>
      <c r="BK976" s="1" t="s">
        <v>74</v>
      </c>
      <c r="BL976" s="1" t="s">
        <v>74</v>
      </c>
      <c r="BM976" s="1" t="s">
        <v>74</v>
      </c>
      <c r="BN976" s="1">
        <v>3.9929702E7</v>
      </c>
      <c r="BO976" s="1" t="s">
        <v>74</v>
      </c>
      <c r="BP976" s="1" t="s">
        <v>74</v>
      </c>
      <c r="BQ976" s="1" t="s">
        <v>74</v>
      </c>
      <c r="BR976" s="1" t="s">
        <v>74</v>
      </c>
      <c r="BS976" s="1" t="s">
        <v>8127</v>
      </c>
      <c r="BT976" s="1" t="str">
        <f>HYPERLINK("https%3A%2F%2Fwww.webofscience.com%2Fwos%2Fwoscc%2Ffull-record%2FWOS:001420877300001","View Full Record in Web of Science")</f>
        <v>View Full Record in Web of Science</v>
      </c>
    </row>
    <row r="977" ht="12.75" customHeight="1">
      <c r="A977" s="1" t="s">
        <v>72</v>
      </c>
      <c r="B977" s="1" t="s">
        <v>8128</v>
      </c>
      <c r="C977" s="1" t="s">
        <v>74</v>
      </c>
      <c r="D977" s="1" t="s">
        <v>74</v>
      </c>
      <c r="E977" s="1" t="s">
        <v>74</v>
      </c>
      <c r="F977" s="1" t="s">
        <v>8129</v>
      </c>
      <c r="G977" s="1" t="s">
        <v>74</v>
      </c>
      <c r="H977" s="1" t="s">
        <v>74</v>
      </c>
      <c r="I977" s="1" t="s">
        <v>8130</v>
      </c>
      <c r="J977" s="1" t="s">
        <v>8131</v>
      </c>
      <c r="K977" s="1" t="s">
        <v>74</v>
      </c>
      <c r="L977" s="1" t="s">
        <v>74</v>
      </c>
      <c r="M977" s="1" t="s">
        <v>74</v>
      </c>
      <c r="N977" s="1" t="s">
        <v>74</v>
      </c>
      <c r="O977" s="1" t="s">
        <v>74</v>
      </c>
      <c r="P977" s="1" t="s">
        <v>74</v>
      </c>
      <c r="Q977" s="1" t="s">
        <v>74</v>
      </c>
      <c r="R977" s="1" t="s">
        <v>74</v>
      </c>
      <c r="S977" s="1" t="s">
        <v>74</v>
      </c>
      <c r="T977" s="1" t="s">
        <v>74</v>
      </c>
      <c r="U977" s="1" t="s">
        <v>74</v>
      </c>
      <c r="V977" s="1" t="s">
        <v>8132</v>
      </c>
      <c r="W977" s="1" t="s">
        <v>74</v>
      </c>
      <c r="X977" s="1" t="s">
        <v>74</v>
      </c>
      <c r="Y977" s="1" t="s">
        <v>74</v>
      </c>
      <c r="Z977" s="1" t="s">
        <v>74</v>
      </c>
      <c r="AA977" s="1" t="s">
        <v>5571</v>
      </c>
      <c r="AB977" s="1" t="s">
        <v>8133</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8134</v>
      </c>
      <c r="AP977" s="1" t="s">
        <v>8135</v>
      </c>
      <c r="AQ977" s="1" t="s">
        <v>74</v>
      </c>
      <c r="AR977" s="1" t="s">
        <v>74</v>
      </c>
      <c r="AS977" s="1" t="s">
        <v>74</v>
      </c>
      <c r="AT977" s="1" t="s">
        <v>276</v>
      </c>
      <c r="AU977" s="1">
        <v>2024.0</v>
      </c>
      <c r="AV977" s="1">
        <v>95.0</v>
      </c>
      <c r="AW977" s="1" t="s">
        <v>74</v>
      </c>
      <c r="AX977" s="1" t="s">
        <v>74</v>
      </c>
      <c r="AY977" s="1" t="s">
        <v>74</v>
      </c>
      <c r="AZ977" s="1" t="s">
        <v>74</v>
      </c>
      <c r="BA977" s="1" t="s">
        <v>74</v>
      </c>
      <c r="BB977" s="1" t="s">
        <v>74</v>
      </c>
      <c r="BC977" s="1" t="s">
        <v>74</v>
      </c>
      <c r="BD977" s="1">
        <v>102010.0</v>
      </c>
      <c r="BE977" s="1" t="s">
        <v>8136</v>
      </c>
      <c r="BF977" s="2" t="str">
        <f>HYPERLINK("http://dx.doi.org/10.1016/j.seps.2024.102010","http://dx.doi.org/10.1016/j.seps.2024.102010")</f>
        <v>http://dx.doi.org/10.1016/j.seps.2024.102010</v>
      </c>
      <c r="BG977" s="1" t="s">
        <v>74</v>
      </c>
      <c r="BH977" s="1" t="s">
        <v>8137</v>
      </c>
      <c r="BI977" s="1" t="s">
        <v>74</v>
      </c>
      <c r="BJ977" s="1" t="s">
        <v>74</v>
      </c>
      <c r="BK977" s="1" t="s">
        <v>74</v>
      </c>
      <c r="BL977" s="1" t="s">
        <v>74</v>
      </c>
      <c r="BM977" s="1" t="s">
        <v>74</v>
      </c>
      <c r="BN977" s="1" t="s">
        <v>74</v>
      </c>
      <c r="BO977" s="1" t="s">
        <v>74</v>
      </c>
      <c r="BP977" s="1" t="s">
        <v>74</v>
      </c>
      <c r="BQ977" s="1" t="s">
        <v>74</v>
      </c>
      <c r="BR977" s="1" t="s">
        <v>74</v>
      </c>
      <c r="BS977" s="1" t="s">
        <v>8138</v>
      </c>
      <c r="BT977" s="1" t="str">
        <f>HYPERLINK("https%3A%2F%2Fwww.webofscience.com%2Fwos%2Fwoscc%2Ffull-record%2FWOS:001270380800001","View Full Record in Web of Science")</f>
        <v>View Full Record in Web of Science</v>
      </c>
    </row>
    <row r="978" ht="12.75" customHeight="1">
      <c r="A978" s="1" t="s">
        <v>72</v>
      </c>
      <c r="B978" s="1" t="s">
        <v>8139</v>
      </c>
      <c r="C978" s="1" t="s">
        <v>74</v>
      </c>
      <c r="D978" s="1" t="s">
        <v>74</v>
      </c>
      <c r="E978" s="1" t="s">
        <v>74</v>
      </c>
      <c r="F978" s="1" t="s">
        <v>8140</v>
      </c>
      <c r="G978" s="1" t="s">
        <v>74</v>
      </c>
      <c r="H978" s="1" t="s">
        <v>74</v>
      </c>
      <c r="I978" s="1" t="s">
        <v>8141</v>
      </c>
      <c r="J978" s="1" t="s">
        <v>7819</v>
      </c>
      <c r="K978" s="1" t="s">
        <v>74</v>
      </c>
      <c r="L978" s="1" t="s">
        <v>74</v>
      </c>
      <c r="M978" s="1" t="s">
        <v>74</v>
      </c>
      <c r="N978" s="1" t="s">
        <v>74</v>
      </c>
      <c r="O978" s="1" t="s">
        <v>74</v>
      </c>
      <c r="P978" s="1" t="s">
        <v>74</v>
      </c>
      <c r="Q978" s="1" t="s">
        <v>74</v>
      </c>
      <c r="R978" s="1" t="s">
        <v>74</v>
      </c>
      <c r="S978" s="1" t="s">
        <v>74</v>
      </c>
      <c r="T978" s="1" t="s">
        <v>74</v>
      </c>
      <c r="U978" s="1" t="s">
        <v>74</v>
      </c>
      <c r="V978" s="1" t="s">
        <v>8142</v>
      </c>
      <c r="W978" s="1" t="s">
        <v>74</v>
      </c>
      <c r="X978" s="1" t="s">
        <v>74</v>
      </c>
      <c r="Y978" s="1" t="s">
        <v>74</v>
      </c>
      <c r="Z978" s="1" t="s">
        <v>74</v>
      </c>
      <c r="AA978" s="1" t="s">
        <v>3349</v>
      </c>
      <c r="AB978" s="1" t="s">
        <v>8143</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7823</v>
      </c>
      <c r="AP978" s="1" t="s">
        <v>7824</v>
      </c>
      <c r="AQ978" s="1" t="s">
        <v>74</v>
      </c>
      <c r="AR978" s="1" t="s">
        <v>74</v>
      </c>
      <c r="AS978" s="1" t="s">
        <v>74</v>
      </c>
      <c r="AT978" s="1" t="s">
        <v>5485</v>
      </c>
      <c r="AU978" s="1">
        <v>2024.0</v>
      </c>
      <c r="AV978" s="1">
        <v>395.0</v>
      </c>
      <c r="AW978" s="1" t="s">
        <v>74</v>
      </c>
      <c r="AX978" s="1" t="s">
        <v>74</v>
      </c>
      <c r="AY978" s="1" t="s">
        <v>74</v>
      </c>
      <c r="AZ978" s="1" t="s">
        <v>74</v>
      </c>
      <c r="BA978" s="1" t="s">
        <v>74</v>
      </c>
      <c r="BB978" s="1" t="s">
        <v>74</v>
      </c>
      <c r="BC978" s="1" t="s">
        <v>74</v>
      </c>
      <c r="BD978" s="1">
        <v>123846.0</v>
      </c>
      <c r="BE978" s="1" t="s">
        <v>8144</v>
      </c>
      <c r="BF978" s="2" t="str">
        <f>HYPERLINK("http://dx.doi.org/10.1016/j.molliq.2023.123846","http://dx.doi.org/10.1016/j.molliq.2023.123846")</f>
        <v>http://dx.doi.org/10.1016/j.molliq.2023.123846</v>
      </c>
      <c r="BG978" s="1" t="s">
        <v>74</v>
      </c>
      <c r="BH978" s="1" t="s">
        <v>8145</v>
      </c>
      <c r="BI978" s="1" t="s">
        <v>74</v>
      </c>
      <c r="BJ978" s="1" t="s">
        <v>74</v>
      </c>
      <c r="BK978" s="1" t="s">
        <v>74</v>
      </c>
      <c r="BL978" s="1" t="s">
        <v>74</v>
      </c>
      <c r="BM978" s="1" t="s">
        <v>74</v>
      </c>
      <c r="BN978" s="1" t="s">
        <v>74</v>
      </c>
      <c r="BO978" s="1" t="s">
        <v>74</v>
      </c>
      <c r="BP978" s="1" t="s">
        <v>74</v>
      </c>
      <c r="BQ978" s="1" t="s">
        <v>74</v>
      </c>
      <c r="BR978" s="1" t="s">
        <v>74</v>
      </c>
      <c r="BS978" s="1" t="s">
        <v>8146</v>
      </c>
      <c r="BT978" s="1" t="str">
        <f>HYPERLINK("https%3A%2F%2Fwww.webofscience.com%2Fwos%2Fwoscc%2Ffull-record%2FWOS:001165934200001","View Full Record in Web of Science")</f>
        <v>View Full Record in Web of Science</v>
      </c>
    </row>
    <row r="979" ht="12.75" customHeight="1">
      <c r="A979" s="1" t="s">
        <v>72</v>
      </c>
      <c r="B979" s="1" t="s">
        <v>5640</v>
      </c>
      <c r="C979" s="1" t="s">
        <v>74</v>
      </c>
      <c r="D979" s="1" t="s">
        <v>74</v>
      </c>
      <c r="E979" s="1" t="s">
        <v>74</v>
      </c>
      <c r="F979" s="1" t="s">
        <v>5641</v>
      </c>
      <c r="G979" s="1" t="s">
        <v>74</v>
      </c>
      <c r="H979" s="1" t="s">
        <v>74</v>
      </c>
      <c r="I979" s="1" t="s">
        <v>8147</v>
      </c>
      <c r="J979" s="1" t="s">
        <v>5643</v>
      </c>
      <c r="K979" s="1" t="s">
        <v>74</v>
      </c>
      <c r="L979" s="1" t="s">
        <v>74</v>
      </c>
      <c r="M979" s="1" t="s">
        <v>74</v>
      </c>
      <c r="N979" s="1" t="s">
        <v>74</v>
      </c>
      <c r="O979" s="1" t="s">
        <v>74</v>
      </c>
      <c r="P979" s="1" t="s">
        <v>74</v>
      </c>
      <c r="Q979" s="1" t="s">
        <v>74</v>
      </c>
      <c r="R979" s="1" t="s">
        <v>74</v>
      </c>
      <c r="S979" s="1" t="s">
        <v>74</v>
      </c>
      <c r="T979" s="1" t="s">
        <v>74</v>
      </c>
      <c r="U979" s="1" t="s">
        <v>74</v>
      </c>
      <c r="V979" s="1" t="s">
        <v>5644</v>
      </c>
      <c r="W979" s="1" t="s">
        <v>74</v>
      </c>
      <c r="X979" s="1" t="s">
        <v>74</v>
      </c>
      <c r="Y979" s="1" t="s">
        <v>74</v>
      </c>
      <c r="Z979" s="1" t="s">
        <v>74</v>
      </c>
      <c r="AA979" s="1" t="s">
        <v>74</v>
      </c>
      <c r="AB979" s="1" t="s">
        <v>74</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5645</v>
      </c>
      <c r="AP979" s="1" t="s">
        <v>5646</v>
      </c>
      <c r="AQ979" s="1" t="s">
        <v>74</v>
      </c>
      <c r="AR979" s="1" t="s">
        <v>74</v>
      </c>
      <c r="AS979" s="1" t="s">
        <v>74</v>
      </c>
      <c r="AT979" s="1" t="s">
        <v>382</v>
      </c>
      <c r="AU979" s="1">
        <v>2023.0</v>
      </c>
      <c r="AV979" s="1">
        <v>64.0</v>
      </c>
      <c r="AW979" s="1">
        <v>1.0</v>
      </c>
      <c r="AX979" s="1" t="s">
        <v>74</v>
      </c>
      <c r="AY979" s="1" t="s">
        <v>74</v>
      </c>
      <c r="AZ979" s="1" t="s">
        <v>74</v>
      </c>
      <c r="BA979" s="1" t="s">
        <v>74</v>
      </c>
      <c r="BB979" s="1">
        <v>85.0</v>
      </c>
      <c r="BC979" s="1">
        <v>95.0</v>
      </c>
      <c r="BD979" s="1" t="s">
        <v>74</v>
      </c>
      <c r="BE979" s="1" t="s">
        <v>74</v>
      </c>
      <c r="BF979" s="1" t="s">
        <v>74</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8148</v>
      </c>
      <c r="BT979" s="1" t="str">
        <f>HYPERLINK("https%3A%2F%2Fwww.webofscience.com%2Fwos%2Fwoscc%2Ffull-record%2FWOS:001039476000002","View Full Record in Web of Science")</f>
        <v>View Full Record in Web of Science</v>
      </c>
    </row>
    <row r="980" ht="12.75" customHeight="1">
      <c r="A980" s="1" t="s">
        <v>72</v>
      </c>
      <c r="B980" s="1" t="s">
        <v>8149</v>
      </c>
      <c r="C980" s="1" t="s">
        <v>74</v>
      </c>
      <c r="D980" s="1" t="s">
        <v>74</v>
      </c>
      <c r="E980" s="1" t="s">
        <v>74</v>
      </c>
      <c r="F980" s="1" t="s">
        <v>8150</v>
      </c>
      <c r="G980" s="1" t="s">
        <v>74</v>
      </c>
      <c r="H980" s="1" t="s">
        <v>74</v>
      </c>
      <c r="I980" s="1" t="s">
        <v>8151</v>
      </c>
      <c r="J980" s="1" t="s">
        <v>3588</v>
      </c>
      <c r="K980" s="1" t="s">
        <v>74</v>
      </c>
      <c r="L980" s="1" t="s">
        <v>74</v>
      </c>
      <c r="M980" s="1" t="s">
        <v>74</v>
      </c>
      <c r="N980" s="1" t="s">
        <v>74</v>
      </c>
      <c r="O980" s="1" t="s">
        <v>74</v>
      </c>
      <c r="P980" s="1" t="s">
        <v>74</v>
      </c>
      <c r="Q980" s="1" t="s">
        <v>74</v>
      </c>
      <c r="R980" s="1" t="s">
        <v>74</v>
      </c>
      <c r="S980" s="1" t="s">
        <v>74</v>
      </c>
      <c r="T980" s="1" t="s">
        <v>74</v>
      </c>
      <c r="U980" s="1" t="s">
        <v>74</v>
      </c>
      <c r="V980" s="1" t="s">
        <v>8152</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3590</v>
      </c>
      <c r="AP980" s="1" t="s">
        <v>74</v>
      </c>
      <c r="AQ980" s="1" t="s">
        <v>74</v>
      </c>
      <c r="AR980" s="1" t="s">
        <v>74</v>
      </c>
      <c r="AS980" s="1" t="s">
        <v>74</v>
      </c>
      <c r="AT980" s="1" t="s">
        <v>158</v>
      </c>
      <c r="AU980" s="1">
        <v>2022.0</v>
      </c>
      <c r="AV980" s="1">
        <v>9.0</v>
      </c>
      <c r="AW980" s="1">
        <v>27.0</v>
      </c>
      <c r="AX980" s="1" t="s">
        <v>74</v>
      </c>
      <c r="AY980" s="1" t="s">
        <v>74</v>
      </c>
      <c r="AZ980" s="1" t="s">
        <v>74</v>
      </c>
      <c r="BA980" s="1" t="s">
        <v>74</v>
      </c>
      <c r="BB980" s="1">
        <v>221.0</v>
      </c>
      <c r="BC980" s="1">
        <v>232.0</v>
      </c>
      <c r="BD980" s="1" t="s">
        <v>74</v>
      </c>
      <c r="BE980" s="1" t="s">
        <v>8153</v>
      </c>
      <c r="BF980" s="2" t="str">
        <f>HYPERLINK("http://dx.doi.org/10.35588/rivar.v9i27.5674","http://dx.doi.org/10.35588/rivar.v9i27.5674")</f>
        <v>http://dx.doi.org/10.35588/rivar.v9i27.5674</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8154</v>
      </c>
      <c r="BT980" s="1" t="str">
        <f>HYPERLINK("https%3A%2F%2Fwww.webofscience.com%2Fwos%2Fwoscc%2Ffull-record%2FWOS:000860972900014","View Full Record in Web of Science")</f>
        <v>View Full Record in Web of Science</v>
      </c>
    </row>
    <row r="981" ht="12.75" customHeight="1">
      <c r="A981" s="1" t="s">
        <v>72</v>
      </c>
      <c r="B981" s="1" t="s">
        <v>8155</v>
      </c>
      <c r="C981" s="1" t="s">
        <v>74</v>
      </c>
      <c r="D981" s="1" t="s">
        <v>74</v>
      </c>
      <c r="E981" s="1" t="s">
        <v>74</v>
      </c>
      <c r="F981" s="1" t="s">
        <v>8156</v>
      </c>
      <c r="G981" s="1" t="s">
        <v>74</v>
      </c>
      <c r="H981" s="1" t="s">
        <v>74</v>
      </c>
      <c r="I981" s="1" t="s">
        <v>8157</v>
      </c>
      <c r="J981" s="1" t="s">
        <v>1119</v>
      </c>
      <c r="K981" s="1" t="s">
        <v>74</v>
      </c>
      <c r="L981" s="1" t="s">
        <v>74</v>
      </c>
      <c r="M981" s="1" t="s">
        <v>74</v>
      </c>
      <c r="N981" s="1" t="s">
        <v>74</v>
      </c>
      <c r="O981" s="1" t="s">
        <v>74</v>
      </c>
      <c r="P981" s="1" t="s">
        <v>74</v>
      </c>
      <c r="Q981" s="1" t="s">
        <v>74</v>
      </c>
      <c r="R981" s="1" t="s">
        <v>74</v>
      </c>
      <c r="S981" s="1" t="s">
        <v>74</v>
      </c>
      <c r="T981" s="1" t="s">
        <v>74</v>
      </c>
      <c r="U981" s="1" t="s">
        <v>74</v>
      </c>
      <c r="V981" s="1" t="s">
        <v>8158</v>
      </c>
      <c r="W981" s="1" t="s">
        <v>74</v>
      </c>
      <c r="X981" s="1" t="s">
        <v>74</v>
      </c>
      <c r="Y981" s="1" t="s">
        <v>74</v>
      </c>
      <c r="Z981" s="1" t="s">
        <v>74</v>
      </c>
      <c r="AA981" s="1" t="s">
        <v>8159</v>
      </c>
      <c r="AB981" s="1" t="s">
        <v>8160</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1123</v>
      </c>
      <c r="AP981" s="1" t="s">
        <v>1124</v>
      </c>
      <c r="AQ981" s="1" t="s">
        <v>74</v>
      </c>
      <c r="AR981" s="1" t="s">
        <v>74</v>
      </c>
      <c r="AS981" s="1" t="s">
        <v>74</v>
      </c>
      <c r="AT981" s="1" t="s">
        <v>454</v>
      </c>
      <c r="AU981" s="1">
        <v>2019.0</v>
      </c>
      <c r="AV981" s="1">
        <v>484.0</v>
      </c>
      <c r="AW981" s="1" t="s">
        <v>74</v>
      </c>
      <c r="AX981" s="1" t="s">
        <v>74</v>
      </c>
      <c r="AY981" s="1" t="s">
        <v>74</v>
      </c>
      <c r="AZ981" s="1" t="s">
        <v>74</v>
      </c>
      <c r="BA981" s="1" t="s">
        <v>74</v>
      </c>
      <c r="BB981" s="1">
        <v>114.0</v>
      </c>
      <c r="BC981" s="1">
        <v>119.0</v>
      </c>
      <c r="BD981" s="1" t="s">
        <v>74</v>
      </c>
      <c r="BE981" s="1" t="s">
        <v>8161</v>
      </c>
      <c r="BF981" s="2" t="str">
        <f>HYPERLINK("http://dx.doi.org/10.1016/j.jmmm.2019.03.124","http://dx.doi.org/10.1016/j.jmmm.2019.03.124")</f>
        <v>http://dx.doi.org/10.1016/j.jmmm.2019.03.124</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8162</v>
      </c>
      <c r="BT981" s="1" t="str">
        <f>HYPERLINK("https%3A%2F%2Fwww.webofscience.com%2Fwos%2Fwoscc%2Ffull-record%2FWOS:000468443500018","View Full Record in Web of Science")</f>
        <v>View Full Record in Web of Science</v>
      </c>
    </row>
    <row r="982" ht="12.75" customHeight="1">
      <c r="A982" s="1" t="s">
        <v>72</v>
      </c>
      <c r="B982" s="1" t="s">
        <v>8163</v>
      </c>
      <c r="C982" s="1" t="s">
        <v>74</v>
      </c>
      <c r="D982" s="1" t="s">
        <v>74</v>
      </c>
      <c r="E982" s="1" t="s">
        <v>74</v>
      </c>
      <c r="F982" s="1" t="s">
        <v>8164</v>
      </c>
      <c r="G982" s="1" t="s">
        <v>74</v>
      </c>
      <c r="H982" s="1" t="s">
        <v>74</v>
      </c>
      <c r="I982" s="1" t="s">
        <v>8165</v>
      </c>
      <c r="J982" s="1" t="s">
        <v>574</v>
      </c>
      <c r="K982" s="1" t="s">
        <v>74</v>
      </c>
      <c r="L982" s="1" t="s">
        <v>74</v>
      </c>
      <c r="M982" s="1" t="s">
        <v>74</v>
      </c>
      <c r="N982" s="1" t="s">
        <v>74</v>
      </c>
      <c r="O982" s="1" t="s">
        <v>74</v>
      </c>
      <c r="P982" s="1" t="s">
        <v>74</v>
      </c>
      <c r="Q982" s="1" t="s">
        <v>74</v>
      </c>
      <c r="R982" s="1" t="s">
        <v>74</v>
      </c>
      <c r="S982" s="1" t="s">
        <v>74</v>
      </c>
      <c r="T982" s="1" t="s">
        <v>74</v>
      </c>
      <c r="U982" s="1" t="s">
        <v>74</v>
      </c>
      <c r="V982" s="1" t="s">
        <v>8166</v>
      </c>
      <c r="W982" s="1" t="s">
        <v>74</v>
      </c>
      <c r="X982" s="1" t="s">
        <v>74</v>
      </c>
      <c r="Y982" s="1" t="s">
        <v>74</v>
      </c>
      <c r="Z982" s="1" t="s">
        <v>74</v>
      </c>
      <c r="AA982" s="1" t="s">
        <v>8167</v>
      </c>
      <c r="AB982" s="1" t="s">
        <v>8168</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578</v>
      </c>
      <c r="AP982" s="1" t="s">
        <v>579</v>
      </c>
      <c r="AQ982" s="1" t="s">
        <v>74</v>
      </c>
      <c r="AR982" s="1" t="s">
        <v>74</v>
      </c>
      <c r="AS982" s="1" t="s">
        <v>74</v>
      </c>
      <c r="AT982" s="1" t="s">
        <v>8169</v>
      </c>
      <c r="AU982" s="1">
        <v>2015.0</v>
      </c>
      <c r="AV982" s="1">
        <v>91.0</v>
      </c>
      <c r="AW982" s="1">
        <v>8.0</v>
      </c>
      <c r="AX982" s="1" t="s">
        <v>74</v>
      </c>
      <c r="AY982" s="1" t="s">
        <v>74</v>
      </c>
      <c r="AZ982" s="1" t="s">
        <v>74</v>
      </c>
      <c r="BA982" s="1" t="s">
        <v>74</v>
      </c>
      <c r="BB982" s="1" t="s">
        <v>74</v>
      </c>
      <c r="BC982" s="1" t="s">
        <v>74</v>
      </c>
      <c r="BD982" s="1">
        <v>85033.0</v>
      </c>
      <c r="BE982" s="1" t="s">
        <v>8170</v>
      </c>
      <c r="BF982" s="2" t="str">
        <f>HYPERLINK("http://dx.doi.org/10.1103/PhysRevD.91.085033","http://dx.doi.org/10.1103/PhysRevD.91.085033")</f>
        <v>http://dx.doi.org/10.1103/PhysRevD.91.085033</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8171</v>
      </c>
      <c r="BT982" s="1" t="str">
        <f>HYPERLINK("https%3A%2F%2Fwww.webofscience.com%2Fwos%2Fwoscc%2Ffull-record%2FWOS:000353328500007","View Full Record in Web of Science")</f>
        <v>View Full Record in Web of Science</v>
      </c>
    </row>
    <row r="983" ht="12.75" customHeight="1">
      <c r="A983" s="1" t="s">
        <v>72</v>
      </c>
      <c r="B983" s="1" t="s">
        <v>8172</v>
      </c>
      <c r="C983" s="1" t="s">
        <v>74</v>
      </c>
      <c r="D983" s="1" t="s">
        <v>74</v>
      </c>
      <c r="E983" s="1" t="s">
        <v>74</v>
      </c>
      <c r="F983" s="1" t="s">
        <v>8173</v>
      </c>
      <c r="G983" s="1" t="s">
        <v>74</v>
      </c>
      <c r="H983" s="1" t="s">
        <v>74</v>
      </c>
      <c r="I983" s="1" t="s">
        <v>8174</v>
      </c>
      <c r="J983" s="1" t="s">
        <v>3947</v>
      </c>
      <c r="K983" s="1" t="s">
        <v>74</v>
      </c>
      <c r="L983" s="1" t="s">
        <v>74</v>
      </c>
      <c r="M983" s="1" t="s">
        <v>74</v>
      </c>
      <c r="N983" s="1" t="s">
        <v>74</v>
      </c>
      <c r="O983" s="1" t="s">
        <v>74</v>
      </c>
      <c r="P983" s="1" t="s">
        <v>74</v>
      </c>
      <c r="Q983" s="1" t="s">
        <v>74</v>
      </c>
      <c r="R983" s="1" t="s">
        <v>74</v>
      </c>
      <c r="S983" s="1" t="s">
        <v>74</v>
      </c>
      <c r="T983" s="1" t="s">
        <v>74</v>
      </c>
      <c r="U983" s="1" t="s">
        <v>74</v>
      </c>
      <c r="V983" s="1" t="s">
        <v>8175</v>
      </c>
      <c r="W983" s="1" t="s">
        <v>74</v>
      </c>
      <c r="X983" s="1" t="s">
        <v>74</v>
      </c>
      <c r="Y983" s="1" t="s">
        <v>74</v>
      </c>
      <c r="Z983" s="1" t="s">
        <v>74</v>
      </c>
      <c r="AA983" s="1" t="s">
        <v>8176</v>
      </c>
      <c r="AB983" s="1" t="s">
        <v>8177</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3950</v>
      </c>
      <c r="AP983" s="1" t="s">
        <v>3951</v>
      </c>
      <c r="AQ983" s="1" t="s">
        <v>74</v>
      </c>
      <c r="AR983" s="1" t="s">
        <v>74</v>
      </c>
      <c r="AS983" s="1" t="s">
        <v>74</v>
      </c>
      <c r="AT983" s="1" t="s">
        <v>123</v>
      </c>
      <c r="AU983" s="1">
        <v>2015.0</v>
      </c>
      <c r="AV983" s="1">
        <v>21.0</v>
      </c>
      <c r="AW983" s="1">
        <v>1.0</v>
      </c>
      <c r="AX983" s="1" t="s">
        <v>74</v>
      </c>
      <c r="AY983" s="1" t="s">
        <v>74</v>
      </c>
      <c r="AZ983" s="1" t="s">
        <v>74</v>
      </c>
      <c r="BA983" s="1" t="s">
        <v>74</v>
      </c>
      <c r="BB983" s="1" t="s">
        <v>74</v>
      </c>
      <c r="BC983" s="1" t="s">
        <v>74</v>
      </c>
      <c r="BD983" s="1">
        <v>12.0</v>
      </c>
      <c r="BE983" s="1" t="s">
        <v>8178</v>
      </c>
      <c r="BF983" s="2" t="str">
        <f>HYPERLINK("http://dx.doi.org/10.1007/s00894-015-2572-x","http://dx.doi.org/10.1007/s00894-015-2572-x")</f>
        <v>http://dx.doi.org/10.1007/s00894-015-2572-x</v>
      </c>
      <c r="BG983" s="1" t="s">
        <v>74</v>
      </c>
      <c r="BH983" s="1" t="s">
        <v>74</v>
      </c>
      <c r="BI983" s="1" t="s">
        <v>74</v>
      </c>
      <c r="BJ983" s="1" t="s">
        <v>74</v>
      </c>
      <c r="BK983" s="1" t="s">
        <v>74</v>
      </c>
      <c r="BL983" s="1" t="s">
        <v>74</v>
      </c>
      <c r="BM983" s="1" t="s">
        <v>74</v>
      </c>
      <c r="BN983" s="1">
        <v>2.5617211E7</v>
      </c>
      <c r="BO983" s="1" t="s">
        <v>74</v>
      </c>
      <c r="BP983" s="1" t="s">
        <v>74</v>
      </c>
      <c r="BQ983" s="1" t="s">
        <v>74</v>
      </c>
      <c r="BR983" s="1" t="s">
        <v>74</v>
      </c>
      <c r="BS983" s="1" t="s">
        <v>8179</v>
      </c>
      <c r="BT983" s="1" t="str">
        <f>HYPERLINK("https%3A%2F%2Fwww.webofscience.com%2Fwos%2Fwoscc%2Ffull-record%2FWOS:000348306800018","View Full Record in Web of Science")</f>
        <v>View Full Record in Web of Science</v>
      </c>
    </row>
    <row r="984" ht="12.75" customHeight="1">
      <c r="A984" s="1" t="s">
        <v>72</v>
      </c>
      <c r="B984" s="1" t="s">
        <v>8180</v>
      </c>
      <c r="C984" s="1" t="s">
        <v>74</v>
      </c>
      <c r="D984" s="1" t="s">
        <v>74</v>
      </c>
      <c r="E984" s="1" t="s">
        <v>74</v>
      </c>
      <c r="F984" s="1" t="s">
        <v>8181</v>
      </c>
      <c r="G984" s="1" t="s">
        <v>74</v>
      </c>
      <c r="H984" s="1" t="s">
        <v>74</v>
      </c>
      <c r="I984" s="1" t="s">
        <v>8182</v>
      </c>
      <c r="J984" s="1" t="s">
        <v>698</v>
      </c>
      <c r="K984" s="1" t="s">
        <v>74</v>
      </c>
      <c r="L984" s="1" t="s">
        <v>74</v>
      </c>
      <c r="M984" s="1" t="s">
        <v>74</v>
      </c>
      <c r="N984" s="1" t="s">
        <v>74</v>
      </c>
      <c r="O984" s="1" t="s">
        <v>74</v>
      </c>
      <c r="P984" s="1" t="s">
        <v>74</v>
      </c>
      <c r="Q984" s="1" t="s">
        <v>74</v>
      </c>
      <c r="R984" s="1" t="s">
        <v>74</v>
      </c>
      <c r="S984" s="1" t="s">
        <v>74</v>
      </c>
      <c r="T984" s="1" t="s">
        <v>74</v>
      </c>
      <c r="U984" s="1" t="s">
        <v>74</v>
      </c>
      <c r="V984" s="1" t="s">
        <v>8183</v>
      </c>
      <c r="W984" s="1" t="s">
        <v>74</v>
      </c>
      <c r="X984" s="1" t="s">
        <v>74</v>
      </c>
      <c r="Y984" s="1" t="s">
        <v>74</v>
      </c>
      <c r="Z984" s="1" t="s">
        <v>74</v>
      </c>
      <c r="AA984" s="1" t="s">
        <v>3231</v>
      </c>
      <c r="AB984" s="1" t="s">
        <v>74</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702</v>
      </c>
      <c r="AP984" s="1" t="s">
        <v>74</v>
      </c>
      <c r="AQ984" s="1" t="s">
        <v>74</v>
      </c>
      <c r="AR984" s="1" t="s">
        <v>74</v>
      </c>
      <c r="AS984" s="1" t="s">
        <v>74</v>
      </c>
      <c r="AT984" s="1" t="s">
        <v>91</v>
      </c>
      <c r="AU984" s="1">
        <v>2014.0</v>
      </c>
      <c r="AV984" s="1">
        <v>59.0</v>
      </c>
      <c r="AW984" s="1">
        <v>2.0</v>
      </c>
      <c r="AX984" s="1" t="s">
        <v>74</v>
      </c>
      <c r="AY984" s="1" t="s">
        <v>74</v>
      </c>
      <c r="AZ984" s="1" t="s">
        <v>74</v>
      </c>
      <c r="BA984" s="1" t="s">
        <v>74</v>
      </c>
      <c r="BB984" s="1">
        <v>2427.0</v>
      </c>
      <c r="BC984" s="1">
        <v>2431.0</v>
      </c>
      <c r="BD984" s="1" t="s">
        <v>74</v>
      </c>
      <c r="BE984" s="1" t="s">
        <v>8184</v>
      </c>
      <c r="BF984" s="2" t="str">
        <f>HYPERLINK("http://dx.doi.org/10.4067/S0717-97072014000200006","http://dx.doi.org/10.4067/S0717-97072014000200006")</f>
        <v>http://dx.doi.org/10.4067/S0717-97072014000200006</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8185</v>
      </c>
      <c r="BT984" s="1" t="str">
        <f>HYPERLINK("https%3A%2F%2Fwww.webofscience.com%2Fwos%2Fwoscc%2Ffull-record%2FWOS:000342613100006","View Full Record in Web of Science")</f>
        <v>View Full Record in Web of Science</v>
      </c>
    </row>
    <row r="985" ht="12.75" customHeight="1">
      <c r="A985" s="1" t="s">
        <v>72</v>
      </c>
      <c r="B985" s="1" t="s">
        <v>8186</v>
      </c>
      <c r="C985" s="1" t="s">
        <v>74</v>
      </c>
      <c r="D985" s="1" t="s">
        <v>74</v>
      </c>
      <c r="E985" s="1" t="s">
        <v>74</v>
      </c>
      <c r="F985" s="1" t="s">
        <v>8187</v>
      </c>
      <c r="G985" s="1" t="s">
        <v>74</v>
      </c>
      <c r="H985" s="1" t="s">
        <v>74</v>
      </c>
      <c r="I985" s="1" t="s">
        <v>8188</v>
      </c>
      <c r="J985" s="1" t="s">
        <v>816</v>
      </c>
      <c r="K985" s="1" t="s">
        <v>74</v>
      </c>
      <c r="L985" s="1" t="s">
        <v>74</v>
      </c>
      <c r="M985" s="1" t="s">
        <v>74</v>
      </c>
      <c r="N985" s="1" t="s">
        <v>74</v>
      </c>
      <c r="O985" s="1" t="s">
        <v>74</v>
      </c>
      <c r="P985" s="1" t="s">
        <v>74</v>
      </c>
      <c r="Q985" s="1" t="s">
        <v>74</v>
      </c>
      <c r="R985" s="1" t="s">
        <v>74</v>
      </c>
      <c r="S985" s="1" t="s">
        <v>74</v>
      </c>
      <c r="T985" s="1" t="s">
        <v>74</v>
      </c>
      <c r="U985" s="1" t="s">
        <v>74</v>
      </c>
      <c r="V985" s="1" t="s">
        <v>8189</v>
      </c>
      <c r="W985" s="1" t="s">
        <v>74</v>
      </c>
      <c r="X985" s="1" t="s">
        <v>74</v>
      </c>
      <c r="Y985" s="1" t="s">
        <v>74</v>
      </c>
      <c r="Z985" s="1" t="s">
        <v>74</v>
      </c>
      <c r="AA985" s="1" t="s">
        <v>8190</v>
      </c>
      <c r="AB985" s="1" t="s">
        <v>74</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817</v>
      </c>
      <c r="AP985" s="1" t="s">
        <v>994</v>
      </c>
      <c r="AQ985" s="1" t="s">
        <v>74</v>
      </c>
      <c r="AR985" s="1" t="s">
        <v>74</v>
      </c>
      <c r="AS985" s="1" t="s">
        <v>74</v>
      </c>
      <c r="AT985" s="1" t="s">
        <v>123</v>
      </c>
      <c r="AU985" s="1">
        <v>2012.0</v>
      </c>
      <c r="AV985" s="1">
        <v>140.0</v>
      </c>
      <c r="AW985" s="1">
        <v>1.0</v>
      </c>
      <c r="AX985" s="1" t="s">
        <v>74</v>
      </c>
      <c r="AY985" s="1" t="s">
        <v>74</v>
      </c>
      <c r="AZ985" s="1" t="s">
        <v>74</v>
      </c>
      <c r="BA985" s="1" t="s">
        <v>74</v>
      </c>
      <c r="BB985" s="1">
        <v>45.0</v>
      </c>
      <c r="BC985" s="1">
        <v>49.0</v>
      </c>
      <c r="BD985" s="1" t="s">
        <v>74</v>
      </c>
      <c r="BE985" s="1" t="s">
        <v>8191</v>
      </c>
      <c r="BF985" s="2" t="str">
        <f>HYPERLINK("http://dx.doi.org/10.4067/S0034-98872012000100006","http://dx.doi.org/10.4067/S0034-98872012000100006")</f>
        <v>http://dx.doi.org/10.4067/S0034-98872012000100006</v>
      </c>
      <c r="BG985" s="1" t="s">
        <v>74</v>
      </c>
      <c r="BH985" s="1" t="s">
        <v>74</v>
      </c>
      <c r="BI985" s="1" t="s">
        <v>74</v>
      </c>
      <c r="BJ985" s="1" t="s">
        <v>74</v>
      </c>
      <c r="BK985" s="1" t="s">
        <v>74</v>
      </c>
      <c r="BL985" s="1" t="s">
        <v>74</v>
      </c>
      <c r="BM985" s="1" t="s">
        <v>74</v>
      </c>
      <c r="BN985" s="1">
        <v>2.2552554E7</v>
      </c>
      <c r="BO985" s="1" t="s">
        <v>74</v>
      </c>
      <c r="BP985" s="1" t="s">
        <v>74</v>
      </c>
      <c r="BQ985" s="1" t="s">
        <v>74</v>
      </c>
      <c r="BR985" s="1" t="s">
        <v>74</v>
      </c>
      <c r="BS985" s="1" t="s">
        <v>8192</v>
      </c>
      <c r="BT985" s="1" t="str">
        <f>HYPERLINK("https%3A%2F%2Fwww.webofscience.com%2Fwos%2Fwoscc%2Ffull-record%2FWOS:000301221700006","View Full Record in Web of Science")</f>
        <v>View Full Record in Web of Science</v>
      </c>
    </row>
    <row r="986" ht="12.75" customHeight="1">
      <c r="A986" s="1" t="s">
        <v>126</v>
      </c>
      <c r="B986" s="1" t="s">
        <v>8193</v>
      </c>
      <c r="C986" s="1" t="s">
        <v>8194</v>
      </c>
      <c r="D986" s="1" t="s">
        <v>74</v>
      </c>
      <c r="E986" s="1" t="s">
        <v>74</v>
      </c>
      <c r="F986" s="1" t="s">
        <v>8195</v>
      </c>
      <c r="G986" s="1" t="s">
        <v>8194</v>
      </c>
      <c r="H986" s="1" t="s">
        <v>74</v>
      </c>
      <c r="I986" s="1" t="s">
        <v>8196</v>
      </c>
      <c r="J986" s="1" t="s">
        <v>8197</v>
      </c>
      <c r="K986" s="1" t="s">
        <v>74</v>
      </c>
      <c r="L986" s="1" t="s">
        <v>74</v>
      </c>
      <c r="M986" s="1" t="s">
        <v>74</v>
      </c>
      <c r="N986" s="1" t="s">
        <v>74</v>
      </c>
      <c r="O986" s="1" t="s">
        <v>8198</v>
      </c>
      <c r="P986" s="1" t="s">
        <v>8199</v>
      </c>
      <c r="Q986" s="1" t="s">
        <v>8200</v>
      </c>
      <c r="R986" s="1" t="s">
        <v>8201</v>
      </c>
      <c r="S986" s="1" t="s">
        <v>8202</v>
      </c>
      <c r="T986" s="1" t="s">
        <v>74</v>
      </c>
      <c r="U986" s="1" t="s">
        <v>74</v>
      </c>
      <c r="V986" s="1" t="s">
        <v>74</v>
      </c>
      <c r="W986" s="1" t="s">
        <v>74</v>
      </c>
      <c r="X986" s="1" t="s">
        <v>74</v>
      </c>
      <c r="Y986" s="1" t="s">
        <v>74</v>
      </c>
      <c r="Z986" s="1" t="s">
        <v>74</v>
      </c>
      <c r="AA986" s="1" t="s">
        <v>8203</v>
      </c>
      <c r="AB986" s="1" t="s">
        <v>74</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74</v>
      </c>
      <c r="AP986" s="1" t="s">
        <v>74</v>
      </c>
      <c r="AQ986" s="1" t="s">
        <v>8204</v>
      </c>
      <c r="AR986" s="1" t="s">
        <v>74</v>
      </c>
      <c r="AS986" s="1" t="s">
        <v>74</v>
      </c>
      <c r="AT986" s="1" t="s">
        <v>74</v>
      </c>
      <c r="AU986" s="1">
        <v>2012.0</v>
      </c>
      <c r="AV986" s="1" t="s">
        <v>74</v>
      </c>
      <c r="AW986" s="1" t="s">
        <v>74</v>
      </c>
      <c r="AX986" s="1" t="s">
        <v>74</v>
      </c>
      <c r="AY986" s="1" t="s">
        <v>74</v>
      </c>
      <c r="AZ986" s="1" t="s">
        <v>74</v>
      </c>
      <c r="BA986" s="1" t="s">
        <v>74</v>
      </c>
      <c r="BB986" s="1">
        <v>204.0</v>
      </c>
      <c r="BC986" s="1">
        <v>204.0</v>
      </c>
      <c r="BD986" s="1" t="s">
        <v>74</v>
      </c>
      <c r="BE986" s="1" t="s">
        <v>74</v>
      </c>
      <c r="BF986" s="1" t="s">
        <v>74</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8205</v>
      </c>
      <c r="BT986" s="1" t="str">
        <f>HYPERLINK("https%3A%2F%2Fwww.webofscience.com%2Fwos%2Fwoscc%2Ffull-record%2FWOS:000351916500037","View Full Record in Web of Science")</f>
        <v>View Full Record in Web of Science</v>
      </c>
    </row>
    <row r="987" ht="12.75" customHeight="1">
      <c r="A987" s="1" t="s">
        <v>72</v>
      </c>
      <c r="B987" s="1" t="s">
        <v>8206</v>
      </c>
      <c r="C987" s="1" t="s">
        <v>74</v>
      </c>
      <c r="D987" s="1" t="s">
        <v>74</v>
      </c>
      <c r="E987" s="1" t="s">
        <v>74</v>
      </c>
      <c r="F987" s="1" t="s">
        <v>8207</v>
      </c>
      <c r="G987" s="1" t="s">
        <v>74</v>
      </c>
      <c r="H987" s="1" t="s">
        <v>74</v>
      </c>
      <c r="I987" s="1" t="s">
        <v>8208</v>
      </c>
      <c r="J987" s="1" t="s">
        <v>8209</v>
      </c>
      <c r="K987" s="1" t="s">
        <v>74</v>
      </c>
      <c r="L987" s="1" t="s">
        <v>74</v>
      </c>
      <c r="M987" s="1" t="s">
        <v>74</v>
      </c>
      <c r="N987" s="1" t="s">
        <v>74</v>
      </c>
      <c r="O987" s="1" t="s">
        <v>74</v>
      </c>
      <c r="P987" s="1" t="s">
        <v>74</v>
      </c>
      <c r="Q987" s="1" t="s">
        <v>74</v>
      </c>
      <c r="R987" s="1" t="s">
        <v>74</v>
      </c>
      <c r="S987" s="1" t="s">
        <v>74</v>
      </c>
      <c r="T987" s="1" t="s">
        <v>74</v>
      </c>
      <c r="U987" s="1" t="s">
        <v>74</v>
      </c>
      <c r="V987" s="1" t="s">
        <v>8210</v>
      </c>
      <c r="W987" s="1" t="s">
        <v>74</v>
      </c>
      <c r="X987" s="1" t="s">
        <v>74</v>
      </c>
      <c r="Y987" s="1" t="s">
        <v>74</v>
      </c>
      <c r="Z987" s="1" t="s">
        <v>74</v>
      </c>
      <c r="AA987" s="1" t="s">
        <v>8211</v>
      </c>
      <c r="AB987" s="1" t="s">
        <v>8212</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8213</v>
      </c>
      <c r="AP987" s="1" t="s">
        <v>8214</v>
      </c>
      <c r="AQ987" s="1" t="s">
        <v>74</v>
      </c>
      <c r="AR987" s="1" t="s">
        <v>74</v>
      </c>
      <c r="AS987" s="1" t="s">
        <v>74</v>
      </c>
      <c r="AT987" s="1" t="s">
        <v>74</v>
      </c>
      <c r="AU987" s="1">
        <v>2012.0</v>
      </c>
      <c r="AV987" s="1">
        <v>15.0</v>
      </c>
      <c r="AW987" s="1">
        <v>6.0</v>
      </c>
      <c r="AX987" s="1" t="s">
        <v>74</v>
      </c>
      <c r="AY987" s="1" t="s">
        <v>74</v>
      </c>
      <c r="AZ987" s="1" t="s">
        <v>74</v>
      </c>
      <c r="BA987" s="1" t="s">
        <v>74</v>
      </c>
      <c r="BB987" s="1" t="s">
        <v>8215</v>
      </c>
      <c r="BC987" s="1" t="s">
        <v>8216</v>
      </c>
      <c r="BD987" s="1" t="s">
        <v>74</v>
      </c>
      <c r="BE987" s="1" t="s">
        <v>8217</v>
      </c>
      <c r="BF987" s="2" t="str">
        <f>HYPERLINK("http://dx.doi.org/10.1149/2.032206esl","http://dx.doi.org/10.1149/2.032206esl")</f>
        <v>http://dx.doi.org/10.1149/2.032206esl</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8218</v>
      </c>
      <c r="BT987" s="1" t="str">
        <f>HYPERLINK("https%3A%2F%2Fwww.webofscience.com%2Fwos%2Fwoscc%2Ffull-record%2FWOS:000306716000007","View Full Record in Web of Science")</f>
        <v>View Full Record in Web of Science</v>
      </c>
    </row>
    <row r="988" ht="12.75" customHeight="1">
      <c r="A988" s="1" t="s">
        <v>72</v>
      </c>
      <c r="B988" s="1" t="s">
        <v>8219</v>
      </c>
      <c r="C988" s="1" t="s">
        <v>74</v>
      </c>
      <c r="D988" s="1" t="s">
        <v>74</v>
      </c>
      <c r="E988" s="1" t="s">
        <v>74</v>
      </c>
      <c r="F988" s="1" t="s">
        <v>8220</v>
      </c>
      <c r="G988" s="1" t="s">
        <v>74</v>
      </c>
      <c r="H988" s="1" t="s">
        <v>74</v>
      </c>
      <c r="I988" s="1" t="s">
        <v>8221</v>
      </c>
      <c r="J988" s="1" t="s">
        <v>8222</v>
      </c>
      <c r="K988" s="1" t="s">
        <v>74</v>
      </c>
      <c r="L988" s="1" t="s">
        <v>74</v>
      </c>
      <c r="M988" s="1" t="s">
        <v>74</v>
      </c>
      <c r="N988" s="1" t="s">
        <v>74</v>
      </c>
      <c r="O988" s="1" t="s">
        <v>8223</v>
      </c>
      <c r="P988" s="1" t="s">
        <v>8224</v>
      </c>
      <c r="Q988" s="1" t="s">
        <v>8225</v>
      </c>
      <c r="R988" s="1" t="s">
        <v>8226</v>
      </c>
      <c r="S988" s="1" t="s">
        <v>74</v>
      </c>
      <c r="T988" s="1" t="s">
        <v>74</v>
      </c>
      <c r="U988" s="1" t="s">
        <v>74</v>
      </c>
      <c r="V988" s="1" t="s">
        <v>74</v>
      </c>
      <c r="W988" s="1" t="s">
        <v>74</v>
      </c>
      <c r="X988" s="1" t="s">
        <v>74</v>
      </c>
      <c r="Y988" s="1" t="s">
        <v>74</v>
      </c>
      <c r="Z988" s="1" t="s">
        <v>74</v>
      </c>
      <c r="AA988" s="1" t="s">
        <v>74</v>
      </c>
      <c r="AB988" s="1" t="s">
        <v>74</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8227</v>
      </c>
      <c r="AP988" s="1" t="s">
        <v>8228</v>
      </c>
      <c r="AQ988" s="1" t="s">
        <v>74</v>
      </c>
      <c r="AR988" s="1" t="s">
        <v>74</v>
      </c>
      <c r="AS988" s="1" t="s">
        <v>74</v>
      </c>
      <c r="AT988" s="1" t="s">
        <v>171</v>
      </c>
      <c r="AU988" s="1">
        <v>2011.0</v>
      </c>
      <c r="AV988" s="1">
        <v>66.0</v>
      </c>
      <c r="AW988" s="1" t="s">
        <v>74</v>
      </c>
      <c r="AX988" s="1" t="s">
        <v>74</v>
      </c>
      <c r="AY988" s="1">
        <v>94.0</v>
      </c>
      <c r="AZ988" s="1" t="s">
        <v>159</v>
      </c>
      <c r="BA988" s="1">
        <v>1003.0</v>
      </c>
      <c r="BB988" s="1">
        <v>387.0</v>
      </c>
      <c r="BC988" s="1">
        <v>387.0</v>
      </c>
      <c r="BD988" s="1" t="s">
        <v>74</v>
      </c>
      <c r="BE988" s="1" t="s">
        <v>74</v>
      </c>
      <c r="BF988" s="1" t="s">
        <v>74</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8229</v>
      </c>
      <c r="BT988" s="1" t="str">
        <f>HYPERLINK("https%3A%2F%2Fwww.webofscience.com%2Fwos%2Fwoscc%2Ffull-record%2FWOS:000329462202186","View Full Record in Web of Science")</f>
        <v>View Full Record in Web of Science</v>
      </c>
    </row>
    <row r="989" ht="12.75" customHeight="1">
      <c r="A989" s="1" t="s">
        <v>72</v>
      </c>
      <c r="B989" s="1" t="s">
        <v>8230</v>
      </c>
      <c r="C989" s="1" t="s">
        <v>74</v>
      </c>
      <c r="D989" s="1" t="s">
        <v>74</v>
      </c>
      <c r="E989" s="1" t="s">
        <v>74</v>
      </c>
      <c r="F989" s="1" t="s">
        <v>8231</v>
      </c>
      <c r="G989" s="1" t="s">
        <v>74</v>
      </c>
      <c r="H989" s="1" t="s">
        <v>74</v>
      </c>
      <c r="I989" s="1" t="s">
        <v>8232</v>
      </c>
      <c r="J989" s="1" t="s">
        <v>4972</v>
      </c>
      <c r="K989" s="1" t="s">
        <v>74</v>
      </c>
      <c r="L989" s="1" t="s">
        <v>74</v>
      </c>
      <c r="M989" s="1" t="s">
        <v>74</v>
      </c>
      <c r="N989" s="1" t="s">
        <v>74</v>
      </c>
      <c r="O989" s="1" t="s">
        <v>74</v>
      </c>
      <c r="P989" s="1" t="s">
        <v>74</v>
      </c>
      <c r="Q989" s="1" t="s">
        <v>74</v>
      </c>
      <c r="R989" s="1" t="s">
        <v>74</v>
      </c>
      <c r="S989" s="1" t="s">
        <v>74</v>
      </c>
      <c r="T989" s="1" t="s">
        <v>74</v>
      </c>
      <c r="U989" s="1" t="s">
        <v>74</v>
      </c>
      <c r="V989" s="1" t="s">
        <v>74</v>
      </c>
      <c r="W989" s="1" t="s">
        <v>74</v>
      </c>
      <c r="X989" s="1" t="s">
        <v>74</v>
      </c>
      <c r="Y989" s="1" t="s">
        <v>74</v>
      </c>
      <c r="Z989" s="1" t="s">
        <v>74</v>
      </c>
      <c r="AA989" s="1" t="s">
        <v>74</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4974</v>
      </c>
      <c r="AP989" s="1" t="s">
        <v>74</v>
      </c>
      <c r="AQ989" s="1" t="s">
        <v>74</v>
      </c>
      <c r="AR989" s="1" t="s">
        <v>74</v>
      </c>
      <c r="AS989" s="1" t="s">
        <v>74</v>
      </c>
      <c r="AT989" s="1" t="s">
        <v>82</v>
      </c>
      <c r="AU989" s="1">
        <v>2010.0</v>
      </c>
      <c r="AV989" s="1">
        <v>27.0</v>
      </c>
      <c r="AW989" s="1">
        <v>6.0</v>
      </c>
      <c r="AX989" s="1" t="s">
        <v>74</v>
      </c>
      <c r="AY989" s="1" t="s">
        <v>74</v>
      </c>
      <c r="AZ989" s="1" t="s">
        <v>74</v>
      </c>
      <c r="BA989" s="1" t="s">
        <v>74</v>
      </c>
      <c r="BB989" s="1">
        <v>539.0</v>
      </c>
      <c r="BC989" s="1">
        <v>540.0</v>
      </c>
      <c r="BD989" s="1" t="s">
        <v>74</v>
      </c>
      <c r="BE989" s="1" t="s">
        <v>74</v>
      </c>
      <c r="BF989" s="1" t="s">
        <v>74</v>
      </c>
      <c r="BG989" s="1" t="s">
        <v>74</v>
      </c>
      <c r="BH989" s="1" t="s">
        <v>74</v>
      </c>
      <c r="BI989" s="1" t="s">
        <v>74</v>
      </c>
      <c r="BJ989" s="1" t="s">
        <v>74</v>
      </c>
      <c r="BK989" s="1" t="s">
        <v>74</v>
      </c>
      <c r="BL989" s="1" t="s">
        <v>74</v>
      </c>
      <c r="BM989" s="1" t="s">
        <v>74</v>
      </c>
      <c r="BN989" s="1">
        <v>2.1279292E7</v>
      </c>
      <c r="BO989" s="1" t="s">
        <v>74</v>
      </c>
      <c r="BP989" s="1" t="s">
        <v>74</v>
      </c>
      <c r="BQ989" s="1" t="s">
        <v>74</v>
      </c>
      <c r="BR989" s="1" t="s">
        <v>74</v>
      </c>
      <c r="BS989" s="1" t="s">
        <v>8233</v>
      </c>
      <c r="BT989" s="1" t="str">
        <f>HYPERLINK("https%3A%2F%2Fwww.webofscience.com%2Fwos%2Fwoscc%2Ffull-record%2FWOS:000285367000008","View Full Record in Web of Science")</f>
        <v>View Full Record in Web of Science</v>
      </c>
    </row>
    <row r="990" ht="12.75" customHeight="1">
      <c r="A990" s="1" t="s">
        <v>72</v>
      </c>
      <c r="B990" s="1" t="s">
        <v>8234</v>
      </c>
      <c r="C990" s="1" t="s">
        <v>74</v>
      </c>
      <c r="D990" s="1" t="s">
        <v>74</v>
      </c>
      <c r="E990" s="1" t="s">
        <v>74</v>
      </c>
      <c r="F990" s="1" t="s">
        <v>8235</v>
      </c>
      <c r="G990" s="1" t="s">
        <v>74</v>
      </c>
      <c r="H990" s="1" t="s">
        <v>74</v>
      </c>
      <c r="I990" s="1" t="s">
        <v>8236</v>
      </c>
      <c r="J990" s="1" t="s">
        <v>8237</v>
      </c>
      <c r="K990" s="1" t="s">
        <v>74</v>
      </c>
      <c r="L990" s="1" t="s">
        <v>74</v>
      </c>
      <c r="M990" s="1" t="s">
        <v>74</v>
      </c>
      <c r="N990" s="1" t="s">
        <v>74</v>
      </c>
      <c r="O990" s="1" t="s">
        <v>74</v>
      </c>
      <c r="P990" s="1" t="s">
        <v>74</v>
      </c>
      <c r="Q990" s="1" t="s">
        <v>74</v>
      </c>
      <c r="R990" s="1" t="s">
        <v>74</v>
      </c>
      <c r="S990" s="1" t="s">
        <v>74</v>
      </c>
      <c r="T990" s="1" t="s">
        <v>74</v>
      </c>
      <c r="U990" s="1" t="s">
        <v>74</v>
      </c>
      <c r="V990" s="1" t="s">
        <v>8238</v>
      </c>
      <c r="W990" s="1" t="s">
        <v>74</v>
      </c>
      <c r="X990" s="1" t="s">
        <v>74</v>
      </c>
      <c r="Y990" s="1" t="s">
        <v>74</v>
      </c>
      <c r="Z990" s="1" t="s">
        <v>74</v>
      </c>
      <c r="AA990" s="1" t="s">
        <v>8239</v>
      </c>
      <c r="AB990" s="1" t="s">
        <v>8240</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8241</v>
      </c>
      <c r="AP990" s="1" t="s">
        <v>8242</v>
      </c>
      <c r="AQ990" s="1" t="s">
        <v>74</v>
      </c>
      <c r="AR990" s="1" t="s">
        <v>74</v>
      </c>
      <c r="AS990" s="1" t="s">
        <v>74</v>
      </c>
      <c r="AT990" s="1" t="s">
        <v>123</v>
      </c>
      <c r="AU990" s="1">
        <v>2010.0</v>
      </c>
      <c r="AV990" s="1">
        <v>26.0</v>
      </c>
      <c r="AW990" s="1">
        <v>1.0</v>
      </c>
      <c r="AX990" s="1" t="s">
        <v>74</v>
      </c>
      <c r="AY990" s="1" t="s">
        <v>74</v>
      </c>
      <c r="AZ990" s="1" t="s">
        <v>74</v>
      </c>
      <c r="BA990" s="1" t="s">
        <v>74</v>
      </c>
      <c r="BB990" s="1">
        <v>225.0</v>
      </c>
      <c r="BC990" s="1">
        <v>249.0</v>
      </c>
      <c r="BD990" s="1" t="s">
        <v>74</v>
      </c>
      <c r="BE990" s="1" t="s">
        <v>8243</v>
      </c>
      <c r="BF990" s="2" t="str">
        <f>HYPERLINK("http://dx.doi.org/10.3934/dcds.2009.26.225","http://dx.doi.org/10.3934/dcds.2009.26.225")</f>
        <v>http://dx.doi.org/10.3934/dcds.2009.26.225</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8244</v>
      </c>
      <c r="BT990" s="1" t="str">
        <f>HYPERLINK("https%3A%2F%2Fwww.webofscience.com%2Fwos%2Fwoscc%2Ffull-record%2FWOS:000271091300010","View Full Record in Web of Science")</f>
        <v>View Full Record in Web of Science</v>
      </c>
    </row>
    <row r="991" ht="12.75" customHeight="1">
      <c r="A991" s="1" t="s">
        <v>72</v>
      </c>
      <c r="B991" s="1" t="s">
        <v>7793</v>
      </c>
      <c r="C991" s="1" t="s">
        <v>74</v>
      </c>
      <c r="D991" s="1" t="s">
        <v>74</v>
      </c>
      <c r="E991" s="1" t="s">
        <v>74</v>
      </c>
      <c r="F991" s="1" t="s">
        <v>7793</v>
      </c>
      <c r="G991" s="1" t="s">
        <v>74</v>
      </c>
      <c r="H991" s="1" t="s">
        <v>74</v>
      </c>
      <c r="I991" s="1" t="s">
        <v>8245</v>
      </c>
      <c r="J991" s="1" t="s">
        <v>574</v>
      </c>
      <c r="K991" s="1" t="s">
        <v>74</v>
      </c>
      <c r="L991" s="1" t="s">
        <v>74</v>
      </c>
      <c r="M991" s="1" t="s">
        <v>74</v>
      </c>
      <c r="N991" s="1" t="s">
        <v>74</v>
      </c>
      <c r="O991" s="1" t="s">
        <v>74</v>
      </c>
      <c r="P991" s="1" t="s">
        <v>74</v>
      </c>
      <c r="Q991" s="1" t="s">
        <v>74</v>
      </c>
      <c r="R991" s="1" t="s">
        <v>74</v>
      </c>
      <c r="S991" s="1" t="s">
        <v>74</v>
      </c>
      <c r="T991" s="1" t="s">
        <v>74</v>
      </c>
      <c r="U991" s="1" t="s">
        <v>74</v>
      </c>
      <c r="V991" s="1" t="s">
        <v>8246</v>
      </c>
      <c r="W991" s="1" t="s">
        <v>74</v>
      </c>
      <c r="X991" s="1" t="s">
        <v>74</v>
      </c>
      <c r="Y991" s="1" t="s">
        <v>74</v>
      </c>
      <c r="Z991" s="1" t="s">
        <v>74</v>
      </c>
      <c r="AA991" s="1" t="s">
        <v>74</v>
      </c>
      <c r="AB991" s="1" t="s">
        <v>74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1748</v>
      </c>
      <c r="AP991" s="1" t="s">
        <v>1749</v>
      </c>
      <c r="AQ991" s="1" t="s">
        <v>74</v>
      </c>
      <c r="AR991" s="1" t="s">
        <v>74</v>
      </c>
      <c r="AS991" s="1" t="s">
        <v>74</v>
      </c>
      <c r="AT991" s="1" t="s">
        <v>5214</v>
      </c>
      <c r="AU991" s="1">
        <v>1997.0</v>
      </c>
      <c r="AV991" s="1">
        <v>55.0</v>
      </c>
      <c r="AW991" s="1">
        <v>4.0</v>
      </c>
      <c r="AX991" s="1" t="s">
        <v>74</v>
      </c>
      <c r="AY991" s="1" t="s">
        <v>74</v>
      </c>
      <c r="AZ991" s="1" t="s">
        <v>74</v>
      </c>
      <c r="BA991" s="1" t="s">
        <v>74</v>
      </c>
      <c r="BB991" s="1">
        <v>2051.0</v>
      </c>
      <c r="BC991" s="1">
        <v>2058.0</v>
      </c>
      <c r="BD991" s="1" t="s">
        <v>74</v>
      </c>
      <c r="BE991" s="1" t="s">
        <v>8247</v>
      </c>
      <c r="BF991" s="2" t="str">
        <f>HYPERLINK("http://dx.doi.org/10.1103/PhysRevD.55.2051","http://dx.doi.org/10.1103/PhysRevD.55.2051")</f>
        <v>http://dx.doi.org/10.1103/PhysRevD.55.2051</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8248</v>
      </c>
      <c r="BT991" s="1" t="str">
        <f>HYPERLINK("https%3A%2F%2Fwww.webofscience.com%2Fwos%2Fwoscc%2Ffull-record%2FWOS:A1997WK49100037","View Full Record in Web of Science")</f>
        <v>View Full Record in Web of Science</v>
      </c>
    </row>
    <row r="992" ht="12.75" customHeight="1">
      <c r="A992" s="1" t="s">
        <v>72</v>
      </c>
      <c r="B992" s="1" t="s">
        <v>8249</v>
      </c>
      <c r="C992" s="1" t="s">
        <v>74</v>
      </c>
      <c r="D992" s="1" t="s">
        <v>74</v>
      </c>
      <c r="E992" s="1" t="s">
        <v>74</v>
      </c>
      <c r="F992" s="1" t="s">
        <v>8250</v>
      </c>
      <c r="G992" s="1" t="s">
        <v>74</v>
      </c>
      <c r="H992" s="1" t="s">
        <v>74</v>
      </c>
      <c r="I992" s="1" t="s">
        <v>8251</v>
      </c>
      <c r="J992" s="1" t="s">
        <v>557</v>
      </c>
      <c r="K992" s="1" t="s">
        <v>74</v>
      </c>
      <c r="L992" s="1" t="s">
        <v>74</v>
      </c>
      <c r="M992" s="1" t="s">
        <v>74</v>
      </c>
      <c r="N992" s="1" t="s">
        <v>74</v>
      </c>
      <c r="O992" s="1" t="s">
        <v>74</v>
      </c>
      <c r="P992" s="1" t="s">
        <v>74</v>
      </c>
      <c r="Q992" s="1" t="s">
        <v>74</v>
      </c>
      <c r="R992" s="1" t="s">
        <v>74</v>
      </c>
      <c r="S992" s="1" t="s">
        <v>74</v>
      </c>
      <c r="T992" s="1" t="s">
        <v>74</v>
      </c>
      <c r="U992" s="1" t="s">
        <v>74</v>
      </c>
      <c r="V992" s="1" t="s">
        <v>8252</v>
      </c>
      <c r="W992" s="1" t="s">
        <v>74</v>
      </c>
      <c r="X992" s="1" t="s">
        <v>74</v>
      </c>
      <c r="Y992" s="1" t="s">
        <v>74</v>
      </c>
      <c r="Z992" s="1" t="s">
        <v>74</v>
      </c>
      <c r="AA992" s="1" t="s">
        <v>390</v>
      </c>
      <c r="AB992" s="1" t="s">
        <v>391</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559</v>
      </c>
      <c r="AP992" s="1" t="s">
        <v>560</v>
      </c>
      <c r="AQ992" s="1" t="s">
        <v>74</v>
      </c>
      <c r="AR992" s="1" t="s">
        <v>74</v>
      </c>
      <c r="AS992" s="1" t="s">
        <v>74</v>
      </c>
      <c r="AT992" s="1" t="s">
        <v>8253</v>
      </c>
      <c r="AU992" s="1">
        <v>2025.0</v>
      </c>
      <c r="AV992" s="1" t="s">
        <v>74</v>
      </c>
      <c r="AW992" s="1" t="s">
        <v>74</v>
      </c>
      <c r="AX992" s="1" t="s">
        <v>74</v>
      </c>
      <c r="AY992" s="1" t="s">
        <v>74</v>
      </c>
      <c r="AZ992" s="1" t="s">
        <v>74</v>
      </c>
      <c r="BA992" s="1" t="s">
        <v>74</v>
      </c>
      <c r="BB992" s="1" t="s">
        <v>74</v>
      </c>
      <c r="BC992" s="1" t="s">
        <v>74</v>
      </c>
      <c r="BD992" s="1" t="s">
        <v>74</v>
      </c>
      <c r="BE992" s="1" t="s">
        <v>8254</v>
      </c>
      <c r="BF992" s="2" t="str">
        <f>HYPERLINK("http://dx.doi.org/10.1017/prm.2024.134","http://dx.doi.org/10.1017/prm.2024.134")</f>
        <v>http://dx.doi.org/10.1017/prm.2024.134</v>
      </c>
      <c r="BG992" s="1" t="s">
        <v>74</v>
      </c>
      <c r="BH992" s="1" t="s">
        <v>1782</v>
      </c>
      <c r="BI992" s="1" t="s">
        <v>74</v>
      </c>
      <c r="BJ992" s="1" t="s">
        <v>74</v>
      </c>
      <c r="BK992" s="1" t="s">
        <v>74</v>
      </c>
      <c r="BL992" s="1" t="s">
        <v>74</v>
      </c>
      <c r="BM992" s="1" t="s">
        <v>74</v>
      </c>
      <c r="BN992" s="1" t="s">
        <v>74</v>
      </c>
      <c r="BO992" s="1" t="s">
        <v>74</v>
      </c>
      <c r="BP992" s="1" t="s">
        <v>74</v>
      </c>
      <c r="BQ992" s="1" t="s">
        <v>74</v>
      </c>
      <c r="BR992" s="1" t="s">
        <v>74</v>
      </c>
      <c r="BS992" s="1" t="s">
        <v>8255</v>
      </c>
      <c r="BT992" s="1" t="str">
        <f>HYPERLINK("https%3A%2F%2Fwww.webofscience.com%2Fwos%2Fwoscc%2Ffull-record%2FWOS:001395419500001","View Full Record in Web of Science")</f>
        <v>View Full Record in Web of Science</v>
      </c>
    </row>
    <row r="993" ht="12.75" customHeight="1">
      <c r="A993" s="1" t="s">
        <v>72</v>
      </c>
      <c r="B993" s="1" t="s">
        <v>8256</v>
      </c>
      <c r="C993" s="1" t="s">
        <v>74</v>
      </c>
      <c r="D993" s="1" t="s">
        <v>74</v>
      </c>
      <c r="E993" s="1" t="s">
        <v>74</v>
      </c>
      <c r="F993" s="1" t="s">
        <v>8257</v>
      </c>
      <c r="G993" s="1" t="s">
        <v>74</v>
      </c>
      <c r="H993" s="1" t="s">
        <v>74</v>
      </c>
      <c r="I993" s="1" t="s">
        <v>8258</v>
      </c>
      <c r="J993" s="1" t="s">
        <v>3650</v>
      </c>
      <c r="K993" s="1" t="s">
        <v>74</v>
      </c>
      <c r="L993" s="1" t="s">
        <v>74</v>
      </c>
      <c r="M993" s="1" t="s">
        <v>74</v>
      </c>
      <c r="N993" s="1" t="s">
        <v>74</v>
      </c>
      <c r="O993" s="1" t="s">
        <v>74</v>
      </c>
      <c r="P993" s="1" t="s">
        <v>74</v>
      </c>
      <c r="Q993" s="1" t="s">
        <v>74</v>
      </c>
      <c r="R993" s="1" t="s">
        <v>74</v>
      </c>
      <c r="S993" s="1" t="s">
        <v>74</v>
      </c>
      <c r="T993" s="1" t="s">
        <v>74</v>
      </c>
      <c r="U993" s="1" t="s">
        <v>74</v>
      </c>
      <c r="V993" s="1" t="s">
        <v>8259</v>
      </c>
      <c r="W993" s="1" t="s">
        <v>74</v>
      </c>
      <c r="X993" s="1" t="s">
        <v>74</v>
      </c>
      <c r="Y993" s="1" t="s">
        <v>74</v>
      </c>
      <c r="Z993" s="1" t="s">
        <v>74</v>
      </c>
      <c r="AA993" s="1" t="s">
        <v>8260</v>
      </c>
      <c r="AB993" s="1" t="s">
        <v>74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3651</v>
      </c>
      <c r="AP993" s="1" t="s">
        <v>3652</v>
      </c>
      <c r="AQ993" s="1" t="s">
        <v>74</v>
      </c>
      <c r="AR993" s="1" t="s">
        <v>74</v>
      </c>
      <c r="AS993" s="1" t="s">
        <v>74</v>
      </c>
      <c r="AT993" s="1" t="s">
        <v>74</v>
      </c>
      <c r="AU993" s="1">
        <v>2024.0</v>
      </c>
      <c r="AV993" s="1">
        <v>24.0</v>
      </c>
      <c r="AW993" s="1" t="s">
        <v>74</v>
      </c>
      <c r="AX993" s="1" t="s">
        <v>74</v>
      </c>
      <c r="AY993" s="1" t="s">
        <v>74</v>
      </c>
      <c r="AZ993" s="1" t="s">
        <v>74</v>
      </c>
      <c r="BA993" s="1" t="s">
        <v>74</v>
      </c>
      <c r="BB993" s="1" t="s">
        <v>74</v>
      </c>
      <c r="BC993" s="1" t="s">
        <v>74</v>
      </c>
      <c r="BD993" s="1">
        <v>1147.0</v>
      </c>
      <c r="BE993" s="1" t="s">
        <v>8261</v>
      </c>
      <c r="BF993" s="2" t="str">
        <f>HYPERLINK("http://dx.doi.org/10.61303/07190948.v24i.1147","http://dx.doi.org/10.61303/07190948.v24i.1147")</f>
        <v>http://dx.doi.org/10.61303/07190948.v24i.1147</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8262</v>
      </c>
      <c r="BT993" s="1" t="str">
        <f>HYPERLINK("https%3A%2F%2Fwww.webofscience.com%2Fwos%2Fwoscc%2Ffull-record%2FWOS:001334779200002","View Full Record in Web of Science")</f>
        <v>View Full Record in Web of Science</v>
      </c>
    </row>
    <row r="994" ht="12.75" customHeight="1">
      <c r="A994" s="1" t="s">
        <v>72</v>
      </c>
      <c r="B994" s="1" t="s">
        <v>8263</v>
      </c>
      <c r="C994" s="1" t="s">
        <v>74</v>
      </c>
      <c r="D994" s="1" t="s">
        <v>74</v>
      </c>
      <c r="E994" s="1" t="s">
        <v>74</v>
      </c>
      <c r="F994" s="1" t="s">
        <v>8264</v>
      </c>
      <c r="G994" s="1" t="s">
        <v>74</v>
      </c>
      <c r="H994" s="1" t="s">
        <v>74</v>
      </c>
      <c r="I994" s="1" t="s">
        <v>8265</v>
      </c>
      <c r="J994" s="1" t="s">
        <v>1053</v>
      </c>
      <c r="K994" s="1" t="s">
        <v>74</v>
      </c>
      <c r="L994" s="1" t="s">
        <v>74</v>
      </c>
      <c r="M994" s="1" t="s">
        <v>74</v>
      </c>
      <c r="N994" s="1" t="s">
        <v>74</v>
      </c>
      <c r="O994" s="1" t="s">
        <v>74</v>
      </c>
      <c r="P994" s="1" t="s">
        <v>74</v>
      </c>
      <c r="Q994" s="1" t="s">
        <v>74</v>
      </c>
      <c r="R994" s="1" t="s">
        <v>74</v>
      </c>
      <c r="S994" s="1" t="s">
        <v>74</v>
      </c>
      <c r="T994" s="1" t="s">
        <v>74</v>
      </c>
      <c r="U994" s="1" t="s">
        <v>74</v>
      </c>
      <c r="V994" s="1" t="s">
        <v>8266</v>
      </c>
      <c r="W994" s="1" t="s">
        <v>74</v>
      </c>
      <c r="X994" s="1" t="s">
        <v>74</v>
      </c>
      <c r="Y994" s="1" t="s">
        <v>74</v>
      </c>
      <c r="Z994" s="1" t="s">
        <v>74</v>
      </c>
      <c r="AA994" s="1" t="s">
        <v>74</v>
      </c>
      <c r="AB994" s="1" t="s">
        <v>74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1054</v>
      </c>
      <c r="AP994" s="1" t="s">
        <v>1055</v>
      </c>
      <c r="AQ994" s="1" t="s">
        <v>74</v>
      </c>
      <c r="AR994" s="1" t="s">
        <v>74</v>
      </c>
      <c r="AS994" s="1" t="s">
        <v>74</v>
      </c>
      <c r="AT994" s="1" t="s">
        <v>382</v>
      </c>
      <c r="AU994" s="1">
        <v>2022.0</v>
      </c>
      <c r="AV994" s="1">
        <v>45.0</v>
      </c>
      <c r="AW994" s="1">
        <v>1.0</v>
      </c>
      <c r="AX994" s="1" t="s">
        <v>74</v>
      </c>
      <c r="AY994" s="1" t="s">
        <v>74</v>
      </c>
      <c r="AZ994" s="1" t="s">
        <v>74</v>
      </c>
      <c r="BA994" s="1" t="s">
        <v>74</v>
      </c>
      <c r="BB994" s="1">
        <v>347.0</v>
      </c>
      <c r="BC994" s="1">
        <v>373.0</v>
      </c>
      <c r="BD994" s="1" t="s">
        <v>74</v>
      </c>
      <c r="BE994" s="1" t="s">
        <v>8267</v>
      </c>
      <c r="BF994" s="2" t="str">
        <f>HYPERLINK("http://dx.doi.org/10.15446/rcs.v45n1.90224","http://dx.doi.org/10.15446/rcs.v45n1.90224")</f>
        <v>http://dx.doi.org/10.15446/rcs.v45n1.90224</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8268</v>
      </c>
      <c r="BT994" s="1" t="str">
        <f>HYPERLINK("https%3A%2F%2Fwww.webofscience.com%2Fwos%2Fwoscc%2Ffull-record%2FWOS:000745658900015","View Full Record in Web of Science")</f>
        <v>View Full Record in Web of Science</v>
      </c>
    </row>
    <row r="995" ht="12.75" customHeight="1">
      <c r="A995" s="1" t="s">
        <v>72</v>
      </c>
      <c r="B995" s="1" t="s">
        <v>8269</v>
      </c>
      <c r="C995" s="1" t="s">
        <v>74</v>
      </c>
      <c r="D995" s="1" t="s">
        <v>74</v>
      </c>
      <c r="E995" s="1" t="s">
        <v>74</v>
      </c>
      <c r="F995" s="1" t="s">
        <v>8270</v>
      </c>
      <c r="G995" s="1" t="s">
        <v>74</v>
      </c>
      <c r="H995" s="1" t="s">
        <v>74</v>
      </c>
      <c r="I995" s="1" t="s">
        <v>8271</v>
      </c>
      <c r="J995" s="1" t="s">
        <v>816</v>
      </c>
      <c r="K995" s="1" t="s">
        <v>74</v>
      </c>
      <c r="L995" s="1" t="s">
        <v>74</v>
      </c>
      <c r="M995" s="1" t="s">
        <v>74</v>
      </c>
      <c r="N995" s="1" t="s">
        <v>74</v>
      </c>
      <c r="O995" s="1" t="s">
        <v>74</v>
      </c>
      <c r="P995" s="1" t="s">
        <v>74</v>
      </c>
      <c r="Q995" s="1" t="s">
        <v>74</v>
      </c>
      <c r="R995" s="1" t="s">
        <v>74</v>
      </c>
      <c r="S995" s="1" t="s">
        <v>74</v>
      </c>
      <c r="T995" s="1" t="s">
        <v>74</v>
      </c>
      <c r="U995" s="1" t="s">
        <v>74</v>
      </c>
      <c r="V995" s="1" t="s">
        <v>8272</v>
      </c>
      <c r="W995" s="1" t="s">
        <v>74</v>
      </c>
      <c r="X995" s="1" t="s">
        <v>74</v>
      </c>
      <c r="Y995" s="1" t="s">
        <v>74</v>
      </c>
      <c r="Z995" s="1" t="s">
        <v>74</v>
      </c>
      <c r="AA995" s="1" t="s">
        <v>74</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817</v>
      </c>
      <c r="AP995" s="1" t="s">
        <v>994</v>
      </c>
      <c r="AQ995" s="1" t="s">
        <v>74</v>
      </c>
      <c r="AR995" s="1" t="s">
        <v>74</v>
      </c>
      <c r="AS995" s="1" t="s">
        <v>74</v>
      </c>
      <c r="AT995" s="1" t="s">
        <v>123</v>
      </c>
      <c r="AU995" s="1">
        <v>2022.0</v>
      </c>
      <c r="AV995" s="1">
        <v>150.0</v>
      </c>
      <c r="AW995" s="1">
        <v>1.0</v>
      </c>
      <c r="AX995" s="1" t="s">
        <v>74</v>
      </c>
      <c r="AY995" s="1" t="s">
        <v>74</v>
      </c>
      <c r="AZ995" s="1" t="s">
        <v>74</v>
      </c>
      <c r="BA995" s="1" t="s">
        <v>74</v>
      </c>
      <c r="BB995" s="1">
        <v>88.0</v>
      </c>
      <c r="BC995" s="1">
        <v>92.0</v>
      </c>
      <c r="BD995" s="1" t="s">
        <v>74</v>
      </c>
      <c r="BE995" s="1" t="s">
        <v>74</v>
      </c>
      <c r="BF995" s="1" t="s">
        <v>74</v>
      </c>
      <c r="BG995" s="1" t="s">
        <v>74</v>
      </c>
      <c r="BH995" s="1" t="s">
        <v>74</v>
      </c>
      <c r="BI995" s="1" t="s">
        <v>74</v>
      </c>
      <c r="BJ995" s="1" t="s">
        <v>74</v>
      </c>
      <c r="BK995" s="1" t="s">
        <v>74</v>
      </c>
      <c r="BL995" s="1" t="s">
        <v>74</v>
      </c>
      <c r="BM995" s="1" t="s">
        <v>74</v>
      </c>
      <c r="BN995" s="1">
        <v>3.5856969E7</v>
      </c>
      <c r="BO995" s="1" t="s">
        <v>74</v>
      </c>
      <c r="BP995" s="1" t="s">
        <v>74</v>
      </c>
      <c r="BQ995" s="1" t="s">
        <v>74</v>
      </c>
      <c r="BR995" s="1" t="s">
        <v>74</v>
      </c>
      <c r="BS995" s="1" t="s">
        <v>8273</v>
      </c>
      <c r="BT995" s="1" t="str">
        <f>HYPERLINK("https%3A%2F%2Fwww.webofscience.com%2Fwos%2Fwoscc%2Ffull-record%2FWOS:000827225300010","View Full Record in Web of Science")</f>
        <v>View Full Record in Web of Science</v>
      </c>
    </row>
    <row r="996" ht="12.75" customHeight="1">
      <c r="A996" s="1" t="s">
        <v>72</v>
      </c>
      <c r="B996" s="1" t="s">
        <v>8274</v>
      </c>
      <c r="C996" s="1" t="s">
        <v>74</v>
      </c>
      <c r="D996" s="1" t="s">
        <v>74</v>
      </c>
      <c r="E996" s="1" t="s">
        <v>74</v>
      </c>
      <c r="F996" s="1" t="s">
        <v>8275</v>
      </c>
      <c r="G996" s="1" t="s">
        <v>74</v>
      </c>
      <c r="H996" s="1" t="s">
        <v>74</v>
      </c>
      <c r="I996" s="1" t="s">
        <v>8276</v>
      </c>
      <c r="J996" s="1" t="s">
        <v>8277</v>
      </c>
      <c r="K996" s="1" t="s">
        <v>74</v>
      </c>
      <c r="L996" s="1" t="s">
        <v>74</v>
      </c>
      <c r="M996" s="1" t="s">
        <v>74</v>
      </c>
      <c r="N996" s="1" t="s">
        <v>74</v>
      </c>
      <c r="O996" s="1" t="s">
        <v>74</v>
      </c>
      <c r="P996" s="1" t="s">
        <v>74</v>
      </c>
      <c r="Q996" s="1" t="s">
        <v>74</v>
      </c>
      <c r="R996" s="1" t="s">
        <v>74</v>
      </c>
      <c r="S996" s="1" t="s">
        <v>74</v>
      </c>
      <c r="T996" s="1" t="s">
        <v>74</v>
      </c>
      <c r="U996" s="1" t="s">
        <v>74</v>
      </c>
      <c r="V996" s="1" t="s">
        <v>8278</v>
      </c>
      <c r="W996" s="1" t="s">
        <v>74</v>
      </c>
      <c r="X996" s="1" t="s">
        <v>74</v>
      </c>
      <c r="Y996" s="1" t="s">
        <v>74</v>
      </c>
      <c r="Z996" s="1" t="s">
        <v>74</v>
      </c>
      <c r="AA996" s="1" t="s">
        <v>8279</v>
      </c>
      <c r="AB996" s="1" t="s">
        <v>4293</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8280</v>
      </c>
      <c r="AP996" s="1" t="s">
        <v>8281</v>
      </c>
      <c r="AQ996" s="1" t="s">
        <v>74</v>
      </c>
      <c r="AR996" s="1" t="s">
        <v>74</v>
      </c>
      <c r="AS996" s="1" t="s">
        <v>74</v>
      </c>
      <c r="AT996" s="1" t="s">
        <v>3700</v>
      </c>
      <c r="AU996" s="1">
        <v>2022.0</v>
      </c>
      <c r="AV996" s="1">
        <v>34.0</v>
      </c>
      <c r="AW996" s="1">
        <v>1.0</v>
      </c>
      <c r="AX996" s="1" t="s">
        <v>74</v>
      </c>
      <c r="AY996" s="1" t="s">
        <v>74</v>
      </c>
      <c r="AZ996" s="1" t="s">
        <v>74</v>
      </c>
      <c r="BA996" s="1" t="s">
        <v>74</v>
      </c>
      <c r="BB996" s="1">
        <v>70.0</v>
      </c>
      <c r="BC996" s="1">
        <v>84.0</v>
      </c>
      <c r="BD996" s="1" t="s">
        <v>74</v>
      </c>
      <c r="BE996" s="1" t="s">
        <v>8282</v>
      </c>
      <c r="BF996" s="2" t="str">
        <f>HYPERLINK("http://dx.doi.org/10.1080/10429247.2020.1840877","http://dx.doi.org/10.1080/10429247.2020.1840877")</f>
        <v>http://dx.doi.org/10.1080/10429247.2020.1840877</v>
      </c>
      <c r="BG996" s="1" t="s">
        <v>74</v>
      </c>
      <c r="BH996" s="1" t="s">
        <v>5745</v>
      </c>
      <c r="BI996" s="1" t="s">
        <v>74</v>
      </c>
      <c r="BJ996" s="1" t="s">
        <v>74</v>
      </c>
      <c r="BK996" s="1" t="s">
        <v>74</v>
      </c>
      <c r="BL996" s="1" t="s">
        <v>74</v>
      </c>
      <c r="BM996" s="1" t="s">
        <v>74</v>
      </c>
      <c r="BN996" s="1" t="s">
        <v>74</v>
      </c>
      <c r="BO996" s="1" t="s">
        <v>74</v>
      </c>
      <c r="BP996" s="1" t="s">
        <v>74</v>
      </c>
      <c r="BQ996" s="1" t="s">
        <v>74</v>
      </c>
      <c r="BR996" s="1" t="s">
        <v>74</v>
      </c>
      <c r="BS996" s="1" t="s">
        <v>8283</v>
      </c>
      <c r="BT996" s="1" t="str">
        <f>HYPERLINK("https%3A%2F%2Fwww.webofscience.com%2Fwos%2Fwoscc%2Ffull-record%2FWOS:000613784100001","View Full Record in Web of Science")</f>
        <v>View Full Record in Web of Science</v>
      </c>
    </row>
    <row r="997" ht="12.75" customHeight="1">
      <c r="A997" s="1" t="s">
        <v>126</v>
      </c>
      <c r="B997" s="1" t="s">
        <v>8284</v>
      </c>
      <c r="C997" s="1" t="s">
        <v>74</v>
      </c>
      <c r="D997" s="1" t="s">
        <v>74</v>
      </c>
      <c r="E997" s="1" t="s">
        <v>128</v>
      </c>
      <c r="F997" s="1" t="s">
        <v>8285</v>
      </c>
      <c r="G997" s="1" t="s">
        <v>74</v>
      </c>
      <c r="H997" s="1" t="s">
        <v>74</v>
      </c>
      <c r="I997" s="1" t="s">
        <v>8286</v>
      </c>
      <c r="J997" s="1" t="s">
        <v>8287</v>
      </c>
      <c r="K997" s="1" t="s">
        <v>74</v>
      </c>
      <c r="L997" s="1" t="s">
        <v>74</v>
      </c>
      <c r="M997" s="1" t="s">
        <v>74</v>
      </c>
      <c r="N997" s="1" t="s">
        <v>74</v>
      </c>
      <c r="O997" s="1" t="s">
        <v>8288</v>
      </c>
      <c r="P997" s="1" t="s">
        <v>8289</v>
      </c>
      <c r="Q997" s="1" t="s">
        <v>1073</v>
      </c>
      <c r="R997" s="1" t="s">
        <v>8290</v>
      </c>
      <c r="S997" s="1" t="s">
        <v>74</v>
      </c>
      <c r="T997" s="1" t="s">
        <v>74</v>
      </c>
      <c r="U997" s="1" t="s">
        <v>74</v>
      </c>
      <c r="V997" s="1" t="s">
        <v>8291</v>
      </c>
      <c r="W997" s="1" t="s">
        <v>74</v>
      </c>
      <c r="X997" s="1" t="s">
        <v>74</v>
      </c>
      <c r="Y997" s="1" t="s">
        <v>74</v>
      </c>
      <c r="Z997" s="1" t="s">
        <v>74</v>
      </c>
      <c r="AA997" s="1" t="s">
        <v>74</v>
      </c>
      <c r="AB997" s="1" t="s">
        <v>5001</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74</v>
      </c>
      <c r="AP997" s="1" t="s">
        <v>74</v>
      </c>
      <c r="AQ997" s="1" t="s">
        <v>8292</v>
      </c>
      <c r="AR997" s="1" t="s">
        <v>74</v>
      </c>
      <c r="AS997" s="1" t="s">
        <v>74</v>
      </c>
      <c r="AT997" s="1" t="s">
        <v>74</v>
      </c>
      <c r="AU997" s="1">
        <v>2021.0</v>
      </c>
      <c r="AV997" s="1" t="s">
        <v>74</v>
      </c>
      <c r="AW997" s="1" t="s">
        <v>74</v>
      </c>
      <c r="AX997" s="1" t="s">
        <v>74</v>
      </c>
      <c r="AY997" s="1" t="s">
        <v>74</v>
      </c>
      <c r="AZ997" s="1" t="s">
        <v>74</v>
      </c>
      <c r="BA997" s="1" t="s">
        <v>74</v>
      </c>
      <c r="BB997" s="1">
        <v>254.0</v>
      </c>
      <c r="BC997" s="1">
        <v>259.0</v>
      </c>
      <c r="BD997" s="1" t="s">
        <v>74</v>
      </c>
      <c r="BE997" s="1" t="s">
        <v>8293</v>
      </c>
      <c r="BF997" s="2" t="str">
        <f>HYPERLINK("http://dx.doi.org/10.1109/CHILECON54041.2021.9702939","http://dx.doi.org/10.1109/CHILECON54041.2021.9702939")</f>
        <v>http://dx.doi.org/10.1109/CHILECON54041.2021.9702939</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8294</v>
      </c>
      <c r="BT997" s="1" t="str">
        <f>HYPERLINK("https%3A%2F%2Fwww.webofscience.com%2Fwos%2Fwoscc%2Ffull-record%2FWOS:000788072700044","View Full Record in Web of Science")</f>
        <v>View Full Record in Web of Science</v>
      </c>
    </row>
    <row r="998" ht="12.75" customHeight="1">
      <c r="A998" s="1" t="s">
        <v>72</v>
      </c>
      <c r="B998" s="1" t="s">
        <v>8295</v>
      </c>
      <c r="C998" s="1" t="s">
        <v>74</v>
      </c>
      <c r="D998" s="1" t="s">
        <v>74</v>
      </c>
      <c r="E998" s="1" t="s">
        <v>74</v>
      </c>
      <c r="F998" s="1" t="s">
        <v>8296</v>
      </c>
      <c r="G998" s="1" t="s">
        <v>74</v>
      </c>
      <c r="H998" s="1" t="s">
        <v>74</v>
      </c>
      <c r="I998" s="1" t="s">
        <v>8297</v>
      </c>
      <c r="J998" s="1" t="s">
        <v>8298</v>
      </c>
      <c r="K998" s="1" t="s">
        <v>74</v>
      </c>
      <c r="L998" s="1" t="s">
        <v>74</v>
      </c>
      <c r="M998" s="1" t="s">
        <v>74</v>
      </c>
      <c r="N998" s="1" t="s">
        <v>74</v>
      </c>
      <c r="O998" s="1" t="s">
        <v>74</v>
      </c>
      <c r="P998" s="1" t="s">
        <v>74</v>
      </c>
      <c r="Q998" s="1" t="s">
        <v>74</v>
      </c>
      <c r="R998" s="1" t="s">
        <v>74</v>
      </c>
      <c r="S998" s="1" t="s">
        <v>74</v>
      </c>
      <c r="T998" s="1" t="s">
        <v>74</v>
      </c>
      <c r="U998" s="1" t="s">
        <v>74</v>
      </c>
      <c r="V998" s="1" t="s">
        <v>8299</v>
      </c>
      <c r="W998" s="1" t="s">
        <v>74</v>
      </c>
      <c r="X998" s="1" t="s">
        <v>74</v>
      </c>
      <c r="Y998" s="1" t="s">
        <v>74</v>
      </c>
      <c r="Z998" s="1" t="s">
        <v>74</v>
      </c>
      <c r="AA998" s="1" t="s">
        <v>8300</v>
      </c>
      <c r="AB998" s="1" t="s">
        <v>8301</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8302</v>
      </c>
      <c r="AP998" s="1" t="s">
        <v>74</v>
      </c>
      <c r="AQ998" s="1" t="s">
        <v>74</v>
      </c>
      <c r="AR998" s="1" t="s">
        <v>74</v>
      </c>
      <c r="AS998" s="1" t="s">
        <v>74</v>
      </c>
      <c r="AT998" s="1" t="s">
        <v>82</v>
      </c>
      <c r="AU998" s="1">
        <v>2019.0</v>
      </c>
      <c r="AV998" s="1">
        <v>37.0</v>
      </c>
      <c r="AW998" s="1" t="s">
        <v>74</v>
      </c>
      <c r="AX998" s="1" t="s">
        <v>74</v>
      </c>
      <c r="AY998" s="1" t="s">
        <v>74</v>
      </c>
      <c r="AZ998" s="1" t="s">
        <v>74</v>
      </c>
      <c r="BA998" s="1" t="s">
        <v>74</v>
      </c>
      <c r="BB998" s="1" t="s">
        <v>74</v>
      </c>
      <c r="BC998" s="1" t="s">
        <v>74</v>
      </c>
      <c r="BD998" s="1">
        <v>100879.0</v>
      </c>
      <c r="BE998" s="1" t="s">
        <v>8303</v>
      </c>
      <c r="BF998" s="2" t="str">
        <f>HYPERLINK("http://dx.doi.org/10.1016/j.phycom.2019.100879","http://dx.doi.org/10.1016/j.phycom.2019.100879")</f>
        <v>http://dx.doi.org/10.1016/j.phycom.2019.100879</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8304</v>
      </c>
      <c r="BT998" s="1" t="str">
        <f>HYPERLINK("https%3A%2F%2Fwww.webofscience.com%2Fwos%2Fwoscc%2Ffull-record%2FWOS:000498709000012","View Full Record in Web of Science")</f>
        <v>View Full Record in Web of Science</v>
      </c>
    </row>
    <row r="999" ht="12.75" customHeight="1">
      <c r="A999" s="1" t="s">
        <v>72</v>
      </c>
      <c r="B999" s="1" t="s">
        <v>8305</v>
      </c>
      <c r="C999" s="1" t="s">
        <v>74</v>
      </c>
      <c r="D999" s="1" t="s">
        <v>74</v>
      </c>
      <c r="E999" s="1" t="s">
        <v>74</v>
      </c>
      <c r="F999" s="1" t="s">
        <v>8306</v>
      </c>
      <c r="G999" s="1" t="s">
        <v>74</v>
      </c>
      <c r="H999" s="1" t="s">
        <v>74</v>
      </c>
      <c r="I999" s="1" t="s">
        <v>8307</v>
      </c>
      <c r="J999" s="1" t="s">
        <v>8308</v>
      </c>
      <c r="K999" s="1" t="s">
        <v>74</v>
      </c>
      <c r="L999" s="1" t="s">
        <v>74</v>
      </c>
      <c r="M999" s="1" t="s">
        <v>74</v>
      </c>
      <c r="N999" s="1" t="s">
        <v>74</v>
      </c>
      <c r="O999" s="1" t="s">
        <v>8309</v>
      </c>
      <c r="P999" s="1" t="s">
        <v>8310</v>
      </c>
      <c r="Q999" s="1" t="s">
        <v>7353</v>
      </c>
      <c r="R999" s="1" t="s">
        <v>8311</v>
      </c>
      <c r="S999" s="1" t="s">
        <v>74</v>
      </c>
      <c r="T999" s="1" t="s">
        <v>74</v>
      </c>
      <c r="U999" s="1" t="s">
        <v>74</v>
      </c>
      <c r="V999" s="1" t="s">
        <v>8312</v>
      </c>
      <c r="W999" s="1" t="s">
        <v>74</v>
      </c>
      <c r="X999" s="1" t="s">
        <v>74</v>
      </c>
      <c r="Y999" s="1" t="s">
        <v>74</v>
      </c>
      <c r="Z999" s="1" t="s">
        <v>74</v>
      </c>
      <c r="AA999" s="1" t="s">
        <v>74</v>
      </c>
      <c r="AB999" s="1" t="s">
        <v>74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8313</v>
      </c>
      <c r="AP999" s="1" t="s">
        <v>8314</v>
      </c>
      <c r="AQ999" s="1" t="s">
        <v>74</v>
      </c>
      <c r="AR999" s="1" t="s">
        <v>74</v>
      </c>
      <c r="AS999" s="1" t="s">
        <v>74</v>
      </c>
      <c r="AT999" s="1" t="s">
        <v>3700</v>
      </c>
      <c r="AU999" s="1">
        <v>2019.0</v>
      </c>
      <c r="AV999" s="1">
        <v>21.0</v>
      </c>
      <c r="AW999" s="1">
        <v>1.0</v>
      </c>
      <c r="AX999" s="1" t="s">
        <v>74</v>
      </c>
      <c r="AY999" s="1" t="s">
        <v>74</v>
      </c>
      <c r="AZ999" s="1" t="s">
        <v>159</v>
      </c>
      <c r="BA999" s="1" t="s">
        <v>74</v>
      </c>
      <c r="BB999" s="1">
        <v>14.0</v>
      </c>
      <c r="BC999" s="1">
        <v>18.0</v>
      </c>
      <c r="BD999" s="1" t="s">
        <v>74</v>
      </c>
      <c r="BE999" s="1" t="s">
        <v>8315</v>
      </c>
      <c r="BF999" s="2" t="str">
        <f>HYPERLINK("http://dx.doi.org/10.1080/15226514.2018.1523868","http://dx.doi.org/10.1080/15226514.2018.1523868")</f>
        <v>http://dx.doi.org/10.1080/15226514.2018.1523868</v>
      </c>
      <c r="BG999" s="1" t="s">
        <v>74</v>
      </c>
      <c r="BH999" s="1" t="s">
        <v>74</v>
      </c>
      <c r="BI999" s="1" t="s">
        <v>74</v>
      </c>
      <c r="BJ999" s="1" t="s">
        <v>74</v>
      </c>
      <c r="BK999" s="1" t="s">
        <v>74</v>
      </c>
      <c r="BL999" s="1" t="s">
        <v>74</v>
      </c>
      <c r="BM999" s="1" t="s">
        <v>74</v>
      </c>
      <c r="BN999" s="1">
        <v>3.0729812E7</v>
      </c>
      <c r="BO999" s="1" t="s">
        <v>74</v>
      </c>
      <c r="BP999" s="1" t="s">
        <v>74</v>
      </c>
      <c r="BQ999" s="1" t="s">
        <v>74</v>
      </c>
      <c r="BR999" s="1" t="s">
        <v>74</v>
      </c>
      <c r="BS999" s="1" t="s">
        <v>8316</v>
      </c>
      <c r="BT999" s="1" t="str">
        <f>HYPERLINK("https%3A%2F%2Fwww.webofscience.com%2Fwos%2Fwoscc%2Ffull-record%2FWOS:000461895900003","View Full Record in Web of Science")</f>
        <v>View Full Record in Web of Science</v>
      </c>
    </row>
    <row r="1000" ht="12.75" customHeight="1">
      <c r="A1000" s="1" t="s">
        <v>72</v>
      </c>
      <c r="B1000" s="1" t="s">
        <v>8317</v>
      </c>
      <c r="C1000" s="1" t="s">
        <v>74</v>
      </c>
      <c r="D1000" s="1" t="s">
        <v>74</v>
      </c>
      <c r="E1000" s="1" t="s">
        <v>74</v>
      </c>
      <c r="F1000" s="1" t="s">
        <v>8318</v>
      </c>
      <c r="G1000" s="1" t="s">
        <v>74</v>
      </c>
      <c r="H1000" s="1" t="s">
        <v>74</v>
      </c>
      <c r="I1000" s="1" t="s">
        <v>8319</v>
      </c>
      <c r="J1000" s="1" t="s">
        <v>8320</v>
      </c>
      <c r="K1000" s="1" t="s">
        <v>74</v>
      </c>
      <c r="L1000" s="1" t="s">
        <v>74</v>
      </c>
      <c r="M1000" s="1" t="s">
        <v>74</v>
      </c>
      <c r="N1000" s="1" t="s">
        <v>74</v>
      </c>
      <c r="O1000" s="1" t="s">
        <v>74</v>
      </c>
      <c r="P1000" s="1" t="s">
        <v>74</v>
      </c>
      <c r="Q1000" s="1" t="s">
        <v>74</v>
      </c>
      <c r="R1000" s="1" t="s">
        <v>74</v>
      </c>
      <c r="S1000" s="1" t="s">
        <v>74</v>
      </c>
      <c r="T1000" s="1" t="s">
        <v>74</v>
      </c>
      <c r="U1000" s="1" t="s">
        <v>74</v>
      </c>
      <c r="V1000" s="1" t="s">
        <v>8321</v>
      </c>
      <c r="W1000" s="1" t="s">
        <v>74</v>
      </c>
      <c r="X1000" s="1" t="s">
        <v>74</v>
      </c>
      <c r="Y1000" s="1" t="s">
        <v>74</v>
      </c>
      <c r="Z1000" s="1" t="s">
        <v>74</v>
      </c>
      <c r="AA1000" s="1" t="s">
        <v>8322</v>
      </c>
      <c r="AB1000" s="1" t="s">
        <v>8323</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8324</v>
      </c>
      <c r="AP1000" s="1" t="s">
        <v>74</v>
      </c>
      <c r="AQ1000" s="1" t="s">
        <v>74</v>
      </c>
      <c r="AR1000" s="1" t="s">
        <v>74</v>
      </c>
      <c r="AS1000" s="1" t="s">
        <v>74</v>
      </c>
      <c r="AT1000" s="1" t="s">
        <v>8325</v>
      </c>
      <c r="AU1000" s="1">
        <v>2018.0</v>
      </c>
      <c r="AV1000" s="1">
        <v>12.0</v>
      </c>
      <c r="AW1000" s="1" t="s">
        <v>74</v>
      </c>
      <c r="AX1000" s="1" t="s">
        <v>74</v>
      </c>
      <c r="AY1000" s="1" t="s">
        <v>74</v>
      </c>
      <c r="AZ1000" s="1" t="s">
        <v>74</v>
      </c>
      <c r="BA1000" s="1" t="s">
        <v>74</v>
      </c>
      <c r="BB1000" s="1" t="s">
        <v>74</v>
      </c>
      <c r="BC1000" s="1" t="s">
        <v>74</v>
      </c>
      <c r="BD1000" s="1">
        <v>194.0</v>
      </c>
      <c r="BE1000" s="1" t="s">
        <v>8326</v>
      </c>
      <c r="BF1000" s="2" t="str">
        <f>HYPERLINK("http://dx.doi.org/10.3389/fncel.2018.00194","http://dx.doi.org/10.3389/fncel.2018.00194")</f>
        <v>http://dx.doi.org/10.3389/fncel.2018.00194</v>
      </c>
      <c r="BG1000" s="1" t="s">
        <v>74</v>
      </c>
      <c r="BH1000" s="1" t="s">
        <v>74</v>
      </c>
      <c r="BI1000" s="1" t="s">
        <v>74</v>
      </c>
      <c r="BJ1000" s="1" t="s">
        <v>74</v>
      </c>
      <c r="BK1000" s="1" t="s">
        <v>74</v>
      </c>
      <c r="BL1000" s="1" t="s">
        <v>74</v>
      </c>
      <c r="BM1000" s="1" t="s">
        <v>74</v>
      </c>
      <c r="BN1000" s="1">
        <v>3.005269E7</v>
      </c>
      <c r="BO1000" s="1" t="s">
        <v>74</v>
      </c>
      <c r="BP1000" s="1" t="s">
        <v>74</v>
      </c>
      <c r="BQ1000" s="1" t="s">
        <v>74</v>
      </c>
      <c r="BR1000" s="1" t="s">
        <v>74</v>
      </c>
      <c r="BS1000" s="1" t="s">
        <v>8327</v>
      </c>
      <c r="BT1000" s="1" t="str">
        <f>HYPERLINK("https%3A%2F%2Fwww.webofscience.com%2Fwos%2Fwoscc%2Ffull-record%2FWOS:000437720300001","View Full Record in Web of Science")</f>
        <v>View Full Record in Web of Science</v>
      </c>
    </row>
    <row r="1001" ht="12.75" customHeight="1">
      <c r="A1001" s="1" t="s">
        <v>105</v>
      </c>
      <c r="B1001" s="1" t="s">
        <v>8328</v>
      </c>
      <c r="C1001" s="1" t="s">
        <v>74</v>
      </c>
      <c r="D1001" s="1" t="s">
        <v>8329</v>
      </c>
      <c r="E1001" s="1" t="s">
        <v>74</v>
      </c>
      <c r="F1001" s="1" t="s">
        <v>8330</v>
      </c>
      <c r="G1001" s="1" t="s">
        <v>74</v>
      </c>
      <c r="H1001" s="1" t="s">
        <v>74</v>
      </c>
      <c r="I1001" s="1" t="s">
        <v>8331</v>
      </c>
      <c r="J1001" s="1" t="s">
        <v>8332</v>
      </c>
      <c r="K1001" s="1" t="s">
        <v>74</v>
      </c>
      <c r="L1001" s="1" t="s">
        <v>74</v>
      </c>
      <c r="M1001" s="1" t="s">
        <v>74</v>
      </c>
      <c r="N1001" s="1" t="s">
        <v>74</v>
      </c>
      <c r="O1001" s="1" t="s">
        <v>74</v>
      </c>
      <c r="P1001" s="1" t="s">
        <v>74</v>
      </c>
      <c r="Q1001" s="1" t="s">
        <v>74</v>
      </c>
      <c r="R1001" s="1" t="s">
        <v>74</v>
      </c>
      <c r="S1001" s="1" t="s">
        <v>74</v>
      </c>
      <c r="T1001" s="1" t="s">
        <v>74</v>
      </c>
      <c r="U1001" s="1" t="s">
        <v>74</v>
      </c>
      <c r="V1001" s="1" t="s">
        <v>74</v>
      </c>
      <c r="W1001" s="1" t="s">
        <v>74</v>
      </c>
      <c r="X1001" s="1" t="s">
        <v>74</v>
      </c>
      <c r="Y1001" s="1" t="s">
        <v>74</v>
      </c>
      <c r="Z1001" s="1" t="s">
        <v>74</v>
      </c>
      <c r="AA1001" s="1" t="s">
        <v>74</v>
      </c>
      <c r="AB1001" s="1" t="s">
        <v>74</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74</v>
      </c>
      <c r="AP1001" s="1" t="s">
        <v>74</v>
      </c>
      <c r="AQ1001" s="1" t="s">
        <v>8333</v>
      </c>
      <c r="AR1001" s="1" t="s">
        <v>74</v>
      </c>
      <c r="AS1001" s="1" t="s">
        <v>74</v>
      </c>
      <c r="AT1001" s="1" t="s">
        <v>74</v>
      </c>
      <c r="AU1001" s="1">
        <v>2018.0</v>
      </c>
      <c r="AV1001" s="1" t="s">
        <v>74</v>
      </c>
      <c r="AW1001" s="1" t="s">
        <v>74</v>
      </c>
      <c r="AX1001" s="1" t="s">
        <v>74</v>
      </c>
      <c r="AY1001" s="1" t="s">
        <v>74</v>
      </c>
      <c r="AZ1001" s="1" t="s">
        <v>74</v>
      </c>
      <c r="BA1001" s="1" t="s">
        <v>74</v>
      </c>
      <c r="BB1001" s="1">
        <v>45.0</v>
      </c>
      <c r="BC1001" s="1">
        <v>56.0</v>
      </c>
      <c r="BD1001" s="1" t="s">
        <v>74</v>
      </c>
      <c r="BE1001" s="1" t="s">
        <v>74</v>
      </c>
      <c r="BF1001" s="1" t="s">
        <v>74</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8334</v>
      </c>
      <c r="BT1001" s="1" t="str">
        <f>HYPERLINK("https%3A%2F%2Fwww.webofscience.com%2Fwos%2Fwoscc%2Ffull-record%2FWOS:000462868900003","View Full Record in Web of Science")</f>
        <v>View Full Record in Web of Science</v>
      </c>
    </row>
  </sheetData>
  <printOptions/>
  <pageMargins bottom="0.75" footer="0.0" header="0.0" left="0.7" right="0.7" top="0.75"/>
  <pageSetup orientation="landscape"/>
  <drawing r:id="rId1"/>
</worksheet>
</file>